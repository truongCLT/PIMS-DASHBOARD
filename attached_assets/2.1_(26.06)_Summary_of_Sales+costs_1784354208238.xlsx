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infoplusvncom-my.sharepoint.com/personal/microweb_infoplusvn_com/Documents/Documents/100. Projects/DAEWOO E&amp;C/PROJECT/경영현황판/"/>
    </mc:Choice>
  </mc:AlternateContent>
  <xr:revisionPtr revIDLastSave="0" documentId="11_11F9939CCD460809A2C4B24CF4EE84B8A2B9420C" xr6:coauthVersionLast="47" xr6:coauthVersionMax="47" xr10:uidLastSave="{00000000-0000-0000-0000-000000000000}"/>
  <bookViews>
    <workbookView xWindow="-98" yWindow="-98" windowWidth="21795" windowHeight="12975" firstSheet="2" activeTab="4" xr2:uid="{00000000-000D-0000-FFFF-FFFF00000000}"/>
  </bookViews>
  <sheets>
    <sheet name="Note" sheetId="29" state="hidden" r:id="rId1"/>
    <sheet name="원가이체, 판관비 배부현황(VND)" sheetId="25" r:id="rId2"/>
    <sheet name="원가이체, 판관비 배부현황(1000USD)" sheetId="26" r:id="rId3"/>
    <sheet name="Reparing Cost" sheetId="28" r:id="rId4"/>
    <sheet name="Summary 2026" sheetId="33" r:id="rId5"/>
    <sheet name="Summary 2025" sheetId="32" r:id="rId6"/>
    <sheet name="Summary 2024" sheetId="31" state="hidden" r:id="rId7"/>
    <sheet name="Summary 2023" sheetId="30" state="hidden" r:id="rId8"/>
    <sheet name="Summary 2022" sheetId="27" state="hidden" r:id="rId9"/>
    <sheet name="Summary 2021" sheetId="24" state="hidden" r:id="rId10"/>
    <sheet name="Summary 2020" sheetId="20" state="hidden" r:id="rId11"/>
    <sheet name="Summary 2019" sheetId="19" state="hidden" r:id="rId12"/>
    <sheet name="Summary 2018" sheetId="11" state="hidden" r:id="rId13"/>
    <sheet name="Summary 2017" sheetId="21"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____8" localSheetId="8">#REF!</definedName>
    <definedName name="_____8" localSheetId="2">#REF!</definedName>
    <definedName name="_____8" localSheetId="1">#REF!</definedName>
    <definedName name="_____8">#REF!</definedName>
    <definedName name="_____B20996" localSheetId="8">#REF!</definedName>
    <definedName name="_____B20996" localSheetId="2">#REF!</definedName>
    <definedName name="_____B20996" localSheetId="1">#REF!</definedName>
    <definedName name="_____B20996">#REF!</definedName>
    <definedName name="_____C" localSheetId="8">#REF!</definedName>
    <definedName name="_____C" localSheetId="2">#REF!</definedName>
    <definedName name="_____C" localSheetId="1">#REF!</definedName>
    <definedName name="_____C">#REF!</definedName>
    <definedName name="_____cib27" localSheetId="8">#REF!</definedName>
    <definedName name="_____cib27" localSheetId="2">#REF!</definedName>
    <definedName name="_____cib27" localSheetId="1">#REF!</definedName>
    <definedName name="_____cib27">#REF!</definedName>
    <definedName name="_____dbk27" localSheetId="8">#REF!</definedName>
    <definedName name="_____dbk27" localSheetId="2">#REF!</definedName>
    <definedName name="_____dbk27" localSheetId="1">#REF!</definedName>
    <definedName name="_____dbk27">#REF!</definedName>
    <definedName name="_____meb27" localSheetId="8">#REF!</definedName>
    <definedName name="_____meb27" localSheetId="2">#REF!</definedName>
    <definedName name="_____meb27" localSheetId="1">#REF!</definedName>
    <definedName name="_____meb27">#REF!</definedName>
    <definedName name="_____mtu27" localSheetId="8">#REF!</definedName>
    <definedName name="_____mtu27" localSheetId="2">#REF!</definedName>
    <definedName name="_____mtu27" localSheetId="1">#REF!</definedName>
    <definedName name="_____mtu27">#REF!</definedName>
    <definedName name="_____P1" localSheetId="8">#REF!</definedName>
    <definedName name="_____P1" localSheetId="2">#REF!</definedName>
    <definedName name="_____P1" localSheetId="1">#REF!</definedName>
    <definedName name="_____P1">#REF!</definedName>
    <definedName name="_____P2" localSheetId="8">#REF!</definedName>
    <definedName name="_____P2" localSheetId="2">#REF!</definedName>
    <definedName name="_____P2" localSheetId="1">#REF!</definedName>
    <definedName name="_____P2">#REF!</definedName>
    <definedName name="_____P3" localSheetId="8">#REF!</definedName>
    <definedName name="_____P3" localSheetId="2">#REF!</definedName>
    <definedName name="_____P3" localSheetId="1">#REF!</definedName>
    <definedName name="_____P3">#REF!</definedName>
    <definedName name="_____P4" localSheetId="8">#REF!</definedName>
    <definedName name="_____P4" localSheetId="2">#REF!</definedName>
    <definedName name="_____P4" localSheetId="1">#REF!</definedName>
    <definedName name="_____P4">#REF!</definedName>
    <definedName name="_____pc27" localSheetId="8">#REF!</definedName>
    <definedName name="_____pc27" localSheetId="2">#REF!</definedName>
    <definedName name="_____pc27" localSheetId="1">#REF!</definedName>
    <definedName name="_____pc27">#REF!</definedName>
    <definedName name="_____pib27" localSheetId="8">#REF!</definedName>
    <definedName name="_____pib27" localSheetId="2">#REF!</definedName>
    <definedName name="_____pib27" localSheetId="1">#REF!</definedName>
    <definedName name="_____pib27">#REF!</definedName>
    <definedName name="_____pos27" localSheetId="8">#REF!</definedName>
    <definedName name="_____pos27" localSheetId="2">#REF!</definedName>
    <definedName name="_____pos27" localSheetId="1">#REF!</definedName>
    <definedName name="_____pos27">#REF!</definedName>
    <definedName name="_____ram128" localSheetId="8">#REF!</definedName>
    <definedName name="_____ram128" localSheetId="2">#REF!</definedName>
    <definedName name="_____ram128" localSheetId="1">#REF!</definedName>
    <definedName name="_____ram128">#REF!</definedName>
    <definedName name="_____ram512" localSheetId="8">#REF!</definedName>
    <definedName name="_____ram512" localSheetId="2">#REF!</definedName>
    <definedName name="_____ram512" localSheetId="1">#REF!</definedName>
    <definedName name="_____ram512">#REF!</definedName>
    <definedName name="_____rm27" localSheetId="8">#REF!</definedName>
    <definedName name="_____rm27" localSheetId="2">#REF!</definedName>
    <definedName name="_____rm27" localSheetId="1">#REF!</definedName>
    <definedName name="_____rm27">#REF!</definedName>
    <definedName name="_____skb27" localSheetId="8">#REF!</definedName>
    <definedName name="_____skb27" localSheetId="2">#REF!</definedName>
    <definedName name="_____skb27" localSheetId="1">#REF!</definedName>
    <definedName name="_____skb27">#REF!</definedName>
    <definedName name="_____sts27" localSheetId="8">#REF!</definedName>
    <definedName name="_____sts27" localSheetId="2">#REF!</definedName>
    <definedName name="_____sts27" localSheetId="1">#REF!</definedName>
    <definedName name="_____sts27">#REF!</definedName>
    <definedName name="_____U1" localSheetId="8">#REF!</definedName>
    <definedName name="_____U1" localSheetId="2">#REF!</definedName>
    <definedName name="_____U1" localSheetId="1">#REF!</definedName>
    <definedName name="_____U1">#REF!</definedName>
    <definedName name="_____U10" localSheetId="8">#REF!</definedName>
    <definedName name="_____U10" localSheetId="2">#REF!</definedName>
    <definedName name="_____U10" localSheetId="1">#REF!</definedName>
    <definedName name="_____U10">#REF!</definedName>
    <definedName name="_____U11" localSheetId="8">#REF!</definedName>
    <definedName name="_____U11" localSheetId="2">#REF!</definedName>
    <definedName name="_____U11" localSheetId="1">#REF!</definedName>
    <definedName name="_____U11">#REF!</definedName>
    <definedName name="_____U12" localSheetId="8">#REF!</definedName>
    <definedName name="_____U12" localSheetId="2">#REF!</definedName>
    <definedName name="_____U12" localSheetId="1">#REF!</definedName>
    <definedName name="_____U12">#REF!</definedName>
    <definedName name="_____U13" localSheetId="8">#REF!</definedName>
    <definedName name="_____U13" localSheetId="2">#REF!</definedName>
    <definedName name="_____U13" localSheetId="1">#REF!</definedName>
    <definedName name="_____U13">#REF!</definedName>
    <definedName name="_____U14" localSheetId="8">#REF!</definedName>
    <definedName name="_____U14" localSheetId="2">#REF!</definedName>
    <definedName name="_____U14" localSheetId="1">#REF!</definedName>
    <definedName name="_____U14">#REF!</definedName>
    <definedName name="_____U15" localSheetId="8">#REF!</definedName>
    <definedName name="_____U15" localSheetId="2">#REF!</definedName>
    <definedName name="_____U15" localSheetId="1">#REF!</definedName>
    <definedName name="_____U15">#REF!</definedName>
    <definedName name="_____U16" localSheetId="8">#REF!</definedName>
    <definedName name="_____U16" localSheetId="2">#REF!</definedName>
    <definedName name="_____U16" localSheetId="1">#REF!</definedName>
    <definedName name="_____U16">#REF!</definedName>
    <definedName name="_____U17" localSheetId="8">#REF!</definedName>
    <definedName name="_____U17" localSheetId="2">#REF!</definedName>
    <definedName name="_____U17" localSheetId="1">#REF!</definedName>
    <definedName name="_____U17">#REF!</definedName>
    <definedName name="_____U18" localSheetId="8">#REF!</definedName>
    <definedName name="_____U18" localSheetId="2">#REF!</definedName>
    <definedName name="_____U18" localSheetId="1">#REF!</definedName>
    <definedName name="_____U18">#REF!</definedName>
    <definedName name="_____U19" localSheetId="8">#REF!</definedName>
    <definedName name="_____U19" localSheetId="2">#REF!</definedName>
    <definedName name="_____U19" localSheetId="1">#REF!</definedName>
    <definedName name="_____U19">#REF!</definedName>
    <definedName name="_____U2" localSheetId="8">#REF!</definedName>
    <definedName name="_____U2" localSheetId="2">#REF!</definedName>
    <definedName name="_____U2" localSheetId="1">#REF!</definedName>
    <definedName name="_____U2">#REF!</definedName>
    <definedName name="_____U3" localSheetId="8">#REF!</definedName>
    <definedName name="_____U3" localSheetId="2">#REF!</definedName>
    <definedName name="_____U3" localSheetId="1">#REF!</definedName>
    <definedName name="_____U3">#REF!</definedName>
    <definedName name="_____U4" localSheetId="8">#REF!</definedName>
    <definedName name="_____U4" localSheetId="2">#REF!</definedName>
    <definedName name="_____U4" localSheetId="1">#REF!</definedName>
    <definedName name="_____U4">#REF!</definedName>
    <definedName name="_____U5" localSheetId="8">#REF!</definedName>
    <definedName name="_____U5" localSheetId="2">#REF!</definedName>
    <definedName name="_____U5" localSheetId="1">#REF!</definedName>
    <definedName name="_____U5">#REF!</definedName>
    <definedName name="_____U6" localSheetId="8">#REF!</definedName>
    <definedName name="_____U6" localSheetId="2">#REF!</definedName>
    <definedName name="_____U6" localSheetId="1">#REF!</definedName>
    <definedName name="_____U6">#REF!</definedName>
    <definedName name="_____U7" localSheetId="8">#REF!</definedName>
    <definedName name="_____U7" localSheetId="2">#REF!</definedName>
    <definedName name="_____U7" localSheetId="1">#REF!</definedName>
    <definedName name="_____U7">#REF!</definedName>
    <definedName name="_____U8" localSheetId="8">#REF!</definedName>
    <definedName name="_____U8" localSheetId="2">#REF!</definedName>
    <definedName name="_____U8" localSheetId="1">#REF!</definedName>
    <definedName name="_____U8">#REF!</definedName>
    <definedName name="_____U9" localSheetId="8">#REF!</definedName>
    <definedName name="_____U9" localSheetId="2">#REF!</definedName>
    <definedName name="_____U9" localSheetId="1">#REF!</definedName>
    <definedName name="_____U9">#REF!</definedName>
    <definedName name="____10" localSheetId="8">#REF!</definedName>
    <definedName name="____10" localSheetId="2">#REF!</definedName>
    <definedName name="____10" localSheetId="1">#REF!</definedName>
    <definedName name="____10">#REF!</definedName>
    <definedName name="____11" localSheetId="8">#REF!</definedName>
    <definedName name="____11" localSheetId="2">#REF!</definedName>
    <definedName name="____11" localSheetId="1">#REF!</definedName>
    <definedName name="____11">#REF!</definedName>
    <definedName name="____20020826기본" localSheetId="8">#REF!</definedName>
    <definedName name="____20020826기본" localSheetId="2">#REF!</definedName>
    <definedName name="____20020826기본" localSheetId="1">#REF!</definedName>
    <definedName name="____20020826기본">#REF!</definedName>
    <definedName name="____9" localSheetId="8">#REF!</definedName>
    <definedName name="____9" localSheetId="2">#REF!</definedName>
    <definedName name="____9" localSheetId="1">#REF!</definedName>
    <definedName name="____9">#REF!</definedName>
    <definedName name="____A9" hidden="1">{#N/A,#N/A,FALSE,"손익표지";#N/A,#N/A,FALSE,"손익계산";#N/A,#N/A,FALSE,"일반관리비";#N/A,#N/A,FALSE,"영업외수익";#N/A,#N/A,FALSE,"영업외비용";#N/A,#N/A,FALSE,"매출액";#N/A,#N/A,FALSE,"요약손익";#N/A,#N/A,FALSE,"요약대차";#N/A,#N/A,FALSE,"매출채권현황";#N/A,#N/A,FALSE,"매출채권명세"}</definedName>
    <definedName name="____j1" hidden="1">{#N/A,#N/A,FALSE,"손익표지";#N/A,#N/A,FALSE,"손익계산";#N/A,#N/A,FALSE,"일반관리비";#N/A,#N/A,FALSE,"영업외수익";#N/A,#N/A,FALSE,"영업외비용";#N/A,#N/A,FALSE,"매출액";#N/A,#N/A,FALSE,"요약손익";#N/A,#N/A,FALSE,"요약대차";#N/A,#N/A,FALSE,"매출채권현황";#N/A,#N/A,FALSE,"매출채권명세"}</definedName>
    <definedName name="___10" localSheetId="8">#REF!</definedName>
    <definedName name="___10" localSheetId="2">#REF!</definedName>
    <definedName name="___10" localSheetId="1">#REF!</definedName>
    <definedName name="___10">#REF!</definedName>
    <definedName name="___11" localSheetId="8">#REF!</definedName>
    <definedName name="___11" localSheetId="2">#REF!</definedName>
    <definedName name="___11" localSheetId="1">#REF!</definedName>
    <definedName name="___11">#REF!</definedName>
    <definedName name="___6" localSheetId="8">#REF!</definedName>
    <definedName name="___6" localSheetId="2">#REF!</definedName>
    <definedName name="___6" localSheetId="1">#REF!</definedName>
    <definedName name="___6">#REF!</definedName>
    <definedName name="___7" localSheetId="8">#REF!</definedName>
    <definedName name="___7" localSheetId="2">#REF!</definedName>
    <definedName name="___7" localSheetId="1">#REF!</definedName>
    <definedName name="___7">#REF!</definedName>
    <definedName name="___8" localSheetId="8">#REF!</definedName>
    <definedName name="___8" localSheetId="2">#REF!</definedName>
    <definedName name="___8" localSheetId="1">#REF!</definedName>
    <definedName name="___8">#REF!</definedName>
    <definedName name="___8__123Graph_X차트_1" localSheetId="8" hidden="1">#REF!</definedName>
    <definedName name="___8__123Graph_X차트_1" localSheetId="2" hidden="1">#REF!</definedName>
    <definedName name="___8__123Graph_X차트_1" localSheetId="1" hidden="1">#REF!</definedName>
    <definedName name="___8__123Graph_X차트_1" hidden="1">#REF!</definedName>
    <definedName name="___9" localSheetId="8">#REF!</definedName>
    <definedName name="___9" localSheetId="2">#REF!</definedName>
    <definedName name="___9" localSheetId="1">#REF!</definedName>
    <definedName name="___9">#REF!</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P4" localSheetId="8">#REF!</definedName>
    <definedName name="___P4" localSheetId="2">#REF!</definedName>
    <definedName name="___P4" localSheetId="1">#REF!</definedName>
    <definedName name="___P4">#REF!</definedName>
    <definedName name="___RE100" localSheetId="8">#REF!</definedName>
    <definedName name="___RE100" localSheetId="2">#REF!</definedName>
    <definedName name="___RE100" localSheetId="1">#REF!</definedName>
    <definedName name="___RE100">#REF!</definedName>
    <definedName name="__1__123Graph_A차트_1" localSheetId="8" hidden="1">#REF!</definedName>
    <definedName name="__1__123Graph_A차트_1" localSheetId="2" hidden="1">#REF!</definedName>
    <definedName name="__1__123Graph_A차트_1" localSheetId="1" hidden="1">#REF!</definedName>
    <definedName name="__1__123Graph_A차트_1" hidden="1">#REF!</definedName>
    <definedName name="__10" localSheetId="8">#REF!</definedName>
    <definedName name="__10" localSheetId="2">#REF!</definedName>
    <definedName name="__10" localSheetId="1">#REF!</definedName>
    <definedName name="__10">#REF!</definedName>
    <definedName name="__11" localSheetId="8">#REF!</definedName>
    <definedName name="__11" localSheetId="2">#REF!</definedName>
    <definedName name="__11" localSheetId="1">#REF!</definedName>
    <definedName name="__11">#REF!</definedName>
    <definedName name="__123Graph_D" localSheetId="8" hidden="1">#REF!</definedName>
    <definedName name="__123Graph_D" localSheetId="2" hidden="1">#REF!</definedName>
    <definedName name="__123Graph_D" localSheetId="1" hidden="1">#REF!</definedName>
    <definedName name="__123Graph_D" hidden="1">#REF!</definedName>
    <definedName name="__2__123Graph_A차트_1" localSheetId="8" hidden="1">#REF!</definedName>
    <definedName name="__2__123Graph_A차트_1" localSheetId="2" hidden="1">#REF!</definedName>
    <definedName name="__2__123Graph_A차트_1" localSheetId="1" hidden="1">#REF!</definedName>
    <definedName name="__2__123Graph_A차트_1" hidden="1">#REF!</definedName>
    <definedName name="__2__123Graph_B차트_1" localSheetId="8" hidden="1">#REF!</definedName>
    <definedName name="__2__123Graph_B차트_1" localSheetId="2" hidden="1">#REF!</definedName>
    <definedName name="__2__123Graph_B차트_1" localSheetId="1" hidden="1">#REF!</definedName>
    <definedName name="__2__123Graph_B차트_1" hidden="1">#REF!</definedName>
    <definedName name="__20020826기본" localSheetId="8">#REF!</definedName>
    <definedName name="__20020826기본" localSheetId="2">#REF!</definedName>
    <definedName name="__20020826기본" localSheetId="1">#REF!</definedName>
    <definedName name="__20020826기본">#REF!</definedName>
    <definedName name="__3__123Graph_C차트_1" localSheetId="8" hidden="1">#REF!</definedName>
    <definedName name="__3__123Graph_C차트_1" localSheetId="2" hidden="1">#REF!</definedName>
    <definedName name="__3__123Graph_C차트_1" localSheetId="1" hidden="1">#REF!</definedName>
    <definedName name="__3__123Graph_C차트_1" hidden="1">#REF!</definedName>
    <definedName name="__4__123Graph_X차트_1" localSheetId="8" hidden="1">#REF!</definedName>
    <definedName name="__4__123Graph_X차트_1" localSheetId="2" hidden="1">#REF!</definedName>
    <definedName name="__4__123Graph_X차트_1" localSheetId="1" hidden="1">#REF!</definedName>
    <definedName name="__4__123Graph_X차트_1" hidden="1">#REF!</definedName>
    <definedName name="__5__123Graph_A차트_1" localSheetId="8" hidden="1">#REF!</definedName>
    <definedName name="__5__123Graph_A차트_1" localSheetId="2" hidden="1">#REF!</definedName>
    <definedName name="__5__123Graph_A차트_1" localSheetId="1" hidden="1">#REF!</definedName>
    <definedName name="__5__123Graph_A차트_1" hidden="1">#REF!</definedName>
    <definedName name="__6" localSheetId="8">#REF!</definedName>
    <definedName name="__6" localSheetId="2">#REF!</definedName>
    <definedName name="__6" localSheetId="1">#REF!</definedName>
    <definedName name="__6">#REF!</definedName>
    <definedName name="__6__123Graph_B차트_1" localSheetId="8" hidden="1">#REF!</definedName>
    <definedName name="__6__123Graph_B차트_1" localSheetId="2" hidden="1">#REF!</definedName>
    <definedName name="__6__123Graph_B차트_1" localSheetId="1" hidden="1">#REF!</definedName>
    <definedName name="__6__123Graph_B차트_1" hidden="1">#REF!</definedName>
    <definedName name="__7" localSheetId="8">#REF!</definedName>
    <definedName name="__7" localSheetId="2">#REF!</definedName>
    <definedName name="__7" localSheetId="1">#REF!</definedName>
    <definedName name="__7">#REF!</definedName>
    <definedName name="__7__123Graph_C차트_1" localSheetId="8" hidden="1">#REF!</definedName>
    <definedName name="__7__123Graph_C차트_1" localSheetId="2" hidden="1">#REF!</definedName>
    <definedName name="__7__123Graph_C차트_1" localSheetId="1" hidden="1">#REF!</definedName>
    <definedName name="__7__123Graph_C차트_1" hidden="1">#REF!</definedName>
    <definedName name="__8" localSheetId="8">#REF!</definedName>
    <definedName name="__8" localSheetId="2">#REF!</definedName>
    <definedName name="__8" localSheetId="1">#REF!</definedName>
    <definedName name="__8">#REF!</definedName>
    <definedName name="__8__123Graph_X차트_1" localSheetId="8" hidden="1">#REF!</definedName>
    <definedName name="__8__123Graph_X차트_1" localSheetId="2" hidden="1">#REF!</definedName>
    <definedName name="__8__123Graph_X차트_1" localSheetId="1" hidden="1">#REF!</definedName>
    <definedName name="__8__123Graph_X차트_1" hidden="1">#REF!</definedName>
    <definedName name="__9" localSheetId="8">#REF!</definedName>
    <definedName name="__9" localSheetId="2">#REF!</definedName>
    <definedName name="__9" localSheetId="1">#REF!</definedName>
    <definedName name="__9">#REF!</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B20996" localSheetId="8">#REF!</definedName>
    <definedName name="__B20996" localSheetId="2">#REF!</definedName>
    <definedName name="__B20996" localSheetId="1">#REF!</definedName>
    <definedName name="__B20996">#REF!</definedName>
    <definedName name="__C" localSheetId="8">#REF!</definedName>
    <definedName name="__C" localSheetId="2">#REF!</definedName>
    <definedName name="__C" localSheetId="1">#REF!</definedName>
    <definedName name="__C">#REF!</definedName>
    <definedName name="__cib27" localSheetId="8">#REF!</definedName>
    <definedName name="__cib27" localSheetId="2">#REF!</definedName>
    <definedName name="__cib27" localSheetId="1">#REF!</definedName>
    <definedName name="__cib27">#REF!</definedName>
    <definedName name="__dbk27" localSheetId="8">#REF!</definedName>
    <definedName name="__dbk27" localSheetId="2">#REF!</definedName>
    <definedName name="__dbk27" localSheetId="1">#REF!</definedName>
    <definedName name="__dbk27">#REF!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Key11" localSheetId="8" hidden="1">#REF!</definedName>
    <definedName name="__Key11" localSheetId="2" hidden="1">#REF!</definedName>
    <definedName name="__Key11" localSheetId="1" hidden="1">#REF!</definedName>
    <definedName name="__Key11" hidden="1">#REF!</definedName>
    <definedName name="__meb27" localSheetId="8">#REF!</definedName>
    <definedName name="__meb27" localSheetId="2">#REF!</definedName>
    <definedName name="__meb27" localSheetId="1">#REF!</definedName>
    <definedName name="__meb27">#REF!</definedName>
    <definedName name="__mtu27" localSheetId="8">#REF!</definedName>
    <definedName name="__mtu27" localSheetId="2">#REF!</definedName>
    <definedName name="__mtu27" localSheetId="1">#REF!</definedName>
    <definedName name="__mtu27">#REF!</definedName>
    <definedName name="__NO98" localSheetId="8">#REF!</definedName>
    <definedName name="__NO98" localSheetId="2">#REF!</definedName>
    <definedName name="__NO98" localSheetId="1">#REF!</definedName>
    <definedName name="__NO98">#REF!</definedName>
    <definedName name="__OTH1" localSheetId="8">#REF!</definedName>
    <definedName name="__OTH1" localSheetId="2">#REF!</definedName>
    <definedName name="__OTH1" localSheetId="1">#REF!</definedName>
    <definedName name="__OTH1">#REF!</definedName>
    <definedName name="__P1" localSheetId="8">#REF!</definedName>
    <definedName name="__P1" localSheetId="2">#REF!</definedName>
    <definedName name="__P1" localSheetId="1">#REF!</definedName>
    <definedName name="__P1">#REF!</definedName>
    <definedName name="__P2" localSheetId="8">#REF!</definedName>
    <definedName name="__P2" localSheetId="2">#REF!</definedName>
    <definedName name="__P2" localSheetId="1">#REF!</definedName>
    <definedName name="__P2">#REF!</definedName>
    <definedName name="__P3" localSheetId="8">#REF!</definedName>
    <definedName name="__P3" localSheetId="2">#REF!</definedName>
    <definedName name="__P3" localSheetId="1">#REF!</definedName>
    <definedName name="__P3">#REF!</definedName>
    <definedName name="__P4" localSheetId="8">#REF!</definedName>
    <definedName name="__P4" localSheetId="2">#REF!</definedName>
    <definedName name="__P4" localSheetId="1">#REF!</definedName>
    <definedName name="__P4">#REF!</definedName>
    <definedName name="__pc27" localSheetId="8">#REF!</definedName>
    <definedName name="__pc27" localSheetId="2">#REF!</definedName>
    <definedName name="__pc27" localSheetId="1">#REF!</definedName>
    <definedName name="__pc27">#REF!</definedName>
    <definedName name="__pd08" localSheetId="8">#REF!</definedName>
    <definedName name="__pd08" localSheetId="2">#REF!</definedName>
    <definedName name="__pd08" localSheetId="1">#REF!</definedName>
    <definedName name="__pd08">#REF!</definedName>
    <definedName name="__pib27" localSheetId="8">#REF!</definedName>
    <definedName name="__pib27" localSheetId="2">#REF!</definedName>
    <definedName name="__pib27" localSheetId="1">#REF!</definedName>
    <definedName name="__pib27">#REF!</definedName>
    <definedName name="__pos27" localSheetId="8">#REF!</definedName>
    <definedName name="__pos27" localSheetId="2">#REF!</definedName>
    <definedName name="__pos27" localSheetId="1">#REF!</definedName>
    <definedName name="__pos27">#REF!</definedName>
    <definedName name="__PP3" localSheetId="8">#REF!</definedName>
    <definedName name="__PP3" localSheetId="2">#REF!</definedName>
    <definedName name="__PP3" localSheetId="1">#REF!</definedName>
    <definedName name="__PP3">#REF!</definedName>
    <definedName name="__ram128" localSheetId="8">#REF!</definedName>
    <definedName name="__ram128" localSheetId="2">#REF!</definedName>
    <definedName name="__ram128" localSheetId="1">#REF!</definedName>
    <definedName name="__ram128">#REF!</definedName>
    <definedName name="__ram512" localSheetId="8">#REF!</definedName>
    <definedName name="__ram512" localSheetId="2">#REF!</definedName>
    <definedName name="__ram512" localSheetId="1">#REF!</definedName>
    <definedName name="__ram512">#REF!</definedName>
    <definedName name="__RE100" localSheetId="8">#REF!</definedName>
    <definedName name="__RE100" localSheetId="2">#REF!</definedName>
    <definedName name="__RE100" localSheetId="1">#REF!</definedName>
    <definedName name="__RE100">#REF!</definedName>
    <definedName name="__rm27" localSheetId="8">#REF!</definedName>
    <definedName name="__rm27" localSheetId="2">#REF!</definedName>
    <definedName name="__rm27" localSheetId="1">#REF!</definedName>
    <definedName name="__rm27">#REF!</definedName>
    <definedName name="__SEL1" localSheetId="8">#REF!</definedName>
    <definedName name="__SEL1" localSheetId="2">#REF!</definedName>
    <definedName name="__SEL1" localSheetId="1">#REF!</definedName>
    <definedName name="__SEL1">#REF!</definedName>
    <definedName name="__SEL2" localSheetId="8">#REF!</definedName>
    <definedName name="__SEL2" localSheetId="2">#REF!</definedName>
    <definedName name="__SEL2" localSheetId="1">#REF!</definedName>
    <definedName name="__SEL2">#REF!</definedName>
    <definedName name="__SEL3" localSheetId="8">#REF!</definedName>
    <definedName name="__SEL3" localSheetId="2">#REF!</definedName>
    <definedName name="__SEL3" localSheetId="1">#REF!</definedName>
    <definedName name="__SEL3">#REF!</definedName>
    <definedName name="__skb27" localSheetId="8">#REF!</definedName>
    <definedName name="__skb27" localSheetId="2">#REF!</definedName>
    <definedName name="__skb27" localSheetId="1">#REF!</definedName>
    <definedName name="__skb27">#REF!</definedName>
    <definedName name="__SR1" localSheetId="8">#REF!</definedName>
    <definedName name="__SR1" localSheetId="2">#REF!</definedName>
    <definedName name="__SR1" localSheetId="1">#REF!</definedName>
    <definedName name="__SR1">#REF!</definedName>
    <definedName name="__SR2" localSheetId="8">#REF!</definedName>
    <definedName name="__SR2" localSheetId="2">#REF!</definedName>
    <definedName name="__SR2" localSheetId="1">#REF!</definedName>
    <definedName name="__SR2">#REF!</definedName>
    <definedName name="__SR3" localSheetId="8">#REF!</definedName>
    <definedName name="__SR3" localSheetId="2">#REF!</definedName>
    <definedName name="__SR3" localSheetId="1">#REF!</definedName>
    <definedName name="__SR3">#REF!</definedName>
    <definedName name="__sts27" localSheetId="8">#REF!</definedName>
    <definedName name="__sts27" localSheetId="2">#REF!</definedName>
    <definedName name="__sts27" localSheetId="1">#REF!</definedName>
    <definedName name="__sts27">#REF!</definedName>
    <definedName name="__U1" localSheetId="8">#REF!</definedName>
    <definedName name="__U1" localSheetId="2">#REF!</definedName>
    <definedName name="__U1" localSheetId="1">#REF!</definedName>
    <definedName name="__U1">#REF!</definedName>
    <definedName name="__U10" localSheetId="8">#REF!</definedName>
    <definedName name="__U10" localSheetId="2">#REF!</definedName>
    <definedName name="__U10" localSheetId="1">#REF!</definedName>
    <definedName name="__U10">#REF!</definedName>
    <definedName name="__U11" localSheetId="8">#REF!</definedName>
    <definedName name="__U11" localSheetId="2">#REF!</definedName>
    <definedName name="__U11" localSheetId="1">#REF!</definedName>
    <definedName name="__U11">#REF!</definedName>
    <definedName name="__U12" localSheetId="8">#REF!</definedName>
    <definedName name="__U12" localSheetId="2">#REF!</definedName>
    <definedName name="__U12" localSheetId="1">#REF!</definedName>
    <definedName name="__U12">#REF!</definedName>
    <definedName name="__U13" localSheetId="8">#REF!</definedName>
    <definedName name="__U13" localSheetId="2">#REF!</definedName>
    <definedName name="__U13" localSheetId="1">#REF!</definedName>
    <definedName name="__U13">#REF!</definedName>
    <definedName name="__U14" localSheetId="8">#REF!</definedName>
    <definedName name="__U14" localSheetId="2">#REF!</definedName>
    <definedName name="__U14" localSheetId="1">#REF!</definedName>
    <definedName name="__U14">#REF!</definedName>
    <definedName name="__U15" localSheetId="8">#REF!</definedName>
    <definedName name="__U15" localSheetId="2">#REF!</definedName>
    <definedName name="__U15" localSheetId="1">#REF!</definedName>
    <definedName name="__U15">#REF!</definedName>
    <definedName name="__U16" localSheetId="8">#REF!</definedName>
    <definedName name="__U16" localSheetId="2">#REF!</definedName>
    <definedName name="__U16" localSheetId="1">#REF!</definedName>
    <definedName name="__U16">#REF!</definedName>
    <definedName name="__U17" localSheetId="8">#REF!</definedName>
    <definedName name="__U17" localSheetId="2">#REF!</definedName>
    <definedName name="__U17" localSheetId="1">#REF!</definedName>
    <definedName name="__U17">#REF!</definedName>
    <definedName name="__U18" localSheetId="8">#REF!</definedName>
    <definedName name="__U18" localSheetId="2">#REF!</definedName>
    <definedName name="__U18" localSheetId="1">#REF!</definedName>
    <definedName name="__U18">#REF!</definedName>
    <definedName name="__U19" localSheetId="8">#REF!</definedName>
    <definedName name="__U19" localSheetId="2">#REF!</definedName>
    <definedName name="__U19" localSheetId="1">#REF!</definedName>
    <definedName name="__U19">#REF!</definedName>
    <definedName name="__U2" localSheetId="8">#REF!</definedName>
    <definedName name="__U2" localSheetId="2">#REF!</definedName>
    <definedName name="__U2" localSheetId="1">#REF!</definedName>
    <definedName name="__U2">#REF!</definedName>
    <definedName name="__U3" localSheetId="8">#REF!</definedName>
    <definedName name="__U3" localSheetId="2">#REF!</definedName>
    <definedName name="__U3" localSheetId="1">#REF!</definedName>
    <definedName name="__U3">#REF!</definedName>
    <definedName name="__U4" localSheetId="8">#REF!</definedName>
    <definedName name="__U4" localSheetId="2">#REF!</definedName>
    <definedName name="__U4" localSheetId="1">#REF!</definedName>
    <definedName name="__U4">#REF!</definedName>
    <definedName name="__U5" localSheetId="8">#REF!</definedName>
    <definedName name="__U5" localSheetId="2">#REF!</definedName>
    <definedName name="__U5" localSheetId="1">#REF!</definedName>
    <definedName name="__U5">#REF!</definedName>
    <definedName name="__U6" localSheetId="8">#REF!</definedName>
    <definedName name="__U6" localSheetId="2">#REF!</definedName>
    <definedName name="__U6" localSheetId="1">#REF!</definedName>
    <definedName name="__U6">#REF!</definedName>
    <definedName name="__U7" localSheetId="8">#REF!</definedName>
    <definedName name="__U7" localSheetId="2">#REF!</definedName>
    <definedName name="__U7" localSheetId="1">#REF!</definedName>
    <definedName name="__U7">#REF!</definedName>
    <definedName name="__U8" localSheetId="8">#REF!</definedName>
    <definedName name="__U8" localSheetId="2">#REF!</definedName>
    <definedName name="__U8" localSheetId="1">#REF!</definedName>
    <definedName name="__U8">#REF!</definedName>
    <definedName name="__U9" localSheetId="8">#REF!</definedName>
    <definedName name="__U9" localSheetId="2">#REF!</definedName>
    <definedName name="__U9" localSheetId="1">#REF!</definedName>
    <definedName name="__U9">#REF!</definedName>
    <definedName name="__US1" localSheetId="8">#REF!</definedName>
    <definedName name="__US1" localSheetId="2">#REF!</definedName>
    <definedName name="__US1" localSheetId="1">#REF!</definedName>
    <definedName name="__US1">#REF!</definedName>
    <definedName name="__XX01" localSheetId="8">#REF!</definedName>
    <definedName name="__XX01" localSheetId="2">#REF!</definedName>
    <definedName name="__XX01" localSheetId="1">#REF!</definedName>
    <definedName name="__XX01">#REF!</definedName>
    <definedName name="__XX02" localSheetId="8">#REF!</definedName>
    <definedName name="__XX02" localSheetId="2">#REF!</definedName>
    <definedName name="__XX02" localSheetId="1">#REF!</definedName>
    <definedName name="__XX02">#REF!</definedName>
    <definedName name="__XX03" localSheetId="8">#REF!</definedName>
    <definedName name="__XX03" localSheetId="2">#REF!</definedName>
    <definedName name="__XX03" localSheetId="1">#REF!</definedName>
    <definedName name="__XX03">#REF!</definedName>
    <definedName name="__XX04" localSheetId="8">#REF!</definedName>
    <definedName name="__XX04" localSheetId="2">#REF!</definedName>
    <definedName name="__XX04" localSheetId="1">#REF!</definedName>
    <definedName name="__XX04">#REF!</definedName>
    <definedName name="__XX05" localSheetId="8">#REF!</definedName>
    <definedName name="__XX05" localSheetId="2">#REF!</definedName>
    <definedName name="__XX05" localSheetId="1">#REF!</definedName>
    <definedName name="__XX05">#REF!</definedName>
    <definedName name="__XX06" localSheetId="8">#REF!</definedName>
    <definedName name="__XX06" localSheetId="2">#REF!</definedName>
    <definedName name="__XX06" localSheetId="1">#REF!</definedName>
    <definedName name="__XX06">#REF!</definedName>
    <definedName name="__XX07" localSheetId="8">#REF!</definedName>
    <definedName name="__XX07" localSheetId="2">#REF!</definedName>
    <definedName name="__XX07" localSheetId="1">#REF!</definedName>
    <definedName name="__XX07">#REF!</definedName>
    <definedName name="__xx08" localSheetId="8">#REF!</definedName>
    <definedName name="__xx08" localSheetId="2">#REF!</definedName>
    <definedName name="__xx08" localSheetId="1">#REF!</definedName>
    <definedName name="__xx08">#REF!</definedName>
    <definedName name="__XX09" localSheetId="8">#REF!</definedName>
    <definedName name="__XX09" localSheetId="2">#REF!</definedName>
    <definedName name="__XX09" localSheetId="1">#REF!</definedName>
    <definedName name="__XX09">#REF!</definedName>
    <definedName name="__XX10" localSheetId="8">#REF!</definedName>
    <definedName name="__XX10" localSheetId="2">#REF!</definedName>
    <definedName name="__XX10" localSheetId="1">#REF!</definedName>
    <definedName name="__XX10">#REF!</definedName>
    <definedName name="__XX11" localSheetId="8">#REF!</definedName>
    <definedName name="__XX11" localSheetId="2">#REF!</definedName>
    <definedName name="__XX11" localSheetId="1">#REF!</definedName>
    <definedName name="__XX11">#REF!</definedName>
    <definedName name="__XX12" localSheetId="8">#REF!</definedName>
    <definedName name="__XX12" localSheetId="2">#REF!</definedName>
    <definedName name="__XX12" localSheetId="1">#REF!</definedName>
    <definedName name="__XX12">#REF!</definedName>
    <definedName name="__XX13" localSheetId="8">#REF!</definedName>
    <definedName name="__XX13" localSheetId="2">#REF!</definedName>
    <definedName name="__XX13" localSheetId="1">#REF!</definedName>
    <definedName name="__XX13">#REF!</definedName>
    <definedName name="__XX14" localSheetId="8">#REF!</definedName>
    <definedName name="__XX14" localSheetId="2">#REF!</definedName>
    <definedName name="__XX14" localSheetId="1">#REF!</definedName>
    <definedName name="__XX14">#REF!</definedName>
    <definedName name="__XX15" localSheetId="8">#REF!</definedName>
    <definedName name="__XX15" localSheetId="2">#REF!</definedName>
    <definedName name="__XX15" localSheetId="1">#REF!</definedName>
    <definedName name="__XX15">#REF!</definedName>
    <definedName name="__XX16" localSheetId="8">#REF!</definedName>
    <definedName name="__XX16" localSheetId="2">#REF!</definedName>
    <definedName name="__XX16" localSheetId="1">#REF!</definedName>
    <definedName name="__XX16">#REF!</definedName>
    <definedName name="__XX17" localSheetId="8">#REF!</definedName>
    <definedName name="__XX17" localSheetId="2">#REF!</definedName>
    <definedName name="__XX17" localSheetId="1">#REF!</definedName>
    <definedName name="__XX17">#REF!</definedName>
    <definedName name="__XX18" localSheetId="8">#REF!</definedName>
    <definedName name="__XX18" localSheetId="2">#REF!</definedName>
    <definedName name="__XX18" localSheetId="1">#REF!</definedName>
    <definedName name="__XX18">#REF!</definedName>
    <definedName name="__XX19" localSheetId="8">#REF!</definedName>
    <definedName name="__XX19" localSheetId="2">#REF!</definedName>
    <definedName name="__XX19" localSheetId="1">#REF!</definedName>
    <definedName name="__XX19">#REF!</definedName>
    <definedName name="__XX20" localSheetId="8">#REF!</definedName>
    <definedName name="__XX20" localSheetId="2">#REF!</definedName>
    <definedName name="__XX20" localSheetId="1">#REF!</definedName>
    <definedName name="__XX20">#REF!</definedName>
    <definedName name="__XX21" localSheetId="8">#REF!</definedName>
    <definedName name="__XX21" localSheetId="2">#REF!</definedName>
    <definedName name="__XX21" localSheetId="1">#REF!</definedName>
    <definedName name="__XX21">#REF!</definedName>
    <definedName name="__XX22" localSheetId="8">#REF!</definedName>
    <definedName name="__XX22" localSheetId="2">#REF!</definedName>
    <definedName name="__XX22" localSheetId="1">#REF!</definedName>
    <definedName name="__XX22">#REF!</definedName>
    <definedName name="__XX23" localSheetId="8">#REF!</definedName>
    <definedName name="__XX23" localSheetId="2">#REF!</definedName>
    <definedName name="__XX23" localSheetId="1">#REF!</definedName>
    <definedName name="__XX23">#REF!</definedName>
    <definedName name="__XX24" localSheetId="8">#REF!</definedName>
    <definedName name="__XX24" localSheetId="2">#REF!</definedName>
    <definedName name="__XX24" localSheetId="1">#REF!</definedName>
    <definedName name="__XX24">#REF!</definedName>
    <definedName name="__XX25" localSheetId="8">#REF!</definedName>
    <definedName name="__XX25" localSheetId="2">#REF!</definedName>
    <definedName name="__XX25" localSheetId="1">#REF!</definedName>
    <definedName name="__XX25">#REF!</definedName>
    <definedName name="__XX26" localSheetId="8">#REF!</definedName>
    <definedName name="__XX26" localSheetId="2">#REF!</definedName>
    <definedName name="__XX26" localSheetId="1">#REF!</definedName>
    <definedName name="__XX26">#REF!</definedName>
    <definedName name="__XX27" localSheetId="8">#REF!</definedName>
    <definedName name="__XX27" localSheetId="2">#REF!</definedName>
    <definedName name="__XX27" localSheetId="1">#REF!</definedName>
    <definedName name="__XX27">#REF!</definedName>
    <definedName name="__XX28" localSheetId="8">#REF!</definedName>
    <definedName name="__XX28" localSheetId="2">#REF!</definedName>
    <definedName name="__XX28" localSheetId="1">#REF!</definedName>
    <definedName name="__XX28">#REF!</definedName>
    <definedName name="__XX29" localSheetId="8">#REF!</definedName>
    <definedName name="__XX29" localSheetId="2">#REF!</definedName>
    <definedName name="__XX29" localSheetId="1">#REF!</definedName>
    <definedName name="__XX29">#REF!</definedName>
    <definedName name="__XX30" localSheetId="8">#REF!</definedName>
    <definedName name="__XX30" localSheetId="2">#REF!</definedName>
    <definedName name="__XX30" localSheetId="1">#REF!</definedName>
    <definedName name="__XX30">#REF!</definedName>
    <definedName name="__XX31" localSheetId="8">#REF!</definedName>
    <definedName name="__XX31" localSheetId="2">#REF!</definedName>
    <definedName name="__XX31" localSheetId="1">#REF!</definedName>
    <definedName name="__XX31">#REF!</definedName>
    <definedName name="__XX32" localSheetId="8">#REF!</definedName>
    <definedName name="__XX32" localSheetId="2">#REF!</definedName>
    <definedName name="__XX32" localSheetId="1">#REF!</definedName>
    <definedName name="__XX32">#REF!</definedName>
    <definedName name="__XX33" localSheetId="8">#REF!</definedName>
    <definedName name="__XX33" localSheetId="2">#REF!</definedName>
    <definedName name="__XX33" localSheetId="1">#REF!</definedName>
    <definedName name="__XX33">#REF!</definedName>
    <definedName name="__XX34" localSheetId="8">#REF!</definedName>
    <definedName name="__XX34" localSheetId="2">#REF!</definedName>
    <definedName name="__XX34" localSheetId="1">#REF!</definedName>
    <definedName name="__XX34">#REF!</definedName>
    <definedName name="__XX35" localSheetId="8">#REF!</definedName>
    <definedName name="__XX35" localSheetId="2">#REF!</definedName>
    <definedName name="__XX35" localSheetId="1">#REF!</definedName>
    <definedName name="__XX35">#REF!</definedName>
    <definedName name="__XX36" localSheetId="8">#REF!</definedName>
    <definedName name="__XX36" localSheetId="2">#REF!</definedName>
    <definedName name="__XX36" localSheetId="1">#REF!</definedName>
    <definedName name="__XX36">#REF!</definedName>
    <definedName name="__XX37" localSheetId="8">#REF!</definedName>
    <definedName name="__XX37" localSheetId="2">#REF!</definedName>
    <definedName name="__XX37" localSheetId="1">#REF!</definedName>
    <definedName name="__XX37">#REF!</definedName>
    <definedName name="__XX38" localSheetId="8">#REF!</definedName>
    <definedName name="__XX38" localSheetId="2">#REF!</definedName>
    <definedName name="__XX38" localSheetId="1">#REF!</definedName>
    <definedName name="__XX38">#REF!</definedName>
    <definedName name="__XX39" localSheetId="8">#REF!</definedName>
    <definedName name="__XX39" localSheetId="2">#REF!</definedName>
    <definedName name="__XX39" localSheetId="1">#REF!</definedName>
    <definedName name="__XX39">#REF!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localSheetId="8">#REF!</definedName>
    <definedName name="_1" localSheetId="2">#REF!</definedName>
    <definedName name="_1" localSheetId="1">#REF!</definedName>
    <definedName name="_1">#REF!</definedName>
    <definedName name="_1_" localSheetId="8">#REF!</definedName>
    <definedName name="_1_" localSheetId="2">#REF!</definedName>
    <definedName name="_1_" localSheetId="1">#REF!</definedName>
    <definedName name="_1_">#REF!</definedName>
    <definedName name="_1_?쾴?" localSheetId="8">#REF!</definedName>
    <definedName name="_1_?쾴?" localSheetId="2">#REF!</definedName>
    <definedName name="_1_?쾴?" localSheetId="1">#REF!</definedName>
    <definedName name="_1_?쾴?">#REF!</definedName>
    <definedName name="_1__123Graph_A차트_1" localSheetId="8" hidden="1">#REF!</definedName>
    <definedName name="_1__123Graph_A차트_1" localSheetId="2" hidden="1">#REF!</definedName>
    <definedName name="_1__123Graph_A차트_1" localSheetId="1" hidden="1">#REF!</definedName>
    <definedName name="_1__123Graph_A차트_1" hidden="1">#REF!</definedName>
    <definedName name="_10" localSheetId="8">#REF!</definedName>
    <definedName name="_10" localSheetId="2">#REF!</definedName>
    <definedName name="_10" localSheetId="1">#REF!</definedName>
    <definedName name="_10">#REF!</definedName>
    <definedName name="_10__123Graph_A차트_1" localSheetId="8" hidden="1">#REF!</definedName>
    <definedName name="_10__123Graph_A차트_1" localSheetId="2" hidden="1">#REF!</definedName>
    <definedName name="_10__123Graph_A차트_1" localSheetId="1" hidden="1">#REF!</definedName>
    <definedName name="_10__123Graph_A차트_1" hidden="1">#REF!</definedName>
    <definedName name="_10__123Graph_B차트_1" localSheetId="8" hidden="1">#REF!</definedName>
    <definedName name="_10__123Graph_B차트_1" localSheetId="2" hidden="1">#REF!</definedName>
    <definedName name="_10__123Graph_B차트_1" localSheetId="1" hidden="1">#REF!</definedName>
    <definedName name="_10__123Graph_B차트_1" hidden="1">#REF!</definedName>
    <definedName name="_10__123Graph_C차트_1" localSheetId="8" hidden="1">#REF!</definedName>
    <definedName name="_10__123Graph_C차트_1" localSheetId="2" hidden="1">#REF!</definedName>
    <definedName name="_10__123Graph_C차트_1" localSheetId="1" hidden="1">#REF!</definedName>
    <definedName name="_10__123Graph_C차트_1" hidden="1">#REF!</definedName>
    <definedName name="_10_11" localSheetId="8">#REF!</definedName>
    <definedName name="_10_11" localSheetId="2">#REF!</definedName>
    <definedName name="_10_11" localSheetId="1">#REF!</definedName>
    <definedName name="_10_11">#REF!</definedName>
    <definedName name="_10Å__·¹_ÀÓ">#N/A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1" localSheetId="8">#REF!</definedName>
    <definedName name="_11" localSheetId="2">#REF!</definedName>
    <definedName name="_11" localSheetId="1">#REF!</definedName>
    <definedName name="_11">#REF!</definedName>
    <definedName name="_11__123Graph_C차트_1" localSheetId="8" hidden="1">#REF!</definedName>
    <definedName name="_11__123Graph_C차트_1" localSheetId="2" hidden="1">#REF!</definedName>
    <definedName name="_11__123Graph_C차트_1" localSheetId="1" hidden="1">#REF!</definedName>
    <definedName name="_11__123Graph_C차트_1" hidden="1">#REF!</definedName>
    <definedName name="_11_20020826기본" localSheetId="8">#REF!</definedName>
    <definedName name="_11_20020826기본" localSheetId="2">#REF!</definedName>
    <definedName name="_11_20020826기본" localSheetId="1">#REF!</definedName>
    <definedName name="_11_20020826기본">#REF!</definedName>
    <definedName name="_12" localSheetId="8">#REF!</definedName>
    <definedName name="_12" localSheetId="2">#REF!</definedName>
    <definedName name="_12" localSheetId="1">#REF!</definedName>
    <definedName name="_12">#REF!</definedName>
    <definedName name="_12__123Graph_B차트_1" localSheetId="8" hidden="1">#REF!</definedName>
    <definedName name="_12__123Graph_B차트_1" localSheetId="2" hidden="1">#REF!</definedName>
    <definedName name="_12__123Graph_B차트_1" localSheetId="1" hidden="1">#REF!</definedName>
    <definedName name="_12__123Graph_B차트_1" hidden="1">#REF!</definedName>
    <definedName name="_12__123Graph_X차트_1" localSheetId="8" hidden="1">#REF!</definedName>
    <definedName name="_12__123Graph_X차트_1" localSheetId="2" hidden="1">#REF!</definedName>
    <definedName name="_12__123Graph_X차트_1" localSheetId="1" hidden="1">#REF!</definedName>
    <definedName name="_12__123Graph_X차트_1" hidden="1">#REF!</definedName>
    <definedName name="_12_6" localSheetId="8">#REF!</definedName>
    <definedName name="_12_6" localSheetId="2">#REF!</definedName>
    <definedName name="_12_6" localSheetId="1">#REF!</definedName>
    <definedName name="_12_6">#REF!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ãæÐ_ÍïÞÀ_Íª">#N/A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j1_" hidden="1">{#N/A,#N/A,FALSE,"손익표지";#N/A,#N/A,FALSE,"손익계산";#N/A,#N/A,FALSE,"일반관리비";#N/A,#N/A,FALSE,"영업외수익";#N/A,#N/A,FALSE,"영업외비용";#N/A,#N/A,FALSE,"매출액";#N/A,#N/A,FALSE,"요약손익";#N/A,#N/A,FALSE,"요약대차";#N/A,#N/A,FALSE,"매출채권현황";#N/A,#N/A,FALSE,"매출채권명세"}</definedName>
    <definedName name="_13" localSheetId="8">#REF!</definedName>
    <definedName name="_13" localSheetId="2">#REF!</definedName>
    <definedName name="_13" localSheetId="1">#REF!</definedName>
    <definedName name="_13">#REF!</definedName>
    <definedName name="_13_7" localSheetId="8">#REF!</definedName>
    <definedName name="_13_7" localSheetId="2">#REF!</definedName>
    <definedName name="_13_7" localSheetId="1">#REF!</definedName>
    <definedName name="_13_7">#REF!</definedName>
    <definedName name="_13GO1_" localSheetId="8">#REF!</definedName>
    <definedName name="_13GO1_" localSheetId="2">#REF!</definedName>
    <definedName name="_13GO1_" localSheetId="1">#REF!</definedName>
    <definedName name="_13GO1_">#REF!</definedName>
    <definedName name="_14" localSheetId="8">#REF!</definedName>
    <definedName name="_14" localSheetId="2">#REF!</definedName>
    <definedName name="_14" localSheetId="1">#REF!</definedName>
    <definedName name="_14">#REF!</definedName>
    <definedName name="_14__123Graph_C차트_1" localSheetId="8" hidden="1">#REF!</definedName>
    <definedName name="_14__123Graph_C차트_1" localSheetId="2" hidden="1">#REF!</definedName>
    <definedName name="_14__123Graph_C차트_1" localSheetId="1" hidden="1">#REF!</definedName>
    <definedName name="_14__123Graph_C차트_1" hidden="1">#REF!</definedName>
    <definedName name="_14_8" localSheetId="8">#REF!</definedName>
    <definedName name="_14_8" localSheetId="2">#REF!</definedName>
    <definedName name="_14_8" localSheetId="1">#REF!</definedName>
    <definedName name="_14_8">#REF!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9_" hidden="1">{#N/A,#N/A,FALSE,"손익표지";#N/A,#N/A,FALSE,"손익계산";#N/A,#N/A,FALSE,"일반관리비";#N/A,#N/A,FALSE,"영업외수익";#N/A,#N/A,FALSE,"영업외비용";#N/A,#N/A,FALSE,"매출액";#N/A,#N/A,FALSE,"요약손익";#N/A,#N/A,FALSE,"요약대차";#N/A,#N/A,FALSE,"매출채권현황";#N/A,#N/A,FALSE,"매출채권명세"}</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GO2_" localSheetId="8">#REF!</definedName>
    <definedName name="_14GO2_" localSheetId="2">#REF!</definedName>
    <definedName name="_14GO2_" localSheetId="1">#REF!</definedName>
    <definedName name="_14GO2_">#REF!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5" localSheetId="8">#REF!</definedName>
    <definedName name="_15" localSheetId="2">#REF!</definedName>
    <definedName name="_15" localSheetId="1">#REF!</definedName>
    <definedName name="_15">#REF!</definedName>
    <definedName name="_15_8_0R" localSheetId="8">#REF!</definedName>
    <definedName name="_15_8_0R" localSheetId="2">#REF!</definedName>
    <definedName name="_15_8_0R" localSheetId="1">#REF!</definedName>
    <definedName name="_15_8_0R">#REF!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go3_" localSheetId="8">#REF!</definedName>
    <definedName name="_15go3_" localSheetId="2">#REF!</definedName>
    <definedName name="_15go3_" localSheetId="1">#REF!</definedName>
    <definedName name="_15go3_">#REF!</definedName>
    <definedName name="_16" localSheetId="8">#REF!</definedName>
    <definedName name="_16" localSheetId="2">#REF!</definedName>
    <definedName name="_16" localSheetId="1">#REF!</definedName>
    <definedName name="_16">#REF!</definedName>
    <definedName name="_16__123Graph_X차트_1" localSheetId="8" hidden="1">#REF!</definedName>
    <definedName name="_16__123Graph_X차트_1" localSheetId="2" hidden="1">#REF!</definedName>
    <definedName name="_16__123Graph_X차트_1" localSheetId="1" hidden="1">#REF!</definedName>
    <definedName name="_16__123Graph_X차트_1" hidden="1">#REF!</definedName>
    <definedName name="_16_9" localSheetId="8">#REF!</definedName>
    <definedName name="_16_9" localSheetId="2">#REF!</definedName>
    <definedName name="_16_9" localSheetId="1">#REF!</definedName>
    <definedName name="_16_9">#REF!</definedName>
    <definedName name="_17" localSheetId="8">#REF!</definedName>
    <definedName name="_17" localSheetId="2">#REF!</definedName>
    <definedName name="_17" localSheetId="1">#REF!</definedName>
    <definedName name="_17">#REF!</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0R" localSheetId="8">#REF!</definedName>
    <definedName name="_17B_0R" localSheetId="2">#REF!</definedName>
    <definedName name="_17B_0R" localSheetId="1">#REF!</definedName>
    <definedName name="_17B_0R">#REF!</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 localSheetId="8">#REF!</definedName>
    <definedName name="_18" localSheetId="2">#REF!</definedName>
    <definedName name="_18" localSheetId="1">#REF!</definedName>
    <definedName name="_18">#REF!</definedName>
    <definedName name="_18__123Graph_C차트_1" localSheetId="8" hidden="1">#REF!</definedName>
    <definedName name="_18__123Graph_C차트_1" localSheetId="2" hidden="1">#REF!</definedName>
    <definedName name="_18__123Graph_C차트_1" localSheetId="1" hidden="1">#REF!</definedName>
    <definedName name="_18__123Graph_C차트_1"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_0R" localSheetId="8">#REF!</definedName>
    <definedName name="_18D_0R" localSheetId="2">#REF!</definedName>
    <definedName name="_18D_0R" localSheetId="1">#REF!</definedName>
    <definedName name="_18D_0R">#REF!</definedName>
    <definedName name="_18j1_" hidden="1">{#N/A,#N/A,FALSE,"손익표지";#N/A,#N/A,FALSE,"손익계산";#N/A,#N/A,FALSE,"일반관리비";#N/A,#N/A,FALSE,"영업외수익";#N/A,#N/A,FALSE,"영업외비용";#N/A,#N/A,FALSE,"매출액";#N/A,#N/A,FALSE,"요약손익";#N/A,#N/A,FALSE,"요약대차";#N/A,#N/A,FALSE,"매출채권현황";#N/A,#N/A,FALSE,"매출채권명세"}</definedName>
    <definedName name="_19" localSheetId="8">#REF!</definedName>
    <definedName name="_19" localSheetId="2">#REF!</definedName>
    <definedName name="_19" localSheetId="1">#REF!</definedName>
    <definedName name="_19">#REF!</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9L_0R" localSheetId="8">#REF!</definedName>
    <definedName name="_19L_0R" localSheetId="2">#REF!</definedName>
    <definedName name="_19L_0R" localSheetId="1">#REF!</definedName>
    <definedName name="_19L_0R">#REF!</definedName>
    <definedName name="_2" localSheetId="8">#REF!</definedName>
    <definedName name="_2" localSheetId="2">#REF!</definedName>
    <definedName name="_2" localSheetId="1">#REF!</definedName>
    <definedName name="_2">#REF!</definedName>
    <definedName name="_2_?쾴?_?" localSheetId="8">#REF!</definedName>
    <definedName name="_2_?쾴?_?" localSheetId="2">#REF!</definedName>
    <definedName name="_2_?쾴?_?" localSheetId="1">#REF!</definedName>
    <definedName name="_2_?쾴?_?">#REF!</definedName>
    <definedName name="_2__123Graph_A차트_1" localSheetId="8" hidden="1">#REF!</definedName>
    <definedName name="_2__123Graph_A차트_1" localSheetId="2" hidden="1">#REF!</definedName>
    <definedName name="_2__123Graph_A차트_1" localSheetId="1" hidden="1">#REF!</definedName>
    <definedName name="_2__123Graph_A차트_1" hidden="1">#REF!</definedName>
    <definedName name="_2__123Graph_B차트_1" localSheetId="8" hidden="1">#REF!</definedName>
    <definedName name="_2__123Graph_B차트_1" localSheetId="2" hidden="1">#REF!</definedName>
    <definedName name="_2__123Graph_B차트_1" localSheetId="1" hidden="1">#REF!</definedName>
    <definedName name="_2__123Graph_B차트_1" hidden="1">#REF!</definedName>
    <definedName name="_2_1._공제조합" localSheetId="8">#REF!</definedName>
    <definedName name="_2_1._공제조합" localSheetId="2">#REF!</definedName>
    <definedName name="_2_1._공제조합" localSheetId="1">#REF!</definedName>
    <definedName name="_2_1._공제조합">#REF!</definedName>
    <definedName name="_20" localSheetId="8">#REF!</definedName>
    <definedName name="_20" localSheetId="2">#REF!</definedName>
    <definedName name="_20" localSheetId="1">#REF!</definedName>
    <definedName name="_20">#REF!</definedName>
    <definedName name="_20020826기본" localSheetId="8">#REF!</definedName>
    <definedName name="_20020826기본" localSheetId="2">#REF!</definedName>
    <definedName name="_20020826기본" localSheetId="1">#REF!</definedName>
    <definedName name="_20020826기본">#REF!</definedName>
    <definedName name="_20j1_" hidden="1">{#N/A,#N/A,FALSE,"손익표지";#N/A,#N/A,FALSE,"손익계산";#N/A,#N/A,FALSE,"일반관리비";#N/A,#N/A,FALSE,"영업외수익";#N/A,#N/A,FALSE,"영업외비용";#N/A,#N/A,FALSE,"매출액";#N/A,#N/A,FALSE,"요약손익";#N/A,#N/A,FALSE,"요약대차";#N/A,#N/A,FALSE,"매출채권현황";#N/A,#N/A,FALSE,"매출채권명세"}</definedName>
    <definedName name="_20N_0R" localSheetId="8">#REF!</definedName>
    <definedName name="_20N_0R" localSheetId="2">#REF!</definedName>
    <definedName name="_20N_0R" localSheetId="1">#REF!</definedName>
    <definedName name="_20N_0R">#REF!</definedName>
    <definedName name="_21P_0R" localSheetId="8">#REF!</definedName>
    <definedName name="_21P_0R" localSheetId="2">#REF!</definedName>
    <definedName name="_21P_0R" localSheetId="1">#REF!</definedName>
    <definedName name="_21P_0R">#REF!</definedName>
    <definedName name="_22Å__·¹_ÀÓ">#N/A</definedName>
    <definedName name="_22T_0R" localSheetId="8">#REF!</definedName>
    <definedName name="_22T_0R" localSheetId="2">#REF!</definedName>
    <definedName name="_22T_0R" localSheetId="1">#REF!</definedName>
    <definedName name="_22T_0R">#REF!</definedName>
    <definedName name="_23V_0R" localSheetId="8">#REF!</definedName>
    <definedName name="_23V_0R" localSheetId="2">#REF!</definedName>
    <definedName name="_23V_0R" localSheetId="1">#REF!</definedName>
    <definedName name="_23V_0R">#REF!</definedName>
    <definedName name="_24__123Graph_X차트_1" localSheetId="8" hidden="1">#REF!</definedName>
    <definedName name="_24__123Graph_X차트_1" localSheetId="2" hidden="1">#REF!</definedName>
    <definedName name="_24__123Graph_X차트_1" localSheetId="1" hidden="1">#REF!</definedName>
    <definedName name="_24__123Graph_X차트_1" hidden="1">#REF!</definedName>
    <definedName name="_24X_0R" localSheetId="8">#REF!</definedName>
    <definedName name="_24X_0R" localSheetId="2">#REF!</definedName>
    <definedName name="_24X_0R" localSheetId="1">#REF!</definedName>
    <definedName name="_24X_0R">#REF!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7ãæÐ_ÍïÞÀ_Íª">#N/A</definedName>
    <definedName name="_28A9_" hidden="1">{#N/A,#N/A,FALSE,"손익표지";#N/A,#N/A,FALSE,"손익계산";#N/A,#N/A,FALSE,"일반관리비";#N/A,#N/A,FALSE,"영업외수익";#N/A,#N/A,FALSE,"영업외비용";#N/A,#N/A,FALSE,"매출액";#N/A,#N/A,FALSE,"요약손익";#N/A,#N/A,FALSE,"요약대차";#N/A,#N/A,FALSE,"매출채권현황";#N/A,#N/A,FALSE,"매출채권명세"}</definedName>
    <definedName name="_2C" localSheetId="8">#REF!</definedName>
    <definedName name="_2C" localSheetId="2">#REF!</definedName>
    <definedName name="_2C" localSheetId="1">#REF!</definedName>
    <definedName name="_2C">#REF!</definedName>
    <definedName name="_3" localSheetId="8">#REF!</definedName>
    <definedName name="_3" localSheetId="2">#REF!</definedName>
    <definedName name="_3" localSheetId="1">#REF!</definedName>
    <definedName name="_3">#REF!</definedName>
    <definedName name="_3_?쾴?___P" localSheetId="8">#REF!</definedName>
    <definedName name="_3_?쾴?___P" localSheetId="2">#REF!</definedName>
    <definedName name="_3_?쾴?___P" localSheetId="1">#REF!</definedName>
    <definedName name="_3_?쾴?___P">#REF!</definedName>
    <definedName name="_3__123Graph_C차트_1" localSheetId="8" hidden="1">#REF!</definedName>
    <definedName name="_3__123Graph_C차트_1" localSheetId="2" hidden="1">#REF!</definedName>
    <definedName name="_3__123Graph_C차트_1" localSheetId="1" hidden="1">#REF!</definedName>
    <definedName name="_3__123Graph_C차트_1" hidden="1">#REF!</definedName>
    <definedName name="_3_0R" localSheetId="8">#REF!</definedName>
    <definedName name="_3_0R" localSheetId="2">#REF!</definedName>
    <definedName name="_3_0R" localSheetId="1">#REF!</definedName>
    <definedName name="_3_0R">#REF!</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4" localSheetId="8">#REF!</definedName>
    <definedName name="_4" localSheetId="2">#REF!</definedName>
    <definedName name="_4" localSheetId="1">#REF!</definedName>
    <definedName name="_4">#REF!</definedName>
    <definedName name="_4_?쾴?_T" localSheetId="8">#REF!</definedName>
    <definedName name="_4_?쾴?_T" localSheetId="2">#REF!</definedName>
    <definedName name="_4_?쾴?_T" localSheetId="1">#REF!</definedName>
    <definedName name="_4_?쾴?_T">#REF!</definedName>
    <definedName name="_4__123Graph_B차트_1" localSheetId="8" hidden="1">#REF!</definedName>
    <definedName name="_4__123Graph_B차트_1" localSheetId="2" hidden="1">#REF!</definedName>
    <definedName name="_4__123Graph_B차트_1" localSheetId="1" hidden="1">#REF!</definedName>
    <definedName name="_4__123Graph_B차트_1" hidden="1">#REF!</definedName>
    <definedName name="_4__123Graph_X차트_1" localSheetId="8" hidden="1">#REF!</definedName>
    <definedName name="_4__123Graph_X차트_1" localSheetId="2" hidden="1">#REF!</definedName>
    <definedName name="_4__123Graph_X차트_1" localSheetId="1" hidden="1">#REF!</definedName>
    <definedName name="_4__123Graph_X차트_1" hidden="1">#REF!</definedName>
    <definedName name="_4_0R" localSheetId="8">#REF!</definedName>
    <definedName name="_4_0R" localSheetId="2">#REF!</definedName>
    <definedName name="_4_0R" localSheetId="1">#REF!</definedName>
    <definedName name="_4_0R">#REF!</definedName>
    <definedName name="_４４__分_期" localSheetId="8">#REF!</definedName>
    <definedName name="_４４__分_期" localSheetId="2">#REF!</definedName>
    <definedName name="_４４__分_期" localSheetId="1">#REF!</definedName>
    <definedName name="_４４__分_期">#REF!</definedName>
    <definedName name="_5" localSheetId="8">#REF!</definedName>
    <definedName name="_5" localSheetId="2">#REF!</definedName>
    <definedName name="_5" localSheetId="1">#REF!</definedName>
    <definedName name="_5">#REF!</definedName>
    <definedName name="_5_" localSheetId="8">#REF!</definedName>
    <definedName name="_5_" localSheetId="2">#REF!</definedName>
    <definedName name="_5_" localSheetId="1">#REF!</definedName>
    <definedName name="_5_">#REF!</definedName>
    <definedName name="_5___123Graph_A차트_1" localSheetId="8" hidden="1">#REF!</definedName>
    <definedName name="_5___123Graph_A차트_1" localSheetId="2" hidden="1">#REF!</definedName>
    <definedName name="_5___123Graph_A차트_1" localSheetId="1" hidden="1">#REF!</definedName>
    <definedName name="_5___123Graph_A차트_1" hidden="1">#REF!</definedName>
    <definedName name="_5__123Graph_A차트_1" localSheetId="8" hidden="1">#REF!</definedName>
    <definedName name="_5__123Graph_A차트_1" localSheetId="2" hidden="1">#REF!</definedName>
    <definedName name="_5__123Graph_A차트_1" localSheetId="1" hidden="1">#REF!</definedName>
    <definedName name="_5__123Graph_A차트_1" hidden="1">#REF!</definedName>
    <definedName name="_5__123Graph_B차트_1" localSheetId="8" hidden="1">#REF!</definedName>
    <definedName name="_5__123Graph_B차트_1" localSheetId="2" hidden="1">#REF!</definedName>
    <definedName name="_5__123Graph_B차트_1" localSheetId="1" hidden="1">#REF!</definedName>
    <definedName name="_5__123Graph_B차트_1" hidden="1">#REF!</definedName>
    <definedName name="_5_0R" localSheetId="8">#REF!</definedName>
    <definedName name="_5_0R" localSheetId="2">#REF!</definedName>
    <definedName name="_5_0R" localSheetId="1">#REF!</definedName>
    <definedName name="_5_0R">#REF!</definedName>
    <definedName name="_51j1_" hidden="1">{#N/A,#N/A,FALSE,"손익표지";#N/A,#N/A,FALSE,"손익계산";#N/A,#N/A,FALSE,"일반관리비";#N/A,#N/A,FALSE,"영업외수익";#N/A,#N/A,FALSE,"영업외비용";#N/A,#N/A,FALSE,"매출액";#N/A,#N/A,FALSE,"요약손익";#N/A,#N/A,FALSE,"요약대차";#N/A,#N/A,FALSE,"매출채권현황";#N/A,#N/A,FALSE,"매출채권명세"}</definedName>
    <definedName name="_5A9_" hidden="1">{#N/A,#N/A,FALSE,"손익표지";#N/A,#N/A,FALSE,"손익계산";#N/A,#N/A,FALSE,"일반관리비";#N/A,#N/A,FALSE,"영업외수익";#N/A,#N/A,FALSE,"영업외비용";#N/A,#N/A,FALSE,"매출액";#N/A,#N/A,FALSE,"요약손익";#N/A,#N/A,FALSE,"요약대차";#N/A,#N/A,FALSE,"매출채권현황";#N/A,#N/A,FALSE,"매출채권명세"}</definedName>
    <definedName name="_6" localSheetId="8">#REF!</definedName>
    <definedName name="_6" localSheetId="2">#REF!</definedName>
    <definedName name="_6" localSheetId="1">#REF!</definedName>
    <definedName name="_6">#REF!</definedName>
    <definedName name="_6___123Graph_B차트_1" localSheetId="8" hidden="1">#REF!</definedName>
    <definedName name="_6___123Graph_B차트_1" localSheetId="2" hidden="1">#REF!</definedName>
    <definedName name="_6___123Graph_B차트_1" localSheetId="1" hidden="1">#REF!</definedName>
    <definedName name="_6___123Graph_B차트_1" hidden="1">#REF!</definedName>
    <definedName name="_6__123Graph_A차트_1" localSheetId="8" hidden="1">#REF!</definedName>
    <definedName name="_6__123Graph_A차트_1" localSheetId="2" hidden="1">#REF!</definedName>
    <definedName name="_6__123Graph_A차트_1" localSheetId="1" hidden="1">#REF!</definedName>
    <definedName name="_6__123Graph_A차트_1" hidden="1">#REF!</definedName>
    <definedName name="_6__123Graph_B차트_1" localSheetId="8" hidden="1">#REF!</definedName>
    <definedName name="_6__123Graph_B차트_1" localSheetId="2" hidden="1">#REF!</definedName>
    <definedName name="_6__123Graph_B차트_1" localSheetId="1" hidden="1">#REF!</definedName>
    <definedName name="_6__123Graph_B차트_1" hidden="1">#REF!</definedName>
    <definedName name="_6__123Graph_C차트_1" localSheetId="8" hidden="1">#REF!</definedName>
    <definedName name="_6__123Graph_C차트_1" localSheetId="2" hidden="1">#REF!</definedName>
    <definedName name="_6__123Graph_C차트_1" localSheetId="1" hidden="1">#REF!</definedName>
    <definedName name="_6__123Graph_C차트_1" hidden="1">#REF!</definedName>
    <definedName name="_6j1_" hidden="1">{#N/A,#N/A,FALSE,"손익표지";#N/A,#N/A,FALSE,"손익계산";#N/A,#N/A,FALSE,"일반관리비";#N/A,#N/A,FALSE,"영업외수익";#N/A,#N/A,FALSE,"영업외비용";#N/A,#N/A,FALSE,"매출액";#N/A,#N/A,FALSE,"요약손익";#N/A,#N/A,FALSE,"요약대차";#N/A,#N/A,FALSE,"매출채권현황";#N/A,#N/A,FALSE,"매출채권명세"}</definedName>
    <definedName name="_7" localSheetId="8">#REF!</definedName>
    <definedName name="_7" localSheetId="2">#REF!</definedName>
    <definedName name="_7" localSheetId="1">#REF!</definedName>
    <definedName name="_7">#REF!</definedName>
    <definedName name="_7___123Graph_C차트_1" localSheetId="8" hidden="1">#REF!</definedName>
    <definedName name="_7___123Graph_C차트_1" localSheetId="2" hidden="1">#REF!</definedName>
    <definedName name="_7___123Graph_C차트_1" localSheetId="1" hidden="1">#REF!</definedName>
    <definedName name="_7___123Graph_C차트_1" hidden="1">#REF!</definedName>
    <definedName name="_7__123Graph_B차트_1" localSheetId="8" hidden="1">#REF!</definedName>
    <definedName name="_7__123Graph_B차트_1" localSheetId="2" hidden="1">#REF!</definedName>
    <definedName name="_7__123Graph_B차트_1" localSheetId="1" hidden="1">#REF!</definedName>
    <definedName name="_7__123Graph_B차트_1" hidden="1">#REF!</definedName>
    <definedName name="_7__123Graph_C차트_1" localSheetId="8" hidden="1">#REF!</definedName>
    <definedName name="_7__123Graph_C차트_1" localSheetId="2" hidden="1">#REF!</definedName>
    <definedName name="_7__123Graph_C차트_1" localSheetId="1" hidden="1">#REF!</definedName>
    <definedName name="_7__123Graph_C차트_1" hidden="1">#REF!</definedName>
    <definedName name="_8" localSheetId="8">#REF!</definedName>
    <definedName name="_8" localSheetId="2">#REF!</definedName>
    <definedName name="_8" localSheetId="1">#REF!</definedName>
    <definedName name="_8">#REF!</definedName>
    <definedName name="_8___123Graph_X차트_1" localSheetId="8" hidden="1">#REF!</definedName>
    <definedName name="_8___123Graph_X차트_1" localSheetId="2" hidden="1">#REF!</definedName>
    <definedName name="_8___123Graph_X차트_1" localSheetId="1" hidden="1">#REF!</definedName>
    <definedName name="_8___123Graph_X차트_1" hidden="1">#REF!</definedName>
    <definedName name="_8__123Graph_B차트_1" localSheetId="8" hidden="1">#REF!</definedName>
    <definedName name="_8__123Graph_B차트_1" localSheetId="2" hidden="1">#REF!</definedName>
    <definedName name="_8__123Graph_B차트_1" localSheetId="1" hidden="1">#REF!</definedName>
    <definedName name="_8__123Graph_B차트_1" hidden="1">#REF!</definedName>
    <definedName name="_8__123Graph_C차트_1" localSheetId="8" hidden="1">#REF!</definedName>
    <definedName name="_8__123Graph_C차트_1" localSheetId="2" hidden="1">#REF!</definedName>
    <definedName name="_8__123Graph_C차트_1" localSheetId="1" hidden="1">#REF!</definedName>
    <definedName name="_8__123Graph_C차트_1" hidden="1">#REF!</definedName>
    <definedName name="_8__123Graph_X차트_1" localSheetId="8" hidden="1">#REF!</definedName>
    <definedName name="_8__123Graph_X차트_1" localSheetId="2" hidden="1">#REF!</definedName>
    <definedName name="_8__123Graph_X차트_1" localSheetId="1" hidden="1">#REF!</definedName>
    <definedName name="_8__123Graph_X차트_1" hidden="1">#REF!</definedName>
    <definedName name="_8A9_" hidden="1">{#N/A,#N/A,FALSE,"손익표지";#N/A,#N/A,FALSE,"손익계산";#N/A,#N/A,FALSE,"일반관리비";#N/A,#N/A,FALSE,"영업외수익";#N/A,#N/A,FALSE,"영업외비용";#N/A,#N/A,FALSE,"매출액";#N/A,#N/A,FALSE,"요약손익";#N/A,#N/A,FALSE,"요약대차";#N/A,#N/A,FALSE,"매출채권현황";#N/A,#N/A,FALSE,"매출채권명세"}</definedName>
    <definedName name="_9" localSheetId="8">#REF!</definedName>
    <definedName name="_9" localSheetId="2">#REF!</definedName>
    <definedName name="_9" localSheetId="1">#REF!</definedName>
    <definedName name="_9">#REF!</definedName>
    <definedName name="_9__123Graph_A차트_1" localSheetId="8" hidden="1">#REF!</definedName>
    <definedName name="_9__123Graph_A차트_1" localSheetId="2" hidden="1">#REF!</definedName>
    <definedName name="_9__123Graph_A차트_1" localSheetId="1" hidden="1">#REF!</definedName>
    <definedName name="_9__123Graph_A차트_1" hidden="1">#REF!</definedName>
    <definedName name="_9__123Graph_X차트_1" localSheetId="8" hidden="1">#REF!</definedName>
    <definedName name="_9__123Graph_X차트_1" localSheetId="2" hidden="1">#REF!</definedName>
    <definedName name="_9__123Graph_X차트_1" localSheetId="1" hidden="1">#REF!</definedName>
    <definedName name="_9__123Graph_X차트_1" hidden="1">#REF!</definedName>
    <definedName name="_9_10" localSheetId="8">#REF!</definedName>
    <definedName name="_9_10" localSheetId="2">#REF!</definedName>
    <definedName name="_9_10" localSheetId="1">#REF!</definedName>
    <definedName name="_9_10">#REF!</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B20996" localSheetId="8">#REF!</definedName>
    <definedName name="_B20996" localSheetId="2">#REF!</definedName>
    <definedName name="_B20996" localSheetId="1">#REF!</definedName>
    <definedName name="_B20996">#REF!</definedName>
    <definedName name="_C" localSheetId="8">#REF!</definedName>
    <definedName name="_C" localSheetId="2">#REF!</definedName>
    <definedName name="_C" localSheetId="1">#REF!</definedName>
    <definedName name="_C">#REF!</definedName>
    <definedName name="_cib27" localSheetId="8">#REF!</definedName>
    <definedName name="_cib27" localSheetId="2">#REF!</definedName>
    <definedName name="_cib27" localSheetId="1">#REF!</definedName>
    <definedName name="_cib27">#REF!</definedName>
    <definedName name="_dbk27" localSheetId="8">#REF!</definedName>
    <definedName name="_dbk27" localSheetId="2">#REF!</definedName>
    <definedName name="_dbk27" localSheetId="1">#REF!</definedName>
    <definedName name="_dbk27">#REF!</definedName>
    <definedName name="_Dist_Bin" localSheetId="8" hidden="1">#REF!</definedName>
    <definedName name="_Dist_Bin" localSheetId="2" hidden="1">#REF!</definedName>
    <definedName name="_Dist_Bin" localSheetId="1" hidden="1">#REF!</definedName>
    <definedName name="_Dist_Bin" hidden="1">#REF!</definedName>
    <definedName name="_Dist_Values" localSheetId="8" hidden="1">#REF!</definedName>
    <definedName name="_Dist_Values" localSheetId="2" hidden="1">#REF!</definedName>
    <definedName name="_Dist_Values" localSheetId="1" hidden="1">#REF!</definedName>
    <definedName name="_Dist_Values" hidden="1">#REF!</definedName>
    <definedName name="_dwg1">#N/A</definedName>
    <definedName name="_xlnm._FilterDatabase" localSheetId="3" hidden="1">'Reparing Cost'!$A$7:$X$19</definedName>
    <definedName name="_xlnm._FilterDatabase" localSheetId="8" hidden="1">'Summary 2022'!$A$9:$AE$35</definedName>
    <definedName name="_xlnm._FilterDatabase" localSheetId="7" hidden="1">'Summary 2023'!$A$50:$AB$51</definedName>
    <definedName name="_xlnm._FilterDatabase" localSheetId="6" hidden="1">'Summary 2024'!$A$8:$AH$47</definedName>
    <definedName name="_xlnm._FilterDatabase" localSheetId="5" hidden="1">'Summary 2025'!$A$5:$AD$50</definedName>
    <definedName name="_xlnm._FilterDatabase" localSheetId="4" hidden="1">'Summary 2026'!$A$5:$AE$54</definedName>
    <definedName name="_xlnm._FilterDatabase" localSheetId="2" hidden="1">'원가이체, 판관비 배부현황(1000USD)'!$A$5:$B$128</definedName>
    <definedName name="_xlnm._FilterDatabase" localSheetId="1" hidden="1">'원가이체, 판관비 배부현황(VND)'!$A$4:$C$134</definedName>
    <definedName name="_xlnm._FilterDatabase" hidden="1">#REF!</definedName>
    <definedName name="_j1" hidden="1">{#N/A,#N/A,FALSE,"손익표지";#N/A,#N/A,FALSE,"손익계산";#N/A,#N/A,FALSE,"일반관리비";#N/A,#N/A,FALSE,"영업외수익";#N/A,#N/A,FALSE,"영업외비용";#N/A,#N/A,FALSE,"매출액";#N/A,#N/A,FALSE,"요약손익";#N/A,#N/A,FALSE,"요약대차";#N/A,#N/A,FALSE,"매출채권현황";#N/A,#N/A,FALSE,"매출채권명세"}</definedName>
    <definedName name="_Key1" localSheetId="8" hidden="1">#REF!</definedName>
    <definedName name="_Key1" localSheetId="2" hidden="1">#REF!</definedName>
    <definedName name="_Key1" localSheetId="1" hidden="1">#REF!</definedName>
    <definedName name="_Key1" hidden="1">#REF!</definedName>
    <definedName name="_Key11" localSheetId="8" hidden="1">#REF!</definedName>
    <definedName name="_Key11" localSheetId="2" hidden="1">#REF!</definedName>
    <definedName name="_Key11" localSheetId="1" hidden="1">#REF!</definedName>
    <definedName name="_Key11" hidden="1">#REF!</definedName>
    <definedName name="_Key2" localSheetId="8" hidden="1">#REF!</definedName>
    <definedName name="_Key2" localSheetId="2" hidden="1">#REF!</definedName>
    <definedName name="_Key2" localSheetId="1" hidden="1">#REF!</definedName>
    <definedName name="_Key2" hidden="1">#REF!</definedName>
    <definedName name="_meb27" localSheetId="8">#REF!</definedName>
    <definedName name="_meb27" localSheetId="2">#REF!</definedName>
    <definedName name="_meb27" localSheetId="1">#REF!</definedName>
    <definedName name="_meb27">#REF!</definedName>
    <definedName name="_mtu27" localSheetId="8">#REF!</definedName>
    <definedName name="_mtu27" localSheetId="2">#REF!</definedName>
    <definedName name="_mtu27" localSheetId="1">#REF!</definedName>
    <definedName name="_mtu27">#REF!</definedName>
    <definedName name="_NO98" localSheetId="8">#REF!</definedName>
    <definedName name="_NO98" localSheetId="2">#REF!</definedName>
    <definedName name="_NO98" localSheetId="1">#REF!</definedName>
    <definedName name="_NO98">#REF!</definedName>
    <definedName name="_NON2">#N/A</definedName>
    <definedName name="_Order1">0</definedName>
    <definedName name="_Order2">0</definedName>
    <definedName name="_ordr2" hidden="1">0</definedName>
    <definedName name="_ordwre2" hidden="1">0</definedName>
    <definedName name="_OTH1" localSheetId="8">#REF!</definedName>
    <definedName name="_OTH1" localSheetId="2">#REF!</definedName>
    <definedName name="_OTH1" localSheetId="1">#REF!</definedName>
    <definedName name="_OTH1">#REF!</definedName>
    <definedName name="_P" localSheetId="8">#REF!</definedName>
    <definedName name="_P" localSheetId="2">#REF!</definedName>
    <definedName name="_P" localSheetId="1">#REF!</definedName>
    <definedName name="_P">#REF!</definedName>
    <definedName name="_P1" localSheetId="8">#REF!</definedName>
    <definedName name="_P1" localSheetId="2">#REF!</definedName>
    <definedName name="_P1" localSheetId="1">#REF!</definedName>
    <definedName name="_P1">#REF!</definedName>
    <definedName name="_P2" localSheetId="8">#REF!</definedName>
    <definedName name="_P2" localSheetId="2">#REF!</definedName>
    <definedName name="_P2" localSheetId="1">#REF!</definedName>
    <definedName name="_P2">#REF!</definedName>
    <definedName name="_P3" localSheetId="8">#REF!</definedName>
    <definedName name="_P3" localSheetId="2">#REF!</definedName>
    <definedName name="_P3" localSheetId="1">#REF!</definedName>
    <definedName name="_P3">#REF!</definedName>
    <definedName name="_P4" localSheetId="8">#REF!</definedName>
    <definedName name="_P4" localSheetId="2">#REF!</definedName>
    <definedName name="_P4" localSheetId="1">#REF!</definedName>
    <definedName name="_P4">#REF!</definedName>
    <definedName name="_PA1" localSheetId="8">#REF!</definedName>
    <definedName name="_PA1" localSheetId="2">#REF!</definedName>
    <definedName name="_PA1" localSheetId="1">#REF!</definedName>
    <definedName name="_PA1">#REF!</definedName>
    <definedName name="_Parse_In" localSheetId="8" hidden="1">#REF!</definedName>
    <definedName name="_Parse_In" localSheetId="2" hidden="1">#REF!</definedName>
    <definedName name="_Parse_In" localSheetId="1" hidden="1">#REF!</definedName>
    <definedName name="_Parse_In" hidden="1">#REF!</definedName>
    <definedName name="_pc27" localSheetId="8">#REF!</definedName>
    <definedName name="_pc27" localSheetId="2">#REF!</definedName>
    <definedName name="_pc27" localSheetId="1">#REF!</definedName>
    <definedName name="_pc27">#REF!</definedName>
    <definedName name="_pd08" localSheetId="8">#REF!</definedName>
    <definedName name="_pd08" localSheetId="2">#REF!</definedName>
    <definedName name="_pd08" localSheetId="1">#REF!</definedName>
    <definedName name="_pd08">#REF!</definedName>
    <definedName name="_pib27" localSheetId="8">#REF!</definedName>
    <definedName name="_pib27" localSheetId="2">#REF!</definedName>
    <definedName name="_pib27" localSheetId="1">#REF!</definedName>
    <definedName name="_pib27">#REF!</definedName>
    <definedName name="_pos27" localSheetId="8">#REF!</definedName>
    <definedName name="_pos27" localSheetId="2">#REF!</definedName>
    <definedName name="_pos27" localSheetId="1">#REF!</definedName>
    <definedName name="_pos27">#REF!</definedName>
    <definedName name="_PP3" localSheetId="8">#REF!</definedName>
    <definedName name="_PP3" localSheetId="2">#REF!</definedName>
    <definedName name="_PP3" localSheetId="1">#REF!</definedName>
    <definedName name="_PP3">#REF!</definedName>
    <definedName name="_ram128" localSheetId="8">#REF!</definedName>
    <definedName name="_ram128" localSheetId="2">#REF!</definedName>
    <definedName name="_ram128" localSheetId="1">#REF!</definedName>
    <definedName name="_ram128">#REF!</definedName>
    <definedName name="_ram512" localSheetId="8">#REF!</definedName>
    <definedName name="_ram512" localSheetId="2">#REF!</definedName>
    <definedName name="_ram512" localSheetId="1">#REF!</definedName>
    <definedName name="_ram512">#REF!</definedName>
    <definedName name="_Regression_Int">1</definedName>
    <definedName name="_Regression_X" localSheetId="8" hidden="1">#REF!</definedName>
    <definedName name="_Regression_X" localSheetId="2" hidden="1">#REF!</definedName>
    <definedName name="_Regression_X" localSheetId="1" hidden="1">#REF!</definedName>
    <definedName name="_Regression_X" hidden="1">#REF!</definedName>
    <definedName name="_rm27" localSheetId="8">#REF!</definedName>
    <definedName name="_rm27" localSheetId="2">#REF!</definedName>
    <definedName name="_rm27" localSheetId="1">#REF!</definedName>
    <definedName name="_rm27">#REF!</definedName>
    <definedName name="_SEL1" localSheetId="8">#REF!</definedName>
    <definedName name="_SEL1" localSheetId="2">#REF!</definedName>
    <definedName name="_SEL1" localSheetId="1">#REF!</definedName>
    <definedName name="_SEL1">#REF!</definedName>
    <definedName name="_SEL2" localSheetId="8">#REF!</definedName>
    <definedName name="_SEL2" localSheetId="2">#REF!</definedName>
    <definedName name="_SEL2" localSheetId="1">#REF!</definedName>
    <definedName name="_SEL2">#REF!</definedName>
    <definedName name="_SEL3" localSheetId="8">#REF!</definedName>
    <definedName name="_SEL3" localSheetId="2">#REF!</definedName>
    <definedName name="_SEL3" localSheetId="1">#REF!</definedName>
    <definedName name="_SEL3">#REF!</definedName>
    <definedName name="_skb27" localSheetId="8">#REF!</definedName>
    <definedName name="_skb27" localSheetId="2">#REF!</definedName>
    <definedName name="_skb27" localSheetId="1">#REF!</definedName>
    <definedName name="_skb27">#REF!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#N/A</definedName>
    <definedName name="_SR1" localSheetId="8">#REF!</definedName>
    <definedName name="_SR1" localSheetId="2">#REF!</definedName>
    <definedName name="_SR1" localSheetId="1">#REF!</definedName>
    <definedName name="_SR1">#REF!</definedName>
    <definedName name="_SR2" localSheetId="8">#REF!</definedName>
    <definedName name="_SR2" localSheetId="2">#REF!</definedName>
    <definedName name="_SR2" localSheetId="1">#REF!</definedName>
    <definedName name="_SR2">#REF!</definedName>
    <definedName name="_SR3" localSheetId="8">#REF!</definedName>
    <definedName name="_SR3" localSheetId="2">#REF!</definedName>
    <definedName name="_SR3" localSheetId="1">#REF!</definedName>
    <definedName name="_SR3">#REF!</definedName>
    <definedName name="_ST1">#N/A</definedName>
    <definedName name="_sts27" localSheetId="8">#REF!</definedName>
    <definedName name="_sts27" localSheetId="2">#REF!</definedName>
    <definedName name="_sts27" localSheetId="1">#REF!</definedName>
    <definedName name="_sts27">#REF!</definedName>
    <definedName name="_SUB4">#N/A</definedName>
    <definedName name="_Table1_In1" localSheetId="8" hidden="1">#REF!</definedName>
    <definedName name="_Table1_In1" localSheetId="2" hidden="1">#REF!</definedName>
    <definedName name="_Table1_In1" localSheetId="1" hidden="1">#REF!</definedName>
    <definedName name="_Table1_In1" hidden="1">#REF!</definedName>
    <definedName name="_Table1_Out" localSheetId="8" hidden="1">#REF!</definedName>
    <definedName name="_Table1_Out" localSheetId="2" hidden="1">#REF!</definedName>
    <definedName name="_Table1_Out" localSheetId="1" hidden="1">#REF!</definedName>
    <definedName name="_Table1_Out" hidden="1">#REF!</definedName>
    <definedName name="_TEL3">{"'tel2'!$B$29:$J$45","'tel2'!$A$5:$G$19","'tel2'!$B$50:$F$57","'tel2'!$B$105:$G$110","'tel2'!$B$63:$H$85","'tel2'!$B$14:$G$18","'tel2'!$B$29:$C$29"}</definedName>
    <definedName name="_TOT1">#N/A</definedName>
    <definedName name="_TOT2">#N/A</definedName>
    <definedName name="_U1" localSheetId="8">#REF!</definedName>
    <definedName name="_U1" localSheetId="2">#REF!</definedName>
    <definedName name="_U1" localSheetId="1">#REF!</definedName>
    <definedName name="_U1">#REF!</definedName>
    <definedName name="_U10" localSheetId="8">#REF!</definedName>
    <definedName name="_U10" localSheetId="2">#REF!</definedName>
    <definedName name="_U10" localSheetId="1">#REF!</definedName>
    <definedName name="_U10">#REF!</definedName>
    <definedName name="_U11" localSheetId="8">#REF!</definedName>
    <definedName name="_U11" localSheetId="2">#REF!</definedName>
    <definedName name="_U11" localSheetId="1">#REF!</definedName>
    <definedName name="_U11">#REF!</definedName>
    <definedName name="_U12" localSheetId="8">#REF!</definedName>
    <definedName name="_U12" localSheetId="2">#REF!</definedName>
    <definedName name="_U12" localSheetId="1">#REF!</definedName>
    <definedName name="_U12">#REF!</definedName>
    <definedName name="_U13" localSheetId="8">#REF!</definedName>
    <definedName name="_U13" localSheetId="2">#REF!</definedName>
    <definedName name="_U13" localSheetId="1">#REF!</definedName>
    <definedName name="_U13">#REF!</definedName>
    <definedName name="_U14" localSheetId="8">#REF!</definedName>
    <definedName name="_U14" localSheetId="2">#REF!</definedName>
    <definedName name="_U14" localSheetId="1">#REF!</definedName>
    <definedName name="_U14">#REF!</definedName>
    <definedName name="_U15" localSheetId="8">#REF!</definedName>
    <definedName name="_U15" localSheetId="2">#REF!</definedName>
    <definedName name="_U15" localSheetId="1">#REF!</definedName>
    <definedName name="_U15">#REF!</definedName>
    <definedName name="_U16" localSheetId="8">#REF!</definedName>
    <definedName name="_U16" localSheetId="2">#REF!</definedName>
    <definedName name="_U16" localSheetId="1">#REF!</definedName>
    <definedName name="_U16">#REF!</definedName>
    <definedName name="_U17" localSheetId="8">#REF!</definedName>
    <definedName name="_U17" localSheetId="2">#REF!</definedName>
    <definedName name="_U17" localSheetId="1">#REF!</definedName>
    <definedName name="_U17">#REF!</definedName>
    <definedName name="_U18" localSheetId="8">#REF!</definedName>
    <definedName name="_U18" localSheetId="2">#REF!</definedName>
    <definedName name="_U18" localSheetId="1">#REF!</definedName>
    <definedName name="_U18">#REF!</definedName>
    <definedName name="_U19" localSheetId="8">#REF!</definedName>
    <definedName name="_U19" localSheetId="2">#REF!</definedName>
    <definedName name="_U19" localSheetId="1">#REF!</definedName>
    <definedName name="_U19">#REF!</definedName>
    <definedName name="_U2" localSheetId="8">#REF!</definedName>
    <definedName name="_U2" localSheetId="2">#REF!</definedName>
    <definedName name="_U2" localSheetId="1">#REF!</definedName>
    <definedName name="_U2">#REF!</definedName>
    <definedName name="_U3" localSheetId="8">#REF!</definedName>
    <definedName name="_U3" localSheetId="2">#REF!</definedName>
    <definedName name="_U3" localSheetId="1">#REF!</definedName>
    <definedName name="_U3">#REF!</definedName>
    <definedName name="_U4" localSheetId="8">#REF!</definedName>
    <definedName name="_U4" localSheetId="2">#REF!</definedName>
    <definedName name="_U4" localSheetId="1">#REF!</definedName>
    <definedName name="_U4">#REF!</definedName>
    <definedName name="_U5" localSheetId="8">#REF!</definedName>
    <definedName name="_U5" localSheetId="2">#REF!</definedName>
    <definedName name="_U5" localSheetId="1">#REF!</definedName>
    <definedName name="_U5">#REF!</definedName>
    <definedName name="_U6" localSheetId="8">#REF!</definedName>
    <definedName name="_U6" localSheetId="2">#REF!</definedName>
    <definedName name="_U6" localSheetId="1">#REF!</definedName>
    <definedName name="_U6">#REF!</definedName>
    <definedName name="_U7" localSheetId="8">#REF!</definedName>
    <definedName name="_U7" localSheetId="2">#REF!</definedName>
    <definedName name="_U7" localSheetId="1">#REF!</definedName>
    <definedName name="_U7">#REF!</definedName>
    <definedName name="_U8" localSheetId="8">#REF!</definedName>
    <definedName name="_U8" localSheetId="2">#REF!</definedName>
    <definedName name="_U8" localSheetId="1">#REF!</definedName>
    <definedName name="_U8">#REF!</definedName>
    <definedName name="_U9" localSheetId="8">#REF!</definedName>
    <definedName name="_U9" localSheetId="2">#REF!</definedName>
    <definedName name="_U9" localSheetId="1">#REF!</definedName>
    <definedName name="_U9">#REF!</definedName>
    <definedName name="_US1" localSheetId="8">#REF!</definedName>
    <definedName name="_US1" localSheetId="2">#REF!</definedName>
    <definedName name="_US1" localSheetId="1">#REF!</definedName>
    <definedName name="_US1">#REF!</definedName>
    <definedName name="_XX01" localSheetId="8">#REF!</definedName>
    <definedName name="_XX01" localSheetId="2">#REF!</definedName>
    <definedName name="_XX01" localSheetId="1">#REF!</definedName>
    <definedName name="_XX01">#REF!</definedName>
    <definedName name="_XX02" localSheetId="8">#REF!</definedName>
    <definedName name="_XX02" localSheetId="2">#REF!</definedName>
    <definedName name="_XX02" localSheetId="1">#REF!</definedName>
    <definedName name="_XX02">#REF!</definedName>
    <definedName name="_XX03" localSheetId="8">#REF!</definedName>
    <definedName name="_XX03" localSheetId="2">#REF!</definedName>
    <definedName name="_XX03" localSheetId="1">#REF!</definedName>
    <definedName name="_XX03">#REF!</definedName>
    <definedName name="_XX04" localSheetId="8">#REF!</definedName>
    <definedName name="_XX04" localSheetId="2">#REF!</definedName>
    <definedName name="_XX04" localSheetId="1">#REF!</definedName>
    <definedName name="_XX04">#REF!</definedName>
    <definedName name="_XX05" localSheetId="8">#REF!</definedName>
    <definedName name="_XX05" localSheetId="2">#REF!</definedName>
    <definedName name="_XX05" localSheetId="1">#REF!</definedName>
    <definedName name="_XX05">#REF!</definedName>
    <definedName name="_XX06" localSheetId="8">#REF!</definedName>
    <definedName name="_XX06" localSheetId="2">#REF!</definedName>
    <definedName name="_XX06" localSheetId="1">#REF!</definedName>
    <definedName name="_XX06">#REF!</definedName>
    <definedName name="_XX07" localSheetId="8">#REF!</definedName>
    <definedName name="_XX07" localSheetId="2">#REF!</definedName>
    <definedName name="_XX07" localSheetId="1">#REF!</definedName>
    <definedName name="_XX07">#REF!</definedName>
    <definedName name="_xx08" localSheetId="8">#REF!</definedName>
    <definedName name="_xx08" localSheetId="2">#REF!</definedName>
    <definedName name="_xx08" localSheetId="1">#REF!</definedName>
    <definedName name="_xx08">#REF!</definedName>
    <definedName name="_XX09" localSheetId="8">#REF!</definedName>
    <definedName name="_XX09" localSheetId="2">#REF!</definedName>
    <definedName name="_XX09" localSheetId="1">#REF!</definedName>
    <definedName name="_XX09">#REF!</definedName>
    <definedName name="_XX10" localSheetId="8">#REF!</definedName>
    <definedName name="_XX10" localSheetId="2">#REF!</definedName>
    <definedName name="_XX10" localSheetId="1">#REF!</definedName>
    <definedName name="_XX10">#REF!</definedName>
    <definedName name="_XX11" localSheetId="8">#REF!</definedName>
    <definedName name="_XX11" localSheetId="2">#REF!</definedName>
    <definedName name="_XX11" localSheetId="1">#REF!</definedName>
    <definedName name="_XX11">#REF!</definedName>
    <definedName name="_XX12" localSheetId="8">#REF!</definedName>
    <definedName name="_XX12" localSheetId="2">#REF!</definedName>
    <definedName name="_XX12" localSheetId="1">#REF!</definedName>
    <definedName name="_XX12">#REF!</definedName>
    <definedName name="_XX13" localSheetId="8">#REF!</definedName>
    <definedName name="_XX13" localSheetId="2">#REF!</definedName>
    <definedName name="_XX13" localSheetId="1">#REF!</definedName>
    <definedName name="_XX13">#REF!</definedName>
    <definedName name="_XX14" localSheetId="8">#REF!</definedName>
    <definedName name="_XX14" localSheetId="2">#REF!</definedName>
    <definedName name="_XX14" localSheetId="1">#REF!</definedName>
    <definedName name="_XX14">#REF!</definedName>
    <definedName name="_XX15" localSheetId="8">#REF!</definedName>
    <definedName name="_XX15" localSheetId="2">#REF!</definedName>
    <definedName name="_XX15" localSheetId="1">#REF!</definedName>
    <definedName name="_XX15">#REF!</definedName>
    <definedName name="_XX16" localSheetId="8">#REF!</definedName>
    <definedName name="_XX16" localSheetId="2">#REF!</definedName>
    <definedName name="_XX16" localSheetId="1">#REF!</definedName>
    <definedName name="_XX16">#REF!</definedName>
    <definedName name="_XX17" localSheetId="8">#REF!</definedName>
    <definedName name="_XX17" localSheetId="2">#REF!</definedName>
    <definedName name="_XX17" localSheetId="1">#REF!</definedName>
    <definedName name="_XX17">#REF!</definedName>
    <definedName name="_XX18" localSheetId="8">#REF!</definedName>
    <definedName name="_XX18" localSheetId="2">#REF!</definedName>
    <definedName name="_XX18" localSheetId="1">#REF!</definedName>
    <definedName name="_XX18">#REF!</definedName>
    <definedName name="_XX19" localSheetId="8">#REF!</definedName>
    <definedName name="_XX19" localSheetId="2">#REF!</definedName>
    <definedName name="_XX19" localSheetId="1">#REF!</definedName>
    <definedName name="_XX19">#REF!</definedName>
    <definedName name="_XX20" localSheetId="8">#REF!</definedName>
    <definedName name="_XX20" localSheetId="2">#REF!</definedName>
    <definedName name="_XX20" localSheetId="1">#REF!</definedName>
    <definedName name="_XX20">#REF!</definedName>
    <definedName name="_XX21" localSheetId="8">#REF!</definedName>
    <definedName name="_XX21" localSheetId="2">#REF!</definedName>
    <definedName name="_XX21" localSheetId="1">#REF!</definedName>
    <definedName name="_XX21">#REF!</definedName>
    <definedName name="_XX22" localSheetId="8">#REF!</definedName>
    <definedName name="_XX22" localSheetId="2">#REF!</definedName>
    <definedName name="_XX22" localSheetId="1">#REF!</definedName>
    <definedName name="_XX22">#REF!</definedName>
    <definedName name="_XX23" localSheetId="8">#REF!</definedName>
    <definedName name="_XX23" localSheetId="2">#REF!</definedName>
    <definedName name="_XX23" localSheetId="1">#REF!</definedName>
    <definedName name="_XX23">#REF!</definedName>
    <definedName name="_XX24" localSheetId="8">#REF!</definedName>
    <definedName name="_XX24" localSheetId="2">#REF!</definedName>
    <definedName name="_XX24" localSheetId="1">#REF!</definedName>
    <definedName name="_XX24">#REF!</definedName>
    <definedName name="_XX25" localSheetId="8">#REF!</definedName>
    <definedName name="_XX25" localSheetId="2">#REF!</definedName>
    <definedName name="_XX25" localSheetId="1">#REF!</definedName>
    <definedName name="_XX25">#REF!</definedName>
    <definedName name="_XX26" localSheetId="8">#REF!</definedName>
    <definedName name="_XX26" localSheetId="2">#REF!</definedName>
    <definedName name="_XX26" localSheetId="1">#REF!</definedName>
    <definedName name="_XX26">#REF!</definedName>
    <definedName name="_XX27" localSheetId="8">#REF!</definedName>
    <definedName name="_XX27" localSheetId="2">#REF!</definedName>
    <definedName name="_XX27" localSheetId="1">#REF!</definedName>
    <definedName name="_XX27">#REF!</definedName>
    <definedName name="_XX28" localSheetId="8">#REF!</definedName>
    <definedName name="_XX28" localSheetId="2">#REF!</definedName>
    <definedName name="_XX28" localSheetId="1">#REF!</definedName>
    <definedName name="_XX28">#REF!</definedName>
    <definedName name="_XX29" localSheetId="8">#REF!</definedName>
    <definedName name="_XX29" localSheetId="2">#REF!</definedName>
    <definedName name="_XX29" localSheetId="1">#REF!</definedName>
    <definedName name="_XX29">#REF!</definedName>
    <definedName name="_XX30" localSheetId="8">#REF!</definedName>
    <definedName name="_XX30" localSheetId="2">#REF!</definedName>
    <definedName name="_XX30" localSheetId="1">#REF!</definedName>
    <definedName name="_XX30">#REF!</definedName>
    <definedName name="_XX31" localSheetId="8">#REF!</definedName>
    <definedName name="_XX31" localSheetId="2">#REF!</definedName>
    <definedName name="_XX31" localSheetId="1">#REF!</definedName>
    <definedName name="_XX31">#REF!</definedName>
    <definedName name="_XX32" localSheetId="8">#REF!</definedName>
    <definedName name="_XX32" localSheetId="2">#REF!</definedName>
    <definedName name="_XX32" localSheetId="1">#REF!</definedName>
    <definedName name="_XX32">#REF!</definedName>
    <definedName name="_XX33" localSheetId="8">#REF!</definedName>
    <definedName name="_XX33" localSheetId="2">#REF!</definedName>
    <definedName name="_XX33" localSheetId="1">#REF!</definedName>
    <definedName name="_XX33">#REF!</definedName>
    <definedName name="_XX34" localSheetId="8">#REF!</definedName>
    <definedName name="_XX34" localSheetId="2">#REF!</definedName>
    <definedName name="_XX34" localSheetId="1">#REF!</definedName>
    <definedName name="_XX34">#REF!</definedName>
    <definedName name="_XX35" localSheetId="8">#REF!</definedName>
    <definedName name="_XX35" localSheetId="2">#REF!</definedName>
    <definedName name="_XX35" localSheetId="1">#REF!</definedName>
    <definedName name="_XX35">#REF!</definedName>
    <definedName name="_XX36" localSheetId="8">#REF!</definedName>
    <definedName name="_XX36" localSheetId="2">#REF!</definedName>
    <definedName name="_XX36" localSheetId="1">#REF!</definedName>
    <definedName name="_XX36">#REF!</definedName>
    <definedName name="_XX37" localSheetId="8">#REF!</definedName>
    <definedName name="_XX37" localSheetId="2">#REF!</definedName>
    <definedName name="_XX37" localSheetId="1">#REF!</definedName>
    <definedName name="_XX37">#REF!</definedName>
    <definedName name="_XX38" localSheetId="8">#REF!</definedName>
    <definedName name="_XX38" localSheetId="2">#REF!</definedName>
    <definedName name="_XX38" localSheetId="1">#REF!</definedName>
    <definedName name="_XX38">#REF!</definedName>
    <definedName name="_XX39" localSheetId="8">#REF!</definedName>
    <definedName name="_XX39" localSheetId="2">#REF!</definedName>
    <definedName name="_XX39" localSheetId="1">#REF!</definedName>
    <definedName name="_XX39">#REF!</definedName>
    <definedName name="¡ÆC">#N/A</definedName>
    <definedName name="´cAE°eE¹" localSheetId="8" hidden="1">#REF!</definedName>
    <definedName name="´cAE°eE¹" localSheetId="2" hidden="1">#REF!</definedName>
    <definedName name="´cAE°eE¹" localSheetId="1" hidden="1">#REF!</definedName>
    <definedName name="´cAE°eE¹" hidden="1">#REF!</definedName>
    <definedName name="¿uº°¿μ¾÷" localSheetId="8">#REF!</definedName>
    <definedName name="¿uº°¿μ¾÷" localSheetId="2">#REF!</definedName>
    <definedName name="¿uº°¿μ¾÷" localSheetId="1">#REF!</definedName>
    <definedName name="¿uº°¿μ¾÷">#REF!</definedName>
    <definedName name="￠?u¨￢¡Æ￠?￥i¨u¡A" localSheetId="8">#REF!</definedName>
    <definedName name="￠?u¨￢¡Æ￠?￥i¨u¡A" localSheetId="2">#REF!</definedName>
    <definedName name="￠?u¨￢¡Æ￠?￥i¨u¡A" localSheetId="1">#REF!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localSheetId="8" hidden="1">#REF!</definedName>
    <definedName name="￠￥cAE¡ÆeEⓒo" localSheetId="2" hidden="1">#REF!</definedName>
    <definedName name="￠￥cAE¡ÆeEⓒo" localSheetId="1" hidden="1">#REF!</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1" localSheetId="8">#REF!</definedName>
    <definedName name="\1" localSheetId="2">#REF!</definedName>
    <definedName name="\1" localSheetId="1">#REF!</definedName>
    <definedName name="\1">#REF!</definedName>
    <definedName name="\2">#N/A</definedName>
    <definedName name="\b" localSheetId="8">#REF!</definedName>
    <definedName name="\b" localSheetId="2">#REF!</definedName>
    <definedName name="\b" localSheetId="1">#REF!</definedName>
    <definedName name="\b">#REF!</definedName>
    <definedName name="\c">#N/A</definedName>
    <definedName name="\d">#N/A</definedName>
    <definedName name="\e">#N/A</definedName>
    <definedName name="\f">#N/A</definedName>
    <definedName name="\g">#N/A</definedName>
    <definedName name="\h" localSheetId="8">#REF!</definedName>
    <definedName name="\h" localSheetId="2">#REF!</definedName>
    <definedName name="\h" localSheetId="1">#REF!</definedName>
    <definedName name="\h">#REF!</definedName>
    <definedName name="\i">#N/A</definedName>
    <definedName name="\j">#N/A</definedName>
    <definedName name="\k">#N/A</definedName>
    <definedName name="\l">#N/A</definedName>
    <definedName name="\LL" localSheetId="8">#REF!</definedName>
    <definedName name="\LL" localSheetId="2">#REF!</definedName>
    <definedName name="\LL" localSheetId="1">#REF!</definedName>
    <definedName name="\LL">#REF!</definedName>
    <definedName name="\m">#N/A</definedName>
    <definedName name="\n">#N/A</definedName>
    <definedName name="\o" localSheetId="8">#REF!</definedName>
    <definedName name="\o" localSheetId="2">#REF!</definedName>
    <definedName name="\o" localSheetId="1">#REF!</definedName>
    <definedName name="\o">#REF!</definedName>
    <definedName name="\p" localSheetId="8">#REF!</definedName>
    <definedName name="\p" localSheetId="2">#REF!</definedName>
    <definedName name="\p" localSheetId="1">#REF!</definedName>
    <definedName name="\p">#REF!</definedName>
    <definedName name="\q" localSheetId="8">#REF!</definedName>
    <definedName name="\q" localSheetId="2">#REF!</definedName>
    <definedName name="\q" localSheetId="1">#REF!</definedName>
    <definedName name="\q">#REF!</definedName>
    <definedName name="\r">#N/A</definedName>
    <definedName name="\S" localSheetId="8">#REF!</definedName>
    <definedName name="\S" localSheetId="2">#REF!</definedName>
    <definedName name="\S" localSheetId="1">#REF!</definedName>
    <definedName name="\S">#REF!</definedName>
    <definedName name="\t">#N/A</definedName>
    <definedName name="\u">#N/A</definedName>
    <definedName name="\v">#N/A</definedName>
    <definedName name="\y">#N/A</definedName>
    <definedName name="\z">#N/A</definedName>
    <definedName name="°C">#N/A</definedName>
    <definedName name="°Ç">#N/A</definedName>
    <definedName name="¼o¼o½CAu7¿u">#N/A</definedName>
    <definedName name="¼ö¼ö½ÇÀû7¿ù">#N/A</definedName>
    <definedName name="A" localSheetId="8">#REF!</definedName>
    <definedName name="A" localSheetId="2">#REF!</definedName>
    <definedName name="A" localSheetId="1">#REF!</definedName>
    <definedName name="A">#REF!</definedName>
    <definedName name="A¡þ_¡¤ⓒo_AO">#N/A</definedName>
    <definedName name="A￢_·¹_AO">#N/A</definedName>
    <definedName name="a1K1805" localSheetId="8">#REF!</definedName>
    <definedName name="a1K1805" localSheetId="2">#REF!</definedName>
    <definedName name="a1K1805" localSheetId="1">#REF!</definedName>
    <definedName name="a1K1805">#REF!</definedName>
    <definedName name="A2_" localSheetId="8">#REF!</definedName>
    <definedName name="A2_" localSheetId="2">#REF!</definedName>
    <definedName name="A2_" localSheetId="1">#REF!</definedName>
    <definedName name="A2_">#REF!</definedName>
    <definedName name="A6_">#N/A</definedName>
    <definedName name="aa" localSheetId="8">#REF!</definedName>
    <definedName name="aa" localSheetId="2">#REF!</definedName>
    <definedName name="aa" localSheetId="1">#REF!</definedName>
    <definedName name="aa">#REF!</definedName>
    <definedName name="Åä">#N/A</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A" hidden="1">{#N/A,#N/A,FALSE,"손익표지";#N/A,#N/A,FALSE,"손익계산";#N/A,#N/A,FALSE,"일반관리비";#N/A,#N/A,FALSE,"영업외수익";#N/A,#N/A,FALSE,"영업외비용";#N/A,#N/A,FALSE,"매출액";#N/A,#N/A,FALSE,"요약손익";#N/A,#N/A,FALSE,"요약대차";#N/A,#N/A,FALSE,"매출채권현황";#N/A,#N/A,FALSE,"매출채권명세"}</definedName>
    <definedName name="aæÐRIiÞA_Iª">#N/A</definedName>
    <definedName name="ab" localSheetId="8">#REF!</definedName>
    <definedName name="ab" localSheetId="2">#REF!</definedName>
    <definedName name="ab" localSheetId="1">#REF!</definedName>
    <definedName name="ab">#REF!</definedName>
    <definedName name="aⓒ¡¨￠RIi¨­A_I¨￡">#N/A</definedName>
    <definedName name="Access_Button" hidden="1">"PJTFINAL_F02F11_List"</definedName>
    <definedName name="AccessDatabase" hidden="1">"E:\WORK\VISUAL\MIRAE\LOADSYS\LoadDB.mdb"</definedName>
    <definedName name="acd" localSheetId="8">#REF!</definedName>
    <definedName name="acd" localSheetId="2">#REF!</definedName>
    <definedName name="acd" localSheetId="1">#REF!</definedName>
    <definedName name="acd">#REF!</definedName>
    <definedName name="ADC" localSheetId="8" hidden="1">#REF!</definedName>
    <definedName name="ADC" localSheetId="2" hidden="1">#REF!</definedName>
    <definedName name="ADC" localSheetId="1" hidden="1">#REF!</definedName>
    <definedName name="ADC" hidden="1">#REF!</definedName>
    <definedName name="adsfa" hidden="1">{#N/A,#N/A,FALSE,"Sheet1"}</definedName>
    <definedName name="agdump" localSheetId="8">#REF!</definedName>
    <definedName name="agdump" localSheetId="2">#REF!</definedName>
    <definedName name="agdump" localSheetId="1">#REF!</definedName>
    <definedName name="agdump">#REF!</definedName>
    <definedName name="agedump" localSheetId="8">#REF!</definedName>
    <definedName name="agedump" localSheetId="2">#REF!</definedName>
    <definedName name="agedump" localSheetId="1">#REF!</definedName>
    <definedName name="agedump">#REF!</definedName>
    <definedName name="agencydump" localSheetId="8">#REF!</definedName>
    <definedName name="agencydump" localSheetId="2">#REF!</definedName>
    <definedName name="agencydump" localSheetId="1">#REF!</definedName>
    <definedName name="agencydump">#REF!</definedName>
    <definedName name="AGENCYLY" localSheetId="8">#REF!</definedName>
    <definedName name="AGENCYLY" localSheetId="2">#REF!</definedName>
    <definedName name="AGENCYLY" localSheetId="1">#REF!</definedName>
    <definedName name="AGENCYLY">#REF!</definedName>
    <definedName name="AGENCYPLAN" localSheetId="8">#REF!</definedName>
    <definedName name="AGENCYPLAN" localSheetId="2">#REF!</definedName>
    <definedName name="AGENCYPLAN" localSheetId="1">#REF!</definedName>
    <definedName name="AGENCYPLAN">#REF!</definedName>
    <definedName name="Amount" localSheetId="8">#REF!</definedName>
    <definedName name="Amount" localSheetId="2">#REF!</definedName>
    <definedName name="Amount" localSheetId="1">#REF!</definedName>
    <definedName name="Amount">#REF!</definedName>
    <definedName name="ans" localSheetId="8">#REF!</definedName>
    <definedName name="ans" localSheetId="2">#REF!</definedName>
    <definedName name="ans" localSheetId="1">#REF!</definedName>
    <definedName name="ans">#REF!</definedName>
    <definedName name="anscount">1</definedName>
    <definedName name="APPB_Cal1_CALENDAR_List" localSheetId="8">#REF!</definedName>
    <definedName name="APPB_Cal1_CALENDAR_List" localSheetId="2">#REF!</definedName>
    <definedName name="APPB_Cal1_CALENDAR_List" localSheetId="1">#REF!</definedName>
    <definedName name="APPB_Cal1_CALENDAR_List">#REF!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 localSheetId="8">#REF!</definedName>
    <definedName name="as" localSheetId="2">#REF!</definedName>
    <definedName name="as" localSheetId="1">#REF!</definedName>
    <definedName name="as">#REF!</definedName>
    <definedName name="AS2DocOpenMode">"AS2DocumentEdit"</definedName>
    <definedName name="ASD" hidden="1">0</definedName>
    <definedName name="asdasxfdasfasgadsrts" hidden="1">{#N/A,#N/A,FALSE,"CCTV"}</definedName>
    <definedName name="asdf" hidden="1">{#N/A,#N/A,FALSE,"Sheet1"}</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u">#N/A</definedName>
    <definedName name="Àü">#N/A</definedName>
    <definedName name="AUTOEXEC" localSheetId="8">#REF!</definedName>
    <definedName name="AUTOEXEC" localSheetId="2">#REF!</definedName>
    <definedName name="AUTOEXEC" localSheetId="1">#REF!</definedName>
    <definedName name="AUTOEXEC">#REF!</definedName>
    <definedName name="B" localSheetId="8">#REF!</definedName>
    <definedName name="B" localSheetId="2">#REF!</definedName>
    <definedName name="B" localSheetId="1">#REF!</definedName>
    <definedName name="B">#REF!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 localSheetId="8">#REF!</definedName>
    <definedName name="Base" localSheetId="2">#REF!</definedName>
    <definedName name="Base" localSheetId="1">#REF!</definedName>
    <definedName name="Base">#REF!</definedName>
    <definedName name="BB">[0]!BB</definedName>
    <definedName name="BC" hidden="1">{#N/A,#N/A,FALSE,"이태원철근"}</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fbe" hidden="1">{#N/A,#N/A,FALSE,"Sheet1"}</definedName>
    <definedName name="BEGIN1">#N/A</definedName>
    <definedName name="BEGIN2">#N/A</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ta" localSheetId="8">#REF!</definedName>
    <definedName name="Beta" localSheetId="2">#REF!</definedName>
    <definedName name="Beta" localSheetId="1">#REF!</definedName>
    <definedName name="Beta">#REF!</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 localSheetId="8">#REF!</definedName>
    <definedName name="bg" localSheetId="2">#REF!</definedName>
    <definedName name="bg" localSheetId="1">#REF!</definedName>
    <definedName name="bg">#REF!</definedName>
    <definedName name="BI" hidden="1">{#N/A,#N/A,FALSE,"이태원철근"}</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LO_1">#N/A</definedName>
    <definedName name="BLOCK01">#N/A</definedName>
    <definedName name="BS" localSheetId="8">#REF!</definedName>
    <definedName name="BS" localSheetId="2">#REF!</definedName>
    <definedName name="BS" localSheetId="1">#REF!</definedName>
    <definedName name="BS">#REF!</definedName>
    <definedName name="BS_전년" hidden="1">{#N/A,#N/A,FALSE,"지침";#N/A,#N/A,FALSE,"환경분석";#N/A,#N/A,FALSE,"Sheet16"}</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check" localSheetId="8">#REF!</definedName>
    <definedName name="bscheck" localSheetId="2">#REF!</definedName>
    <definedName name="bscheck" localSheetId="1">#REF!</definedName>
    <definedName name="bscheck">#REF!</definedName>
    <definedName name="bsNote">[0]!bsNote</definedName>
    <definedName name="btnClose">[0]!btnClose</definedName>
    <definedName name="btnFootNoting">[0]!btnFootNoting</definedName>
    <definedName name="btnNext">[0]!btnNext</definedName>
    <definedName name="btnOK">[0]!btnOK</definedName>
    <definedName name="btnPrevious">[0]!btnPrevious</definedName>
    <definedName name="btnReturn">[0]!btnReturn</definedName>
    <definedName name="btn체크리스트_Click">#N/A</definedName>
    <definedName name="btn초화면_Click">#N/A</definedName>
    <definedName name="BTYPE">#N/A</definedName>
    <definedName name="BUNHO">#N/A</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one1_Total" localSheetId="8">#REF!</definedName>
    <definedName name="BZone1_Total" localSheetId="2">#REF!</definedName>
    <definedName name="BZone1_Total" localSheetId="1">#REF!</definedName>
    <definedName name="BZone1_Total">#REF!</definedName>
    <definedName name="BZone1Y1" localSheetId="8">#REF!</definedName>
    <definedName name="BZone1Y1" localSheetId="2">#REF!</definedName>
    <definedName name="BZone1Y1" localSheetId="1">#REF!</definedName>
    <definedName name="BZone1Y1">#REF!</definedName>
    <definedName name="BZone1Y2" localSheetId="8">#REF!</definedName>
    <definedName name="BZone1Y2" localSheetId="2">#REF!</definedName>
    <definedName name="BZone1Y2" localSheetId="1">#REF!</definedName>
    <definedName name="BZone1Y2">#REF!</definedName>
    <definedName name="BZone1Y3" localSheetId="8">#REF!</definedName>
    <definedName name="BZone1Y3" localSheetId="2">#REF!</definedName>
    <definedName name="BZone1Y3" localSheetId="1">#REF!</definedName>
    <definedName name="BZone1Y3">#REF!</definedName>
    <definedName name="BZone2_Total" localSheetId="8">#REF!</definedName>
    <definedName name="BZone2_Total" localSheetId="2">#REF!</definedName>
    <definedName name="BZone2_Total" localSheetId="1">#REF!</definedName>
    <definedName name="BZone2_Total">#REF!</definedName>
    <definedName name="BZone2Y1" localSheetId="8">#REF!</definedName>
    <definedName name="BZone2Y1" localSheetId="2">#REF!</definedName>
    <definedName name="BZone2Y1" localSheetId="1">#REF!</definedName>
    <definedName name="BZone2Y1">#REF!</definedName>
    <definedName name="BZone2Y2" localSheetId="8">#REF!</definedName>
    <definedName name="BZone2Y2" localSheetId="2">#REF!</definedName>
    <definedName name="BZone2Y2" localSheetId="1">#REF!</definedName>
    <definedName name="BZone2Y2">#REF!</definedName>
    <definedName name="BZone2Y3" localSheetId="8">#REF!</definedName>
    <definedName name="BZone2Y3" localSheetId="2">#REF!</definedName>
    <definedName name="BZone2Y3" localSheetId="1">#REF!</definedName>
    <definedName name="BZone2Y3">#REF!</definedName>
    <definedName name="BZone3_Total" localSheetId="8">#REF!</definedName>
    <definedName name="BZone3_Total" localSheetId="2">#REF!</definedName>
    <definedName name="BZone3_Total" localSheetId="1">#REF!</definedName>
    <definedName name="BZone3_Total">#REF!</definedName>
    <definedName name="BZone3Y1" localSheetId="8">#REF!</definedName>
    <definedName name="BZone3Y1" localSheetId="2">#REF!</definedName>
    <definedName name="BZone3Y1" localSheetId="1">#REF!</definedName>
    <definedName name="BZone3Y1">#REF!</definedName>
    <definedName name="BZone3Y2" localSheetId="8">#REF!</definedName>
    <definedName name="BZone3Y2" localSheetId="2">#REF!</definedName>
    <definedName name="BZone3Y2" localSheetId="1">#REF!</definedName>
    <definedName name="BZone3Y2">#REF!</definedName>
    <definedName name="BZone3Y3" localSheetId="8">#REF!</definedName>
    <definedName name="BZone3Y3" localSheetId="2">#REF!</definedName>
    <definedName name="BZone3Y3" localSheetId="1">#REF!</definedName>
    <definedName name="BZone3Y3">#REF!</definedName>
    <definedName name="B삼" localSheetId="8">#REF!</definedName>
    <definedName name="B삼" localSheetId="2">#REF!</definedName>
    <definedName name="B삼" localSheetId="1">#REF!</definedName>
    <definedName name="B삼">#REF!</definedName>
    <definedName name="CA">#N/A</definedName>
    <definedName name="ÇÃ">#N/A</definedName>
    <definedName name="CAEDC_Total" localSheetId="8">#REF!</definedName>
    <definedName name="CAEDC_Total" localSheetId="2">#REF!</definedName>
    <definedName name="CAEDC_Total" localSheetId="1">#REF!</definedName>
    <definedName name="CAEDC_Total">#REF!</definedName>
    <definedName name="CAEDC1" localSheetId="8">#REF!</definedName>
    <definedName name="CAEDC1" localSheetId="2">#REF!</definedName>
    <definedName name="CAEDC1" localSheetId="1">#REF!</definedName>
    <definedName name="CAEDC1">#REF!</definedName>
    <definedName name="CAEDC2" localSheetId="8">#REF!</definedName>
    <definedName name="CAEDC2" localSheetId="2">#REF!</definedName>
    <definedName name="CAEDC2" localSheetId="1">#REF!</definedName>
    <definedName name="CAEDC2">#REF!</definedName>
    <definedName name="CAEDC3" localSheetId="8">#REF!</definedName>
    <definedName name="CAEDC3" localSheetId="2">#REF!</definedName>
    <definedName name="CAEDC3" localSheetId="1">#REF!</definedName>
    <definedName name="CAEDC3">#REF!</definedName>
    <definedName name="CalcAgencyPrice" localSheetId="8">#REF!</definedName>
    <definedName name="CalcAgencyPrice" localSheetId="2">#REF!</definedName>
    <definedName name="CalcAgencyPrice" localSheetId="1">#REF!</definedName>
    <definedName name="CalcAgencyPrice">#REF!</definedName>
    <definedName name="cash">[0]!cash</definedName>
    <definedName name="cash1" localSheetId="8">#REF!</definedName>
    <definedName name="cash1" localSheetId="2">#REF!</definedName>
    <definedName name="cash1" localSheetId="1">#REF!</definedName>
    <definedName name="cash1">#REF!</definedName>
    <definedName name="CashFlow_Button1_Click">[0]!CashFlow_Button1_Click</definedName>
    <definedName name="cashIndex">[0]!cashIndex</definedName>
    <definedName name="CATEGORY">#N/A</definedName>
    <definedName name="CC">[0]!CC</definedName>
    <definedName name="ccc" hidden="1">{#N/A,#N/A,FALSE,"손익표지";#N/A,#N/A,FALSE,"손익계산";#N/A,#N/A,FALSE,"일반관리비";#N/A,#N/A,FALSE,"영업외수익";#N/A,#N/A,FALSE,"영업외비용";#N/A,#N/A,FALSE,"매출액";#N/A,#N/A,FALSE,"요약손익";#N/A,#N/A,FALSE,"요약대차";#N/A,#N/A,FALSE,"매출채권현황";#N/A,#N/A,FALSE,"매출채권명세"}</definedName>
    <definedName name="cctr" localSheetId="8">#REF!</definedName>
    <definedName name="cctr" localSheetId="2">#REF!</definedName>
    <definedName name="cctr" localSheetId="1">#REF!</definedName>
    <definedName name="cctr">#REF!</definedName>
    <definedName name="CF요인" localSheetId="8" hidden="1">#REF!</definedName>
    <definedName name="CF요인" localSheetId="2" hidden="1">#REF!</definedName>
    <definedName name="CF요인" localSheetId="1" hidden="1">#REF!</definedName>
    <definedName name="CF요인" hidden="1">#REF!</definedName>
    <definedName name="Chart_1">"Chart 1"</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la" hidden="1">{#N/A,"성수기월요개장(평일이용율5%개선)",FALSE,"내장계획";#N/A,#N/A,FALSE,"매출총괄";#N/A,#N/A,FALSE,"월별손익"}</definedName>
    <definedName name="cheng" localSheetId="8">#REF!</definedName>
    <definedName name="cheng" localSheetId="2">#REF!</definedName>
    <definedName name="cheng" localSheetId="1">#REF!</definedName>
    <definedName name="cheng">#REF!</definedName>
    <definedName name="CHO">#N/A</definedName>
    <definedName name="CODE" localSheetId="8">#REF!</definedName>
    <definedName name="CODE" localSheetId="2">#REF!</definedName>
    <definedName name="CODE" localSheetId="1">#REF!</definedName>
    <definedName name="CODE">#REF!</definedName>
    <definedName name="code1" localSheetId="8">#REF!</definedName>
    <definedName name="code1" localSheetId="2">#REF!</definedName>
    <definedName name="code1" localSheetId="1">#REF!</definedName>
    <definedName name="code1">#REF!</definedName>
    <definedName name="COMB">#N/A</definedName>
    <definedName name="Commission" localSheetId="8">#REF!</definedName>
    <definedName name="Commission" localSheetId="2">#REF!</definedName>
    <definedName name="Commission" localSheetId="1">#REF!</definedName>
    <definedName name="Commission">#REF!</definedName>
    <definedName name="COMPANY">#N/A</definedName>
    <definedName name="CONC">#N/A</definedName>
    <definedName name="CONSTANT" localSheetId="8">#REF!</definedName>
    <definedName name="CONSTANT" localSheetId="2">#REF!</definedName>
    <definedName name="CONSTANT" localSheetId="1">#REF!</definedName>
    <definedName name="CONSTANT">#REF!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st" localSheetId="8">#REF!</definedName>
    <definedName name="Cost" localSheetId="2">#REF!</definedName>
    <definedName name="Cost" localSheetId="1">#REF!</definedName>
    <definedName name="Cost">#REF!</definedName>
    <definedName name="Cost_Extended" localSheetId="8">#REF!</definedName>
    <definedName name="Cost_Extended" localSheetId="2">#REF!</definedName>
    <definedName name="Cost_Extended" localSheetId="1">#REF!</definedName>
    <definedName name="Cost_Extended">#REF!</definedName>
    <definedName name="Cost_Total" localSheetId="8">#REF!+#REF!+#REF!</definedName>
    <definedName name="Cost_Total" localSheetId="2">#REF!+#REF!+#REF!</definedName>
    <definedName name="Cost_Total" localSheetId="1">#REF!+#REF!+#REF!</definedName>
    <definedName name="Cost_Total">#REF!+#REF!+#REF!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xlnm.Criteria" localSheetId="8">#REF!</definedName>
    <definedName name="_xlnm.Criteria" localSheetId="2">#REF!</definedName>
    <definedName name="_xlnm.Criteria" localSheetId="1">#REF!</definedName>
    <definedName name="_xlnm.Criteria">#REF!</definedName>
    <definedName name="Criteria_MI" localSheetId="8">#REF!</definedName>
    <definedName name="Criteria_MI" localSheetId="2">#REF!</definedName>
    <definedName name="Criteria_MI" localSheetId="1">#REF!</definedName>
    <definedName name="Criteria_MI">#REF!</definedName>
    <definedName name="CTO_Model_List" localSheetId="8">#REF!</definedName>
    <definedName name="CTO_Model_List" localSheetId="2">#REF!</definedName>
    <definedName name="CTO_Model_List" localSheetId="1">#REF!</definedName>
    <definedName name="CTO_Model_List">#REF!</definedName>
    <definedName name="CUMUP" localSheetId="8">#REF!</definedName>
    <definedName name="CUMUP" localSheetId="2">#REF!</definedName>
    <definedName name="CUMUP" localSheetId="1">#REF!</definedName>
    <definedName name="CUMUP">#REF!</definedName>
    <definedName name="Customer" localSheetId="8">#REF!</definedName>
    <definedName name="Customer" localSheetId="2">#REF!</definedName>
    <definedName name="Customer" localSheetId="1">#REF!</definedName>
    <definedName name="Customer">#REF!</definedName>
    <definedName name="CUSTOMERNAME" localSheetId="8">#REF!</definedName>
    <definedName name="CUSTOMERNAME" localSheetId="2">#REF!</definedName>
    <definedName name="CUSTOMERNAME" localSheetId="1">#REF!</definedName>
    <definedName name="CUSTOMERNAME">#REF!</definedName>
    <definedName name="d" hidden="1">{#N/A,#N/A,FALSE,"손익표지";#N/A,#N/A,FALSE,"손익계산";#N/A,#N/A,FALSE,"일반관리비";#N/A,#N/A,FALSE,"영업외수익";#N/A,#N/A,FALSE,"영업외비용";#N/A,#N/A,FALSE,"매출액";#N/A,#N/A,FALSE,"요약손익";#N/A,#N/A,FALSE,"요약대차";#N/A,#N/A,FALSE,"매출채권현황";#N/A,#N/A,FALSE,"매출채권명세"}</definedName>
    <definedName name="da" localSheetId="8">#REF!</definedName>
    <definedName name="da" localSheetId="2">#REF!</definedName>
    <definedName name="da" localSheetId="1">#REF!</definedName>
    <definedName name="da">#REF!</definedName>
    <definedName name="DANWI">#N/A</definedName>
    <definedName name="DaRWk1" localSheetId="8">#REF!</definedName>
    <definedName name="DaRWk1" localSheetId="2">#REF!</definedName>
    <definedName name="DaRWk1" localSheetId="1">#REF!</definedName>
    <definedName name="DaRWk1">#REF!</definedName>
    <definedName name="DaRWk10" localSheetId="8">#REF!</definedName>
    <definedName name="DaRWk10" localSheetId="2">#REF!</definedName>
    <definedName name="DaRWk10" localSheetId="1">#REF!</definedName>
    <definedName name="DaRWk10">#REF!</definedName>
    <definedName name="DaRWk11" localSheetId="8">#REF!</definedName>
    <definedName name="DaRWk11" localSheetId="2">#REF!</definedName>
    <definedName name="DaRWk11" localSheetId="1">#REF!</definedName>
    <definedName name="DaRWk11">#REF!</definedName>
    <definedName name="DaRWk12" localSheetId="8">#REF!</definedName>
    <definedName name="DaRWk12" localSheetId="2">#REF!</definedName>
    <definedName name="DaRWk12" localSheetId="1">#REF!</definedName>
    <definedName name="DaRWk12">#REF!</definedName>
    <definedName name="DaRWk2" localSheetId="8">#REF!</definedName>
    <definedName name="DaRWk2" localSheetId="2">#REF!</definedName>
    <definedName name="DaRWk2" localSheetId="1">#REF!</definedName>
    <definedName name="DaRWk2">#REF!</definedName>
    <definedName name="DaRWk3" localSheetId="8">#REF!</definedName>
    <definedName name="DaRWk3" localSheetId="2">#REF!</definedName>
    <definedName name="DaRWk3" localSheetId="1">#REF!</definedName>
    <definedName name="DaRWk3">#REF!</definedName>
    <definedName name="DaRWk4" localSheetId="8">#REF!</definedName>
    <definedName name="DaRWk4" localSheetId="2">#REF!</definedName>
    <definedName name="DaRWk4" localSheetId="1">#REF!</definedName>
    <definedName name="DaRWk4">#REF!</definedName>
    <definedName name="DaRWk5" localSheetId="8">#REF!</definedName>
    <definedName name="DaRWk5" localSheetId="2">#REF!</definedName>
    <definedName name="DaRWk5" localSheetId="1">#REF!</definedName>
    <definedName name="DaRWk5">#REF!</definedName>
    <definedName name="DaRWk6" localSheetId="8">#REF!</definedName>
    <definedName name="DaRWk6" localSheetId="2">#REF!</definedName>
    <definedName name="DaRWk6" localSheetId="1">#REF!</definedName>
    <definedName name="DaRWk6">#REF!</definedName>
    <definedName name="DaRWk8" localSheetId="8">#REF!</definedName>
    <definedName name="DaRWk8" localSheetId="2">#REF!</definedName>
    <definedName name="DaRWk8" localSheetId="1">#REF!</definedName>
    <definedName name="DaRWk8">#REF!</definedName>
    <definedName name="DaRwk9" localSheetId="8">#REF!</definedName>
    <definedName name="DaRwk9" localSheetId="2">#REF!</definedName>
    <definedName name="DaRwk9" localSheetId="1">#REF!</definedName>
    <definedName name="DaRwk9">#REF!</definedName>
    <definedName name="DATA12" localSheetId="8">#REF!</definedName>
    <definedName name="DATA12" localSheetId="2">#REF!</definedName>
    <definedName name="DATA12" localSheetId="1">#REF!</definedName>
    <definedName name="DATA12">#REF!</definedName>
    <definedName name="_xlnm.Database" localSheetId="8">#REF!</definedName>
    <definedName name="_xlnm.Database" localSheetId="2">#REF!</definedName>
    <definedName name="_xlnm.Database" localSheetId="1">#REF!</definedName>
    <definedName name="_xlnm.Database">#REF!</definedName>
    <definedName name="Database_MI" localSheetId="8">#REF!</definedName>
    <definedName name="Database_MI" localSheetId="2">#REF!</definedName>
    <definedName name="Database_MI" localSheetId="1">#REF!</definedName>
    <definedName name="Database_MI">#REF!</definedName>
    <definedName name="DaWk7" localSheetId="8">#REF!</definedName>
    <definedName name="DaWk7" localSheetId="2">#REF!</definedName>
    <definedName name="DaWk7" localSheetId="1">#REF!</definedName>
    <definedName name="DaWk7">#REF!</definedName>
    <definedName name="DAY">#N/A</definedName>
    <definedName name="dbrwk1" localSheetId="8">#REF!</definedName>
    <definedName name="dbrwk1" localSheetId="2">#REF!</definedName>
    <definedName name="dbrwk1" localSheetId="1">#REF!</definedName>
    <definedName name="dbrwk1">#REF!</definedName>
    <definedName name="dbrwk10" localSheetId="8">#REF!</definedName>
    <definedName name="dbrwk10" localSheetId="2">#REF!</definedName>
    <definedName name="dbrwk10" localSheetId="1">#REF!</definedName>
    <definedName name="dbrwk10">#REF!</definedName>
    <definedName name="dbrwk11" localSheetId="8">#REF!</definedName>
    <definedName name="dbrwk11" localSheetId="2">#REF!</definedName>
    <definedName name="dbrwk11" localSheetId="1">#REF!</definedName>
    <definedName name="dbrwk11">#REF!</definedName>
    <definedName name="dbrwk12" localSheetId="8">#REF!</definedName>
    <definedName name="dbrwk12" localSheetId="2">#REF!</definedName>
    <definedName name="dbrwk12" localSheetId="1">#REF!</definedName>
    <definedName name="dbrwk12">#REF!</definedName>
    <definedName name="dbrwk2" localSheetId="8">#REF!</definedName>
    <definedName name="dbrwk2" localSheetId="2">#REF!</definedName>
    <definedName name="dbrwk2" localSheetId="1">#REF!</definedName>
    <definedName name="dbrwk2">#REF!</definedName>
    <definedName name="dbrwk3" localSheetId="8">#REF!</definedName>
    <definedName name="dbrwk3" localSheetId="2">#REF!</definedName>
    <definedName name="dbrwk3" localSheetId="1">#REF!</definedName>
    <definedName name="dbrwk3">#REF!</definedName>
    <definedName name="dbrwk4" localSheetId="8">#REF!</definedName>
    <definedName name="dbrwk4" localSheetId="2">#REF!</definedName>
    <definedName name="dbrwk4" localSheetId="1">#REF!</definedName>
    <definedName name="dbrwk4">#REF!</definedName>
    <definedName name="dbrwk5" localSheetId="8">#REF!</definedName>
    <definedName name="dbrwk5" localSheetId="2">#REF!</definedName>
    <definedName name="dbrwk5" localSheetId="1">#REF!</definedName>
    <definedName name="dbrwk5">#REF!</definedName>
    <definedName name="dbrwk6" localSheetId="8">#REF!</definedName>
    <definedName name="dbrwk6" localSheetId="2">#REF!</definedName>
    <definedName name="dbrwk6" localSheetId="1">#REF!</definedName>
    <definedName name="dbrwk6">#REF!</definedName>
    <definedName name="dbrwk7" localSheetId="8">#REF!</definedName>
    <definedName name="dbrwk7" localSheetId="2">#REF!</definedName>
    <definedName name="dbrwk7" localSheetId="1">#REF!</definedName>
    <definedName name="dbrwk7">#REF!</definedName>
    <definedName name="dbrwk8" localSheetId="8">#REF!</definedName>
    <definedName name="dbrwk8" localSheetId="2">#REF!</definedName>
    <definedName name="dbrwk8" localSheetId="1">#REF!</definedName>
    <definedName name="dbrwk8">#REF!</definedName>
    <definedName name="dbrwk9" localSheetId="8">#REF!</definedName>
    <definedName name="dbrwk9" localSheetId="2">#REF!</definedName>
    <definedName name="dbrwk9" localSheetId="1">#REF!</definedName>
    <definedName name="dbrwk9">#REF!</definedName>
    <definedName name="dcrwk1" localSheetId="8">#REF!</definedName>
    <definedName name="dcrwk1" localSheetId="2">#REF!</definedName>
    <definedName name="dcrwk1" localSheetId="1">#REF!</definedName>
    <definedName name="dcrwk1">#REF!</definedName>
    <definedName name="dcrwk10" localSheetId="8">#REF!</definedName>
    <definedName name="dcrwk10" localSheetId="2">#REF!</definedName>
    <definedName name="dcrwk10" localSheetId="1">#REF!</definedName>
    <definedName name="dcrwk10">#REF!</definedName>
    <definedName name="dcrwk11" localSheetId="8">#REF!</definedName>
    <definedName name="dcrwk11" localSheetId="2">#REF!</definedName>
    <definedName name="dcrwk11" localSheetId="1">#REF!</definedName>
    <definedName name="dcrwk11">#REF!</definedName>
    <definedName name="dcrwk12" localSheetId="8">#REF!</definedName>
    <definedName name="dcrwk12" localSheetId="2">#REF!</definedName>
    <definedName name="dcrwk12" localSheetId="1">#REF!</definedName>
    <definedName name="dcrwk12">#REF!</definedName>
    <definedName name="dcrwk2" localSheetId="8">#REF!</definedName>
    <definedName name="dcrwk2" localSheetId="2">#REF!</definedName>
    <definedName name="dcrwk2" localSheetId="1">#REF!</definedName>
    <definedName name="dcrwk2">#REF!</definedName>
    <definedName name="dcrwk3" localSheetId="8">#REF!</definedName>
    <definedName name="dcrwk3" localSheetId="2">#REF!</definedName>
    <definedName name="dcrwk3" localSheetId="1">#REF!</definedName>
    <definedName name="dcrwk3">#REF!</definedName>
    <definedName name="dcrwk4" localSheetId="8">#REF!</definedName>
    <definedName name="dcrwk4" localSheetId="2">#REF!</definedName>
    <definedName name="dcrwk4" localSheetId="1">#REF!</definedName>
    <definedName name="dcrwk4">#REF!</definedName>
    <definedName name="dcrwk5" localSheetId="8">#REF!</definedName>
    <definedName name="dcrwk5" localSheetId="2">#REF!</definedName>
    <definedName name="dcrwk5" localSheetId="1">#REF!</definedName>
    <definedName name="dcrwk5">#REF!</definedName>
    <definedName name="dcrwk6" localSheetId="8">#REF!</definedName>
    <definedName name="dcrwk6" localSheetId="2">#REF!</definedName>
    <definedName name="dcrwk6" localSheetId="1">#REF!</definedName>
    <definedName name="dcrwk6">#REF!</definedName>
    <definedName name="dcrwk7" localSheetId="8">#REF!</definedName>
    <definedName name="dcrwk7" localSheetId="2">#REF!</definedName>
    <definedName name="dcrwk7" localSheetId="1">#REF!</definedName>
    <definedName name="dcrwk7">#REF!</definedName>
    <definedName name="dcrwk8" localSheetId="8">#REF!</definedName>
    <definedName name="dcrwk8" localSheetId="2">#REF!</definedName>
    <definedName name="dcrwk8" localSheetId="1">#REF!</definedName>
    <definedName name="dcrwk8">#REF!</definedName>
    <definedName name="dcrwk9" localSheetId="8">#REF!</definedName>
    <definedName name="dcrwk9" localSheetId="2">#REF!</definedName>
    <definedName name="dcrwk9" localSheetId="1">#REF!</definedName>
    <definedName name="dcrwk9">#REF!</definedName>
    <definedName name="DD">[0]!DD</definedName>
    <definedName name="DDD" hidden="1">{#N/A,#N/A,FALSE,"손익표지";#N/A,#N/A,FALSE,"손익계산";#N/A,#N/A,FALSE,"일반관리비";#N/A,#N/A,FALSE,"영업외수익";#N/A,#N/A,FALSE,"영업외비용";#N/A,#N/A,FALSE,"매출액";#N/A,#N/A,FALSE,"요약손익";#N/A,#N/A,FALSE,"요약대차";#N/A,#N/A,FALSE,"매출채권현황";#N/A,#N/A,FALSE,"매출채권명세"}</definedName>
    <definedName name="ddd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C.GH" localSheetId="8">#REF!</definedName>
    <definedName name="DEC.GH" localSheetId="2">#REF!</definedName>
    <definedName name="DEC.GH" localSheetId="1">#REF!</definedName>
    <definedName name="DEC.GH">#REF!</definedName>
    <definedName name="DelDC" localSheetId="8">#REF!</definedName>
    <definedName name="DelDC" localSheetId="2">#REF!</definedName>
    <definedName name="DelDC" localSheetId="1">#REF!</definedName>
    <definedName name="DelDC">#REF!</definedName>
    <definedName name="DelDm" localSheetId="8">#REF!</definedName>
    <definedName name="DelDm" localSheetId="2">#REF!</definedName>
    <definedName name="DelDm" localSheetId="1">#REF!</definedName>
    <definedName name="DelDm">#REF!</definedName>
    <definedName name="Delivery" localSheetId="8">#REF!</definedName>
    <definedName name="Delivery" localSheetId="2">#REF!</definedName>
    <definedName name="Delivery" localSheetId="1">#REF!</definedName>
    <definedName name="Delivery">#REF!</definedName>
    <definedName name="DelType" localSheetId="8">#REF!</definedName>
    <definedName name="DelType" localSheetId="2">#REF!</definedName>
    <definedName name="DelType" localSheetId="1">#REF!</definedName>
    <definedName name="DelType">#REF!</definedName>
    <definedName name="deptLookup" localSheetId="8">#REF!</definedName>
    <definedName name="deptLookup" localSheetId="2">#REF!</definedName>
    <definedName name="deptLookup" localSheetId="1">#REF!</definedName>
    <definedName name="deptLookup">#REF!</definedName>
    <definedName name="DETAIL">#N/A</definedName>
    <definedName name="df"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fdfdfd" hidden="1">{#N/A,"평상기폐지",FALSE,"입장료";#N/A,#N/A,FALSE,"매출총괄";#N/A,#N/A,FALSE,"월별손익"}</definedName>
    <definedName name="dfs" hidden="1">{#N/A,#N/A,FALSE,"Sheet1"}</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jhdj" localSheetId="8">BlankMacro1</definedName>
    <definedName name="dgjhdj" localSheetId="2">BlankMacro1</definedName>
    <definedName name="dgjhdj" localSheetId="1">BlankMacro1</definedName>
    <definedName name="dgjhdj">BlankMacro1</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jfsld" localSheetId="8">#REF!</definedName>
    <definedName name="djfsld" localSheetId="2">#REF!</definedName>
    <definedName name="djfsld" localSheetId="1">#REF!</definedName>
    <definedName name="djfsld">#REF!</definedName>
    <definedName name="DKFJKDFJ">[0]!DKFJKDFJ</definedName>
    <definedName name="DL" localSheetId="8" hidden="1">#REF!</definedName>
    <definedName name="DL" localSheetId="2" hidden="1">#REF!</definedName>
    <definedName name="DL" localSheetId="1" hidden="1">#REF!</definedName>
    <definedName name="DL" hidden="1">#REF!</definedName>
    <definedName name="Dmax" localSheetId="8">#REF!</definedName>
    <definedName name="Dmax" localSheetId="2">#REF!</definedName>
    <definedName name="Dmax" localSheetId="1">#REF!</definedName>
    <definedName name="Dmax">#REF!</definedName>
    <definedName name="Document_array">{"Book1","주요주주.XLS"}</definedName>
    <definedName name="DOGUB" localSheetId="8">#REF!</definedName>
    <definedName name="DOGUB" localSheetId="2">#REF!</definedName>
    <definedName name="DOGUB" localSheetId="1">#REF!</definedName>
    <definedName name="DOGUB">#REF!</definedName>
    <definedName name="DOM">{"'tel2'!$B$29:$J$45","'tel2'!$A$5:$G$19","'tel2'!$B$50:$F$57","'tel2'!$B$105:$G$110","'tel2'!$B$63:$H$85","'tel2'!$B$14:$G$18","'tel2'!$B$29:$C$29"}</definedName>
    <definedName name="DONG">"List Box 2"</definedName>
    <definedName name="DR" localSheetId="8" hidden="1">#REF!</definedName>
    <definedName name="DR" localSheetId="2" hidden="1">#REF!</definedName>
    <definedName name="DR" localSheetId="1" hidden="1">#REF!</definedName>
    <definedName name="DR" hidden="1">#REF!</definedName>
    <definedName name="DRAW_COM">#N/A</definedName>
    <definedName name="DRAW_COM2">#N/A</definedName>
    <definedName name="DRAW_SINGLE">#N/A</definedName>
    <definedName name="DRAW_TICK">#N/A</definedName>
    <definedName name="DRUCK" localSheetId="8">#REF!</definedName>
    <definedName name="DRUCK" localSheetId="2">#REF!</definedName>
    <definedName name="DRUCK" localSheetId="1">#REF!</definedName>
    <definedName name="DRUCK">#REF!</definedName>
    <definedName name="ds" hidden="1">{#N/A,#N/A,FALSE,"손익표지";#N/A,#N/A,FALSE,"손익계산";#N/A,#N/A,FALSE,"일반관리비";#N/A,#N/A,FALSE,"영업외수익";#N/A,#N/A,FALSE,"영업외비용";#N/A,#N/A,FALSE,"매출액";#N/A,#N/A,FALSE,"요약손익";#N/A,#N/A,FALSE,"요약대차";#N/A,#N/A,FALSE,"매출채권현황";#N/A,#N/A,FALSE,"매출채권명세"}</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umppr" localSheetId="8">#REF!</definedName>
    <definedName name="dumppr" localSheetId="2">#REF!</definedName>
    <definedName name="dumppr" localSheetId="1">#REF!</definedName>
    <definedName name="dumppr">#REF!</definedName>
    <definedName name="D값" localSheetId="8">#REF!</definedName>
    <definedName name="D값" localSheetId="2">#REF!</definedName>
    <definedName name="D값" localSheetId="1">#REF!</definedName>
    <definedName name="D값">#REF!</definedName>
    <definedName name="e" hidden="1">{#N/A,#N/A,FALSE,"손익표지";#N/A,#N/A,FALSE,"손익계산";#N/A,#N/A,FALSE,"일반관리비";#N/A,#N/A,FALSE,"영업외수익";#N/A,#N/A,FALSE,"영업외비용";#N/A,#N/A,FALSE,"매출액";#N/A,#N/A,FALSE,"요약손익";#N/A,#N/A,FALSE,"요약대차";#N/A,#N/A,FALSE,"매출채권현황";#N/A,#N/A,FALSE,"매출채권명세"}</definedName>
    <definedName name="eCIiIi¨­A_I¨￡">#N/A</definedName>
    <definedName name="eCIiIiÞA_Iª">#N/A</definedName>
    <definedName name="èÇÍïÍïÞÀ_Íª">#N/A</definedName>
    <definedName name="ee"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송운" hidden="1">{#N/A,#N/A,FALSE,"운반시간"}</definedName>
    <definedName name="eeee"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K" localSheetId="8" hidden="1">#REF!</definedName>
    <definedName name="EK" localSheetId="2" hidden="1">#REF!</definedName>
    <definedName name="EK" localSheetId="1" hidden="1">#REF!</definedName>
    <definedName name="EK" hidden="1">#REF!</definedName>
    <definedName name="ENCOST">#N/A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t">#N/A</definedName>
    <definedName name="EVA_NAME" localSheetId="8">#REF!</definedName>
    <definedName name="EVA_NAME" localSheetId="2">#REF!</definedName>
    <definedName name="EVA_NAME" localSheetId="1">#REF!</definedName>
    <definedName name="EVA_NAME">#REF!</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XE">#N/A</definedName>
    <definedName name="_xlnm.Extract" localSheetId="8">#REF!</definedName>
    <definedName name="_xlnm.Extract" localSheetId="2">#REF!</definedName>
    <definedName name="_xlnm.Extract" localSheetId="1">#REF!</definedName>
    <definedName name="_xlnm.Extract">#REF!</definedName>
    <definedName name="Extract_MI" localSheetId="8">#REF!</definedName>
    <definedName name="Extract_MI" localSheetId="2">#REF!</definedName>
    <definedName name="Extract_MI" localSheetId="1">#REF!</definedName>
    <definedName name="Extract_MI">#REF!</definedName>
    <definedName name="EZone1_Total" localSheetId="8">#REF!</definedName>
    <definedName name="EZone1_Total" localSheetId="2">#REF!</definedName>
    <definedName name="EZone1_Total" localSheetId="1">#REF!</definedName>
    <definedName name="EZone1_Total">#REF!</definedName>
    <definedName name="EZone1Y1" localSheetId="8">#REF!</definedName>
    <definedName name="EZone1Y1" localSheetId="2">#REF!</definedName>
    <definedName name="EZone1Y1" localSheetId="1">#REF!</definedName>
    <definedName name="EZone1Y1">#REF!</definedName>
    <definedName name="EZone1Y2" localSheetId="8">#REF!</definedName>
    <definedName name="EZone1Y2" localSheetId="2">#REF!</definedName>
    <definedName name="EZone1Y2" localSheetId="1">#REF!</definedName>
    <definedName name="EZone1Y2">#REF!</definedName>
    <definedName name="EZone1Y3" localSheetId="8">#REF!</definedName>
    <definedName name="EZone1Y3" localSheetId="2">#REF!</definedName>
    <definedName name="EZone1Y3" localSheetId="1">#REF!</definedName>
    <definedName name="EZone1Y3">#REF!</definedName>
    <definedName name="EZone2_Total" localSheetId="8">#REF!</definedName>
    <definedName name="EZone2_Total" localSheetId="2">#REF!</definedName>
    <definedName name="EZone2_Total" localSheetId="1">#REF!</definedName>
    <definedName name="EZone2_Total">#REF!</definedName>
    <definedName name="EZone2Y1" localSheetId="8">#REF!</definedName>
    <definedName name="EZone2Y1" localSheetId="2">#REF!</definedName>
    <definedName name="EZone2Y1" localSheetId="1">#REF!</definedName>
    <definedName name="EZone2Y1">#REF!</definedName>
    <definedName name="EZone2Y2" localSheetId="8">#REF!</definedName>
    <definedName name="EZone2Y2" localSheetId="2">#REF!</definedName>
    <definedName name="EZone2Y2" localSheetId="1">#REF!</definedName>
    <definedName name="EZone2Y2">#REF!</definedName>
    <definedName name="EZone2Y3" localSheetId="8">#REF!</definedName>
    <definedName name="EZone2Y3" localSheetId="2">#REF!</definedName>
    <definedName name="EZone2Y3" localSheetId="1">#REF!</definedName>
    <definedName name="EZone2Y3">#REF!</definedName>
    <definedName name="EZone3_Total" localSheetId="8">#REF!</definedName>
    <definedName name="EZone3_Total" localSheetId="2">#REF!</definedName>
    <definedName name="EZone3_Total" localSheetId="1">#REF!</definedName>
    <definedName name="EZone3_Total">#REF!</definedName>
    <definedName name="EZone3Y1" localSheetId="8">#REF!</definedName>
    <definedName name="EZone3Y1" localSheetId="2">#REF!</definedName>
    <definedName name="EZone3Y1" localSheetId="1">#REF!</definedName>
    <definedName name="EZone3Y1">#REF!</definedName>
    <definedName name="EZone3Y2" localSheetId="8">#REF!</definedName>
    <definedName name="EZone3Y2" localSheetId="2">#REF!</definedName>
    <definedName name="EZone3Y2" localSheetId="1">#REF!</definedName>
    <definedName name="EZone3Y2">#REF!</definedName>
    <definedName name="EZone3Y3" localSheetId="8">#REF!</definedName>
    <definedName name="EZone3Y3" localSheetId="2">#REF!</definedName>
    <definedName name="EZone3Y3" localSheetId="1">#REF!</definedName>
    <definedName name="EZone3Y3">#REF!</definedName>
    <definedName name="F" hidden="1">{#N/A,#N/A,FALSE,"손익표지";#N/A,#N/A,FALSE,"손익계산";#N/A,#N/A,FALSE,"일반관리비";#N/A,#N/A,FALSE,"영업외수익";#N/A,#N/A,FALSE,"영업외비용";#N/A,#N/A,FALSE,"매출액";#N/A,#N/A,FALSE,"요약손익";#N/A,#N/A,FALSE,"요약대차";#N/A,#N/A,FALSE,"매출채권현황";#N/A,#N/A,FALSE,"매출채권명세"}</definedName>
    <definedName name="F_123">[0]!F_123</definedName>
    <definedName name="fall" localSheetId="8" hidden="1">#REF!</definedName>
    <definedName name="fall" localSheetId="2" hidden="1">#REF!</definedName>
    <definedName name="fall" localSheetId="1" hidden="1">#REF!</definedName>
    <definedName name="fall"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B" localSheetId="8">#REF!</definedName>
    <definedName name="FB" localSheetId="2">#REF!</definedName>
    <definedName name="FB" localSheetId="1">#REF!</definedName>
    <definedName name="FB">#REF!</definedName>
    <definedName name="FBPRINT" localSheetId="8">#REF!</definedName>
    <definedName name="FBPRINT" localSheetId="2">#REF!</definedName>
    <definedName name="FBPRINT" localSheetId="1">#REF!</definedName>
    <definedName name="FBPRINT">#REF!</definedName>
    <definedName name="fd" hidden="1">{#N/A,#N/A,FALSE,"손익표지";#N/A,#N/A,FALSE,"손익계산";#N/A,#N/A,FALSE,"일반관리비";#N/A,#N/A,FALSE,"영업외수익";#N/A,#N/A,FALSE,"영업외비용";#N/A,#N/A,FALSE,"매출액";#N/A,#N/A,FALSE,"요약손익";#N/A,#N/A,FALSE,"요약대차";#N/A,#N/A,FALSE,"매출채권현황";#N/A,#N/A,FALSE,"매출채권명세"}</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{#N/A,#N/A,FALSE,"Sheet1"}</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s" hidden="1">{#N/A,#N/A,FALSE,"이태원철근"}</definedName>
    <definedName name="ff" hidden="1">{#N/A,#N/A,FALSE,"이태원철근"}</definedName>
    <definedName name="fg1314TBTB4RTDKDKDKRT" localSheetId="8">#REF!</definedName>
    <definedName name="fg1314TBTB4RTDKDKDKRT" localSheetId="2">#REF!</definedName>
    <definedName name="fg1314TBTB4RTDKDKDKRT" localSheetId="1">#REF!</definedName>
    <definedName name="fg1314TBTB4RTDKDKDKRT">#REF!</definedName>
    <definedName name="FG13TBTB4RT" localSheetId="8">#REF!</definedName>
    <definedName name="FG13TBTB4RT" localSheetId="2">#REF!</definedName>
    <definedName name="FG13TBTB4RT" localSheetId="1">#REF!</definedName>
    <definedName name="FG13TBTB4RT">#REF!</definedName>
    <definedName name="FG16TBTB2RT" localSheetId="8">#REF!</definedName>
    <definedName name="FG16TBTB2RT" localSheetId="2">#REF!</definedName>
    <definedName name="FG16TBTB2RT" localSheetId="1">#REF!</definedName>
    <definedName name="FG16TBTB2RT">#REF!</definedName>
    <definedName name="FG19TBTB2RTDKDKFG19TBTB2RTDKDKF" localSheetId="8">#REF!</definedName>
    <definedName name="FG19TBTB2RTDKDKFG19TBTB2RTDKDKF" localSheetId="2">#REF!</definedName>
    <definedName name="FG19TBTB2RTDKDKFG19TBTB2RTDKDKF" localSheetId="1">#REF!</definedName>
    <definedName name="FG19TBTB2RTDKDKFG19TBTB2RTDKDKF">#REF!</definedName>
    <definedName name="fg28TBTB2RTDKDK" localSheetId="8">#REF!</definedName>
    <definedName name="fg28TBTB2RTDKDK" localSheetId="2">#REF!</definedName>
    <definedName name="fg28TBTB2RTDKDK" localSheetId="1">#REF!</definedName>
    <definedName name="fg28TBTB2RTDKDK">#REF!</definedName>
    <definedName name="FG28TBTB4RTDK" localSheetId="8">#REF!</definedName>
    <definedName name="FG28TBTB4RTDK" localSheetId="2">#REF!</definedName>
    <definedName name="FG28TBTB4RTDK" localSheetId="1">#REF!</definedName>
    <definedName name="FG28TBTB4RTDK">#REF!</definedName>
    <definedName name="FG44TBTB4RTDKDK" localSheetId="8">#REF!</definedName>
    <definedName name="FG44TBTB4RTDKDK" localSheetId="2">#REF!</definedName>
    <definedName name="FG44TBTB4RTDKDK" localSheetId="1">#REF!</definedName>
    <definedName name="FG44TBTB4RTDKDK">#REF!</definedName>
    <definedName name="FG46TBTB4RTDKDK" localSheetId="8">#REF!</definedName>
    <definedName name="FG46TBTB4RTDKDK" localSheetId="2">#REF!</definedName>
    <definedName name="FG46TBTB4RTDKDK" localSheetId="1">#REF!</definedName>
    <definedName name="FG46TBTB4RTDKDK">#REF!</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RKRKRKRKRKRKRKRKRKRKRKRKTBTB3" localSheetId="8">#REF!</definedName>
    <definedName name="FGRKRKRKRKRKRKRKRKRKRKRKRKTBTB3" localSheetId="2">#REF!</definedName>
    <definedName name="FGRKRKRKRKRKRKRKRKRKRKRKRKTBTB3" localSheetId="1">#REF!</definedName>
    <definedName name="FGRKRKRKRKRKRKRKRKRKRKRKRKTBTB3">#REF!</definedName>
    <definedName name="FGTBTB2RTDKDK" localSheetId="8">#REF!</definedName>
    <definedName name="FGTBTB2RTDKDK" localSheetId="2">#REF!</definedName>
    <definedName name="FGTBTB2RTDKDK" localSheetId="1">#REF!</definedName>
    <definedName name="FGTBTB2RTDKDK">#REF!</definedName>
    <definedName name="fgTBTB4RTDKDK" localSheetId="8">#REF!</definedName>
    <definedName name="fgTBTB4RTDKDK" localSheetId="2">#REF!</definedName>
    <definedName name="fgTBTB4RTDKDK" localSheetId="1">#REF!</definedName>
    <definedName name="fgTBTB4RTDKDK">#REF!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NAL_FS">[0]!FINAL_FS</definedName>
    <definedName name="finalReport">[0]!finalReport</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O">#N/A</definedName>
    <definedName name="FOH_Margin" localSheetId="8">#REF!</definedName>
    <definedName name="FOH_Margin" localSheetId="2">#REF!</definedName>
    <definedName name="FOH_Margin" localSheetId="1">#REF!</definedName>
    <definedName name="FOH_Margin">#REF!</definedName>
    <definedName name="FOH_Total" localSheetId="8">#REF!</definedName>
    <definedName name="FOH_Total" localSheetId="2">#REF!</definedName>
    <definedName name="FOH_Total" localSheetId="1">#REF!</definedName>
    <definedName name="FOH_Total">#REF!</definedName>
    <definedName name="FOH_Total_WI" localSheetId="8">#REF!</definedName>
    <definedName name="FOH_Total_WI" localSheetId="2">#REF!</definedName>
    <definedName name="FOH_Total_WI" localSheetId="1">#REF!</definedName>
    <definedName name="FOH_Total_WI">#REF!</definedName>
    <definedName name="FOHEXT" localSheetId="8">#REF!</definedName>
    <definedName name="FOHEXT" localSheetId="2">#REF!</definedName>
    <definedName name="FOHEXT" localSheetId="1">#REF!</definedName>
    <definedName name="FOHEXT">#REF!</definedName>
    <definedName name="FOHINSTEXT" localSheetId="8">#REF!</definedName>
    <definedName name="FOHINSTEXT" localSheetId="2">#REF!</definedName>
    <definedName name="FOHINSTEXT" localSheetId="1">#REF!</definedName>
    <definedName name="FOHINSTEXT">#REF!</definedName>
    <definedName name="FOHMARG" localSheetId="8">#REF!</definedName>
    <definedName name="FOHMARG" localSheetId="2">#REF!</definedName>
    <definedName name="FOHMARG" localSheetId="1">#REF!</definedName>
    <definedName name="FOHMARG">#REF!</definedName>
    <definedName name="FOHWARREXT" localSheetId="8">#REF!</definedName>
    <definedName name="FOHWARREXT" localSheetId="2">#REF!</definedName>
    <definedName name="FOHWARREXT" localSheetId="1">#REF!</definedName>
    <definedName name="FOHWARREXT">#REF!</definedName>
    <definedName name="FOPRINT" localSheetId="8">#REF!</definedName>
    <definedName name="FOPRINT" localSheetId="2">#REF!</definedName>
    <definedName name="FOPRINT" localSheetId="1">#REF!</definedName>
    <definedName name="FOPRINT">#REF!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_P_P">#N/A</definedName>
    <definedName name="GCODE">#N/A</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 localSheetId="8">#REF!</definedName>
    <definedName name="GEM" localSheetId="2">#REF!</definedName>
    <definedName name="GEM" localSheetId="1">#REF!</definedName>
    <definedName name="GEM">#REF!</definedName>
    <definedName name="GEMPRINT" localSheetId="8">#REF!</definedName>
    <definedName name="GEMPRINT" localSheetId="2">#REF!</definedName>
    <definedName name="GEMPRINT" localSheetId="1">#REF!</definedName>
    <definedName name="GEMPRINT">#REF!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f" hidden="1">{#N/A,#N/A,FALSE,"이태원철근"}</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 localSheetId="8">#REF!</definedName>
    <definedName name="gg" localSheetId="2">#REF!</definedName>
    <definedName name="gg" localSheetId="1">#REF!</definedName>
    <definedName name="gg">#REF!</definedName>
    <definedName name="gh"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RLF" localSheetId="8">#REF!</definedName>
    <definedName name="GHRLF" localSheetId="2">#REF!</definedName>
    <definedName name="GHRLF" localSheetId="1">#REF!</definedName>
    <definedName name="GHRLF">#REF!</definedName>
    <definedName name="GINPUT" localSheetId="8">#REF!</definedName>
    <definedName name="GINPUT" localSheetId="2">#REF!</definedName>
    <definedName name="GINPUT" localSheetId="1">#REF!</definedName>
    <definedName name="GINPUT">#REF!</definedName>
    <definedName name="gjh" hidden="1">{#N/A,#N/A,FALSE,"이태원철근"}</definedName>
    <definedName name="GM" localSheetId="8">#REF!</definedName>
    <definedName name="GM" localSheetId="2">#REF!</definedName>
    <definedName name="GM" localSheetId="1">#REF!</definedName>
    <definedName name="GM">#REF!</definedName>
    <definedName name="GO" localSheetId="8">#REF!</definedName>
    <definedName name="GO" localSheetId="2">#REF!</definedName>
    <definedName name="GO" localSheetId="1">#REF!</definedName>
    <definedName name="GO">#REF!</definedName>
    <definedName name="GONGJONG" localSheetId="8">#REF!</definedName>
    <definedName name="GONGJONG" localSheetId="2">#REF!</definedName>
    <definedName name="GONGJONG" localSheetId="1">#REF!</definedName>
    <definedName name="GONGJONG">#REF!</definedName>
    <definedName name="GPRIC">#N/A</definedName>
    <definedName name="grhngh" localSheetId="8">BlankMacro1</definedName>
    <definedName name="grhngh" localSheetId="2">BlankMacro1</definedName>
    <definedName name="grhngh" localSheetId="1">BlankMacro1</definedName>
    <definedName name="grhngh">BlankMacro1</definedName>
    <definedName name="GrphActSales" localSheetId="8">#REF!</definedName>
    <definedName name="GrphActSales" localSheetId="2">#REF!</definedName>
    <definedName name="GrphActSales" localSheetId="1">#REF!</definedName>
    <definedName name="GrphActSales">#REF!</definedName>
    <definedName name="GrphActStk" localSheetId="8">#REF!</definedName>
    <definedName name="GrphActStk" localSheetId="2">#REF!</definedName>
    <definedName name="GrphActStk" localSheetId="1">#REF!</definedName>
    <definedName name="GrphActStk">#REF!</definedName>
    <definedName name="GrphPlanSales" localSheetId="8">#REF!</definedName>
    <definedName name="GrphPlanSales" localSheetId="2">#REF!</definedName>
    <definedName name="GrphPlanSales" localSheetId="1">#REF!</definedName>
    <definedName name="GrphPlanSales">#REF!</definedName>
    <definedName name="GrphTgtStk" localSheetId="8">#REF!</definedName>
    <definedName name="GrphTgtStk" localSheetId="2">#REF!</definedName>
    <definedName name="GrphTgtStk" localSheetId="1">#REF!</definedName>
    <definedName name="GrphTgtStk">#REF!</definedName>
    <definedName name="gsgsd" hidden="1">{#N/A,#N/A,FALSE,"이태원철근"}</definedName>
    <definedName name="GTLOAD" localSheetId="8">#REF!</definedName>
    <definedName name="GTLOAD" localSheetId="2">#REF!</definedName>
    <definedName name="GTLOAD" localSheetId="1">#REF!</definedName>
    <definedName name="GTLOAD">#REF!</definedName>
    <definedName name="GUBUN">#N/A</definedName>
    <definedName name="GWA" localSheetId="8">#REF!</definedName>
    <definedName name="GWA" localSheetId="2">#REF!</definedName>
    <definedName name="GWA" localSheetId="1">#REF!</definedName>
    <definedName name="GWA">#REF!</definedName>
    <definedName name="h" hidden="1">{#N/A,#N/A,FALSE,"손익표지";#N/A,#N/A,FALSE,"손익계산";#N/A,#N/A,FALSE,"일반관리비";#N/A,#N/A,FALSE,"영업외수익";#N/A,#N/A,FALSE,"영업외비용";#N/A,#N/A,FALSE,"매출액";#N/A,#N/A,FALSE,"요약손익";#N/A,#N/A,FALSE,"요약대차";#N/A,#N/A,FALSE,"매출채권현황";#N/A,#N/A,FALSE,"매출채권명세"}</definedName>
    <definedName name="Hc" localSheetId="8">#REF!</definedName>
    <definedName name="Hc" localSheetId="2">#REF!</definedName>
    <definedName name="Hc" localSheetId="1">#REF!</definedName>
    <definedName name="Hc">#REF!</definedName>
    <definedName name="Help_Total" localSheetId="8">#REF!</definedName>
    <definedName name="Help_Total" localSheetId="2">#REF!</definedName>
    <definedName name="Help_Total" localSheetId="1">#REF!</definedName>
    <definedName name="Help_Total">#REF!</definedName>
    <definedName name="Help1" localSheetId="8">#REF!</definedName>
    <definedName name="Help1" localSheetId="2">#REF!</definedName>
    <definedName name="Help1" localSheetId="1">#REF!</definedName>
    <definedName name="Help1">#REF!</definedName>
    <definedName name="Help2" localSheetId="8">#REF!</definedName>
    <definedName name="Help2" localSheetId="2">#REF!</definedName>
    <definedName name="Help2" localSheetId="1">#REF!</definedName>
    <definedName name="Help2">#REF!</definedName>
    <definedName name="Help3" localSheetId="8">#REF!</definedName>
    <definedName name="Help3" localSheetId="2">#REF!</definedName>
    <definedName name="Help3" localSheetId="1">#REF!</definedName>
    <definedName name="Help3">#REF!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SE" localSheetId="8">#REF!</definedName>
    <definedName name="HSE" localSheetId="2">#REF!</definedName>
    <definedName name="HSE" localSheetId="1">#REF!</definedName>
    <definedName name="HSE">#REF!</definedName>
    <definedName name="HTML_CodePage" hidden="1">1252</definedName>
    <definedName name="HTML_Control" hidden="1">{"'Hotel-Price'!$A$1:$H$73"}</definedName>
    <definedName name="HTML_Description">""</definedName>
    <definedName name="HTML_Email">""</definedName>
    <definedName name="HTML_Header" hidden="1">"Hotel-Price"</definedName>
    <definedName name="HTML_LastUpdate" hidden="1">"25-May-98"</definedName>
    <definedName name="HTML_LineAfter">FALSE</definedName>
    <definedName name="HTML_LineBefore">FALSE</definedName>
    <definedName name="HTML_Name" hidden="1">"Robert Adam"</definedName>
    <definedName name="HTML_OBDlg2">TRUE</definedName>
    <definedName name="HTML_OBDlg4">TRUE</definedName>
    <definedName name="HTML_OS">0</definedName>
    <definedName name="HTML_PathFile" hidden="1">"c:\swissotl.htm"</definedName>
    <definedName name="HTML_Title" hidden="1">"SWISS98"</definedName>
    <definedName name="i" localSheetId="8">#REF!</definedName>
    <definedName name="i" localSheetId="2">#REF!</definedName>
    <definedName name="i" localSheetId="1">#REF!</definedName>
    <definedName name="i">#REF!</definedName>
    <definedName name="IELWSALES" localSheetId="8">#REF!</definedName>
    <definedName name="IELWSALES" localSheetId="2">#REF!</definedName>
    <definedName name="IELWSALES" localSheetId="1">#REF!</definedName>
    <definedName name="IELWSALES">#REF!</definedName>
    <definedName name="IELYSALES" localSheetId="8">#REF!</definedName>
    <definedName name="IELYSALES" localSheetId="2">#REF!</definedName>
    <definedName name="IELYSALES" localSheetId="1">#REF!</definedName>
    <definedName name="IELYSALES">#REF!</definedName>
    <definedName name="IEPLANSALES" localSheetId="8">#REF!</definedName>
    <definedName name="IEPLANSALES" localSheetId="2">#REF!</definedName>
    <definedName name="IEPLANSALES" localSheetId="1">#REF!</definedName>
    <definedName name="IEPLANSALES">#REF!</definedName>
    <definedName name="IESP" localSheetId="8">#REF!</definedName>
    <definedName name="IESP" localSheetId="2">#REF!</definedName>
    <definedName name="IESP" localSheetId="1">#REF!</definedName>
    <definedName name="IESP">#REF!</definedName>
    <definedName name="ii" localSheetId="8">#REF!</definedName>
    <definedName name="ii" localSheetId="2">#REF!</definedName>
    <definedName name="ii" localSheetId="1">#REF!</definedName>
    <definedName name="ii">#REF!</definedName>
    <definedName name="iii" localSheetId="8">#REF!</definedName>
    <definedName name="iii" localSheetId="2">#REF!</definedName>
    <definedName name="iii" localSheetId="1">#REF!</definedName>
    <definedName name="iii">#REF!</definedName>
    <definedName name="INCREASED" localSheetId="8">#REF!</definedName>
    <definedName name="INCREASED" localSheetId="2">#REF!</definedName>
    <definedName name="INCREASED" localSheetId="1">#REF!</definedName>
    <definedName name="INCREASED">#REF!</definedName>
    <definedName name="INETOTHER" localSheetId="8">#REF!</definedName>
    <definedName name="INETOTHER" localSheetId="2">#REF!</definedName>
    <definedName name="INETOTHER" localSheetId="1">#REF!</definedName>
    <definedName name="INETOTHER">#REF!</definedName>
    <definedName name="INETPPE" localSheetId="8">#REF!</definedName>
    <definedName name="INETPPE" localSheetId="2">#REF!</definedName>
    <definedName name="INETPPE" localSheetId="1">#REF!</definedName>
    <definedName name="INETPPE">#REF!</definedName>
    <definedName name="ini_button_Click">[0]!ini_button_Click</definedName>
    <definedName name="Install" localSheetId="8">#REF!</definedName>
    <definedName name="Install" localSheetId="2">#REF!</definedName>
    <definedName name="Install" localSheetId="1">#REF!</definedName>
    <definedName name="Install">#REF!</definedName>
    <definedName name="Install_Extended" localSheetId="8">#REF!</definedName>
    <definedName name="Install_Extended" localSheetId="2">#REF!</definedName>
    <definedName name="Install_Extended" localSheetId="1">#REF!</definedName>
    <definedName name="Install_Extended">#REF!</definedName>
    <definedName name="Install_Extended_Total" localSheetId="8">#REF!</definedName>
    <definedName name="Install_Extended_Total" localSheetId="2">#REF!</definedName>
    <definedName name="Install_Extended_Total" localSheetId="1">#REF!</definedName>
    <definedName name="Install_Extended_Total">#REF!</definedName>
    <definedName name="IntFreeCred" localSheetId="8">#REF!</definedName>
    <definedName name="IntFreeCred" localSheetId="2">#REF!</definedName>
    <definedName name="IntFreeCred" localSheetId="1">#REF!</definedName>
    <definedName name="IntFreeCred">#REF!</definedName>
    <definedName name="Is" localSheetId="8">#REF!</definedName>
    <definedName name="Is" localSheetId="2">#REF!</definedName>
    <definedName name="Is" localSheetId="1">#REF!</definedName>
    <definedName name="Is">#REF!</definedName>
    <definedName name="Ith" localSheetId="8">#REF!</definedName>
    <definedName name="Ith" localSheetId="2">#REF!</definedName>
    <definedName name="Ith" localSheetId="1">#REF!</definedName>
    <definedName name="Ith">#REF!</definedName>
    <definedName name="j"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jhg" hidden="1">{#N/A,#N/A,FALSE,"이태원철근"}</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IKWI" localSheetId="8">#REF!</definedName>
    <definedName name="JIKWI" localSheetId="2">#REF!</definedName>
    <definedName name="JIKWI" localSheetId="1">#REF!</definedName>
    <definedName name="JIKWI">#REF!</definedName>
    <definedName name="jj"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ob_run">[0]!job_run</definedName>
    <definedName name="KEPNET" localSheetId="8">#REF!</definedName>
    <definedName name="KEPNET" localSheetId="2">#REF!</definedName>
    <definedName name="KEPNET" localSheetId="1">#REF!</definedName>
    <definedName name="KEPNET">#REF!</definedName>
    <definedName name="ket" localSheetId="8" hidden="1">#REF!</definedName>
    <definedName name="ket" localSheetId="2" hidden="1">#REF!</definedName>
    <definedName name="ket" localSheetId="1" hidden="1">#REF!</definedName>
    <definedName name="ket" hidden="1">#REF!</definedName>
    <definedName name="KEY">#N/A</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j" localSheetId="8" hidden="1">#REF!</definedName>
    <definedName name="kj" localSheetId="2" hidden="1">#REF!</definedName>
    <definedName name="kj" localSheetId="1" hidden="1">#REF!</definedName>
    <definedName name="kj" hidden="1">#REF!</definedName>
    <definedName name="KK" hidden="1">{#N/A,#N/A,FALSE,"손익표지";#N/A,#N/A,FALSE,"손익계산";#N/A,#N/A,FALSE,"일반관리비";#N/A,#N/A,FALSE,"영업외수익";#N/A,#N/A,FALSE,"영업외비용";#N/A,#N/A,FALSE,"매출액";#N/A,#N/A,FALSE,"요약손익";#N/A,#N/A,FALSE,"요약대차";#N/A,#N/A,FALSE,"매출채권현황";#N/A,#N/A,FALSE,"매출채권명세"}</definedName>
    <definedName name="kkk" localSheetId="8">#REF!</definedName>
    <definedName name="kkk" localSheetId="2">#REF!</definedName>
    <definedName name="kkk" localSheetId="1">#REF!</definedName>
    <definedName name="kkk">#REF!</definedName>
    <definedName name="kkkk"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KPC">{"Book1","주요주주.XLS"}</definedName>
    <definedName name="KPI" hidden="1">{#N/A,#N/A,FALSE,"손익표지";#N/A,#N/A,FALSE,"손익계산";#N/A,#N/A,FALSE,"일반관리비";#N/A,#N/A,FALSE,"영업외수익";#N/A,#N/A,FALSE,"영업외비용";#N/A,#N/A,FALSE,"매출액";#N/A,#N/A,FALSE,"요약손익";#N/A,#N/A,FALSE,"요약대차";#N/A,#N/A,FALSE,"매출채권현황";#N/A,#N/A,FALSE,"매출채권명세"}</definedName>
    <definedName name="l" hidden="1">{#N/A,#N/A,FALSE,"손익표지";#N/A,#N/A,FALSE,"손익계산";#N/A,#N/A,FALSE,"일반관리비";#N/A,#N/A,FALSE,"영업외수익";#N/A,#N/A,FALSE,"영업외비용";#N/A,#N/A,FALSE,"매출액";#N/A,#N/A,FALSE,"요약손익";#N/A,#N/A,FALSE,"요약대차";#N/A,#N/A,FALSE,"매출채권현황";#N/A,#N/A,FALSE,"매출채권명세"}</definedName>
    <definedName name="Last_Row">#N/A</definedName>
    <definedName name="LG" localSheetId="8">#REF!</definedName>
    <definedName name="LG" localSheetId="2">#REF!</definedName>
    <definedName name="LG" localSheetId="1">#REF!</definedName>
    <definedName name="LG">#REF!</definedName>
    <definedName name="light">"Picture 1"</definedName>
    <definedName name="LINE_1">#N/A</definedName>
    <definedName name="LINE_2">#N/A</definedName>
    <definedName name="LINE_3">#N/A</definedName>
    <definedName name="LL" localSheetId="8">#REF!</definedName>
    <definedName name="LL" localSheetId="2">#REF!</definedName>
    <definedName name="LL" localSheetId="1">#REF!</definedName>
    <definedName name="LL">#REF!</definedName>
    <definedName name="load" localSheetId="8">#REF!</definedName>
    <definedName name="load" localSheetId="2">#REF!</definedName>
    <definedName name="load" localSheetId="1">#REF!</definedName>
    <definedName name="load">#REF!</definedName>
    <definedName name="LOOPKEY">#N/A</definedName>
    <definedName name="LPG">431</definedName>
    <definedName name="LPRIC">#N/A</definedName>
    <definedName name="LWSALES" localSheetId="8">#REF!</definedName>
    <definedName name="LWSALES" localSheetId="2">#REF!</definedName>
    <definedName name="LWSALES" localSheetId="1">#REF!</definedName>
    <definedName name="LWSALES">#REF!</definedName>
    <definedName name="LY" localSheetId="8" hidden="1">#REF!</definedName>
    <definedName name="LY" localSheetId="2" hidden="1">#REF!</definedName>
    <definedName name="LY" localSheetId="1" hidden="1">#REF!</definedName>
    <definedName name="LY" hidden="1">#REF!</definedName>
    <definedName name="LYBin" localSheetId="8">#REF!</definedName>
    <definedName name="LYBin" localSheetId="2">#REF!</definedName>
    <definedName name="LYBin" localSheetId="1">#REF!</definedName>
    <definedName name="LYBin">#REF!</definedName>
    <definedName name="LYHolds" localSheetId="8">#REF!</definedName>
    <definedName name="LYHolds" localSheetId="2">#REF!</definedName>
    <definedName name="LYHolds" localSheetId="1">#REF!</definedName>
    <definedName name="LYHolds">#REF!</definedName>
    <definedName name="LYNet" localSheetId="8">#REF!</definedName>
    <definedName name="LYNet" localSheetId="2">#REF!</definedName>
    <definedName name="LYNet" localSheetId="1">#REF!</definedName>
    <definedName name="LYNet">#REF!</definedName>
    <definedName name="LYoos" localSheetId="8">#REF!</definedName>
    <definedName name="LYoos" localSheetId="2">#REF!</definedName>
    <definedName name="LYoos" localSheetId="1">#REF!</definedName>
    <definedName name="LYoos">#REF!</definedName>
    <definedName name="LYReselects" localSheetId="8">#REF!</definedName>
    <definedName name="LYReselects" localSheetId="2">#REF!</definedName>
    <definedName name="LYReselects" localSheetId="1">#REF!</definedName>
    <definedName name="LYReselects">#REF!</definedName>
    <definedName name="LYReturns" localSheetId="8">#REF!</definedName>
    <definedName name="LYReturns" localSheetId="2">#REF!</definedName>
    <definedName name="LYReturns" localSheetId="1">#REF!</definedName>
    <definedName name="LYReturns">#REF!</definedName>
    <definedName name="LYSales" localSheetId="8">#REF!</definedName>
    <definedName name="LYSales" localSheetId="2">#REF!</definedName>
    <definedName name="LYSales" localSheetId="1">#REF!</definedName>
    <definedName name="LYSales">#REF!</definedName>
    <definedName name="LYTotal" localSheetId="8">#REF!</definedName>
    <definedName name="LYTotal" localSheetId="2">#REF!</definedName>
    <definedName name="LYTotal" localSheetId="1">#REF!</definedName>
    <definedName name="LYTotal">#REF!</definedName>
    <definedName name="M" localSheetId="8">#REF!</definedName>
    <definedName name="M" localSheetId="2">#REF!</definedName>
    <definedName name="M" localSheetId="1">#REF!</definedName>
    <definedName name="M">#REF!</definedName>
    <definedName name="M_A_L_G_A">#N/A</definedName>
    <definedName name="M_L_N_G">#N/A</definedName>
    <definedName name="M_P_D_P">#N/A</definedName>
    <definedName name="M3..T3_">#N/A</definedName>
    <definedName name="mac" localSheetId="8">#REF!</definedName>
    <definedName name="mac" localSheetId="2">#REF!</definedName>
    <definedName name="mac" localSheetId="1">#REF!</definedName>
    <definedName name="mac">#REF!</definedName>
    <definedName name="MAIN" localSheetId="8">#REF!</definedName>
    <definedName name="MAIN" localSheetId="2">#REF!</definedName>
    <definedName name="MAIN" localSheetId="1">#REF!</definedName>
    <definedName name="MAIN">#REF!</definedName>
    <definedName name="MARGINPLAN" localSheetId="8">#REF!</definedName>
    <definedName name="MARGINPLAN" localSheetId="2">#REF!</definedName>
    <definedName name="MARGINPLAN" localSheetId="1">#REF!</definedName>
    <definedName name="MARGINPLAN">#REF!</definedName>
    <definedName name="MARGINPROJ" localSheetId="8">#REF!</definedName>
    <definedName name="MARGINPROJ" localSheetId="2">#REF!</definedName>
    <definedName name="MARGINPROJ" localSheetId="1">#REF!</definedName>
    <definedName name="MARGINPROJ">#REF!</definedName>
    <definedName name="mcr" localSheetId="8">#REF!</definedName>
    <definedName name="mcr" localSheetId="2">#REF!</definedName>
    <definedName name="mcr" localSheetId="1">#REF!</definedName>
    <definedName name="mcr">#REF!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nu_button_Click">[0]!menu_button_Click</definedName>
    <definedName name="MESS">#N/A</definedName>
    <definedName name="MESSSCR">#N/A</definedName>
    <definedName name="metering" localSheetId="8" hidden="1">#REF!</definedName>
    <definedName name="metering" localSheetId="2" hidden="1">#REF!</definedName>
    <definedName name="metering" localSheetId="1" hidden="1">#REF!</definedName>
    <definedName name="metering" hidden="1">#REF!</definedName>
    <definedName name="MHELP" localSheetId="8">#REF!</definedName>
    <definedName name="MHELP" localSheetId="2">#REF!</definedName>
    <definedName name="MHELP" localSheetId="1">#REF!</definedName>
    <definedName name="MHELP">#REF!</definedName>
    <definedName name="minus" localSheetId="8">#REF!</definedName>
    <definedName name="minus" localSheetId="2">#REF!</definedName>
    <definedName name="minus" localSheetId="1">#REF!</definedName>
    <definedName name="minus">#REF!</definedName>
    <definedName name="mirp" localSheetId="8">#REF!</definedName>
    <definedName name="mirp" localSheetId="2">#REF!</definedName>
    <definedName name="mirp" localSheetId="1">#REF!</definedName>
    <definedName name="mirp">#REF!</definedName>
    <definedName name="misp" localSheetId="8">#REF!</definedName>
    <definedName name="misp" localSheetId="2">#REF!</definedName>
    <definedName name="misp" localSheetId="1">#REF!</definedName>
    <definedName name="misp">#REF!</definedName>
    <definedName name="mm" hidden="1">{#N/A,#N/A,FALSE,"손익표지";#N/A,#N/A,FALSE,"손익계산";#N/A,#N/A,FALSE,"일반관리비";#N/A,#N/A,FALSE,"영업외수익";#N/A,#N/A,FALSE,"영업외비용";#N/A,#N/A,FALSE,"매출액";#N/A,#N/A,FALSE,"요약손익";#N/A,#N/A,FALSE,"요약대차";#N/A,#N/A,FALSE,"매출채권현황";#N/A,#N/A,FALSE,"매출채권명세"}</definedName>
    <definedName name="Model_Level_Mendocino" localSheetId="8">#REF!</definedName>
    <definedName name="Model_Level_Mendocino" localSheetId="2">#REF!</definedName>
    <definedName name="Model_Level_Mendocino" localSheetId="1">#REF!</definedName>
    <definedName name="Model_Level_Mendocino">#REF!</definedName>
    <definedName name="Module_Model_Level" localSheetId="8">#REF!</definedName>
    <definedName name="Module_Model_Level" localSheetId="2">#REF!</definedName>
    <definedName name="Module_Model_Level" localSheetId="1">#REF!</definedName>
    <definedName name="Module_Model_Level">#REF!</definedName>
    <definedName name="MPRIC">#N/A</definedName>
    <definedName name="MSRP" localSheetId="8">#REF!</definedName>
    <definedName name="MSRP" localSheetId="2">#REF!</definedName>
    <definedName name="MSRP" localSheetId="1">#REF!</definedName>
    <definedName name="MSRP">#REF!</definedName>
    <definedName name="N3_">#N/A</definedName>
    <definedName name="NAK">#N/A</definedName>
    <definedName name="NAME">#N/A</definedName>
    <definedName name="nego2" localSheetId="8">#REF!</definedName>
    <definedName name="nego2" localSheetId="2">#REF!</definedName>
    <definedName name="nego2" localSheetId="1">#REF!</definedName>
    <definedName name="nego2">#REF!</definedName>
    <definedName name="New" localSheetId="8">#REF!</definedName>
    <definedName name="New" localSheetId="2">#REF!</definedName>
    <definedName name="New" localSheetId="1">#REF!</definedName>
    <definedName name="New">#REF!</definedName>
    <definedName name="NEWNAME"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O" localSheetId="8">#REF!</definedName>
    <definedName name="NO" localSheetId="2">#REF!</definedName>
    <definedName name="NO" localSheetId="1">#REF!</definedName>
    <definedName name="NO">#REF!</definedName>
    <definedName name="NOTE" hidden="1">{#N/A,#N/A,TRUE,"총괄"}</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cf" localSheetId="8" hidden="1">#REF!</definedName>
    <definedName name="ocf" localSheetId="2" hidden="1">#REF!</definedName>
    <definedName name="ocf" localSheetId="1" hidden="1">#REF!</definedName>
    <definedName name="ocf" hidden="1">#REF!</definedName>
    <definedName name="Oct_Rel" localSheetId="8">#REF!</definedName>
    <definedName name="Oct_Rel" localSheetId="2">#REF!</definedName>
    <definedName name="Oct_Rel" localSheetId="1">#REF!</definedName>
    <definedName name="Oct_Rel">#REF!</definedName>
    <definedName name="old" localSheetId="8">#REF!</definedName>
    <definedName name="old" localSheetId="2">#REF!</definedName>
    <definedName name="old" localSheetId="1">#REF!</definedName>
    <definedName name="old">#REF!</definedName>
    <definedName name="opo" hidden="1">{#N/A,#N/A,FALSE,"지침";#N/A,#N/A,FALSE,"환경분석";#N/A,#N/A,FALSE,"Sheet16"}</definedName>
    <definedName name="opt" localSheetId="8">#REF!</definedName>
    <definedName name="opt" localSheetId="2">#REF!</definedName>
    <definedName name="opt" localSheetId="1">#REF!</definedName>
    <definedName name="opt">#REF!</definedName>
    <definedName name="OptionButton21_Click">[0]!OptionButton21_Click</definedName>
    <definedName name="Options_Model_Level" localSheetId="8">#REF!</definedName>
    <definedName name="Options_Model_Level" localSheetId="2">#REF!</definedName>
    <definedName name="Options_Model_Level" localSheetId="1">#REF!</definedName>
    <definedName name="Options_Model_Level">#REF!</definedName>
    <definedName name="Options_Only_SKUs" localSheetId="8">#REF!</definedName>
    <definedName name="Options_Only_SKUs" localSheetId="2">#REF!</definedName>
    <definedName name="Options_Only_SKUs" localSheetId="1">#REF!</definedName>
    <definedName name="Options_Only_SKUs">#REF!</definedName>
    <definedName name="p" hidden="1">{#N/A,#N/A,FALSE,"손익표지";#N/A,#N/A,FALSE,"손익계산";#N/A,#N/A,FALSE,"일반관리비";#N/A,#N/A,FALSE,"영업외수익";#N/A,#N/A,FALSE,"영업외비용";#N/A,#N/A,FALSE,"매출액";#N/A,#N/A,FALSE,"요약손익";#N/A,#N/A,FALSE,"요약대차";#N/A,#N/A,FALSE,"매출채권현황";#N/A,#N/A,FALSE,"매출채권명세"}</definedName>
    <definedName name="P_0" localSheetId="8">#REF!</definedName>
    <definedName name="P_0" localSheetId="2">#REF!</definedName>
    <definedName name="P_0" localSheetId="1">#REF!</definedName>
    <definedName name="P_0">#REF!</definedName>
    <definedName name="P_1" localSheetId="8">#REF!</definedName>
    <definedName name="P_1" localSheetId="2">#REF!</definedName>
    <definedName name="P_1" localSheetId="1">#REF!</definedName>
    <definedName name="P_1">#REF!</definedName>
    <definedName name="P_2" localSheetId="8">#REF!</definedName>
    <definedName name="P_2" localSheetId="2">#REF!</definedName>
    <definedName name="P_2" localSheetId="1">#REF!</definedName>
    <definedName name="P_2">#REF!</definedName>
    <definedName name="PAGE1">#N/A</definedName>
    <definedName name="PAGE11">#N/A</definedName>
    <definedName name="PAGE12">#N/A</definedName>
    <definedName name="PAGE13">#N/A</definedName>
    <definedName name="PAGE14">#N/A</definedName>
    <definedName name="PAGE15">#N/A</definedName>
    <definedName name="PAGE16">#N/A</definedName>
    <definedName name="PAGE2">#N/A</definedName>
    <definedName name="PAGE21">#N/A</definedName>
    <definedName name="PAGE22">#N/A</definedName>
    <definedName name="PAGE3">#N/A</definedName>
    <definedName name="PAGE31">#N/A</definedName>
    <definedName name="PAGE32">#N/A</definedName>
    <definedName name="PAGE4">#N/A</definedName>
    <definedName name="PAGE41">#N/A</definedName>
    <definedName name="PAGE42">#N/A</definedName>
    <definedName name="PC_PROD" localSheetId="8">#REF!</definedName>
    <definedName name="PC_PROD" localSheetId="2">#REF!</definedName>
    <definedName name="PC_PROD" localSheetId="1">#REF!</definedName>
    <definedName name="PC_PROD">#REF!</definedName>
    <definedName name="pcisn" localSheetId="8">#REF!</definedName>
    <definedName name="pcisn" localSheetId="2">#REF!</definedName>
    <definedName name="pcisn" localSheetId="1">#REF!</definedName>
    <definedName name="pcisn">#REF!</definedName>
    <definedName name="PD" localSheetId="8">#REF!</definedName>
    <definedName name="PD" localSheetId="2">#REF!</definedName>
    <definedName name="PD" localSheetId="1">#REF!</definedName>
    <definedName name="PD">#REF!</definedName>
    <definedName name="PDT" localSheetId="8">#REF!</definedName>
    <definedName name="PDT" localSheetId="2">#REF!</definedName>
    <definedName name="PDT" localSheetId="1">#REF!</definedName>
    <definedName name="PDT">#REF!</definedName>
    <definedName name="PDTEXT" localSheetId="8">#REF!</definedName>
    <definedName name="PDTEXT" localSheetId="2">#REF!</definedName>
    <definedName name="PDTEXT" localSheetId="1">#REF!</definedName>
    <definedName name="PDTEXT">#REF!</definedName>
    <definedName name="PICTURE10" localSheetId="8">#REF!</definedName>
    <definedName name="PICTURE10" localSheetId="2">#REF!</definedName>
    <definedName name="PICTURE10" localSheetId="1">#REF!</definedName>
    <definedName name="PICTURE10">#REF!</definedName>
    <definedName name="PICTURE11" localSheetId="8">#REF!</definedName>
    <definedName name="PICTURE11" localSheetId="2">#REF!</definedName>
    <definedName name="PICTURE11" localSheetId="1">#REF!</definedName>
    <definedName name="PICTURE11">#REF!</definedName>
    <definedName name="PIPE1">#N/A</definedName>
    <definedName name="PJT">#N/A</definedName>
    <definedName name="plep" localSheetId="8">#REF!</definedName>
    <definedName name="plep" localSheetId="2">#REF!</definedName>
    <definedName name="plep" localSheetId="1">#REF!</definedName>
    <definedName name="plep">#REF!</definedName>
    <definedName name="plNote">[0]!plNote</definedName>
    <definedName name="PL환산">[0]!PL환산</definedName>
    <definedName name="PNAME">#N/A</definedName>
    <definedName name="POAARTRTPOBBRTRT" localSheetId="8">#REF!</definedName>
    <definedName name="POAARTRTPOBBRTRT" localSheetId="2">#REF!</definedName>
    <definedName name="POAARTRTPOBBRTRT" localSheetId="1">#REF!</definedName>
    <definedName name="POAARTRTPOBBRTRT">#REF!</definedName>
    <definedName name="poaaRTRTpobbRTRTpoccRTRTpoddRTR" localSheetId="8">#REF!</definedName>
    <definedName name="poaaRTRTpobbRTRTpoccRTRTpoddRTR" localSheetId="2">#REF!</definedName>
    <definedName name="poaaRTRTpobbRTRTpoccRTRTpoddRTR" localSheetId="1">#REF!</definedName>
    <definedName name="poaaRTRTpobbRTRTpoccRTRTpoddRTR">#REF!</definedName>
    <definedName name="POARTM0TB0TB0TB0TB4.8TB55TB200R" localSheetId="8">#REF!</definedName>
    <definedName name="POARTM0TB0TB0TB0TB4.8TB55TB200R" localSheetId="2">#REF!</definedName>
    <definedName name="POARTM0TB0TB0TB0TB4.8TB55TB200R" localSheetId="1">#REF!</definedName>
    <definedName name="POARTM0TB0TB0TB0TB4.8TB55TB200R">#REF!</definedName>
    <definedName name="POARTSQKS15C5LRTRT" localSheetId="8">#REF!</definedName>
    <definedName name="POARTSQKS15C5LRTRT" localSheetId="2">#REF!</definedName>
    <definedName name="POARTSQKS15C5LRTRT" localSheetId="1">#REF!</definedName>
    <definedName name="POARTSQKS15C5LRTRT">#REF!</definedName>
    <definedName name="pojjRTRTpoiiRTRTpohhRTRT" localSheetId="8">#REF!</definedName>
    <definedName name="pojjRTRTpoiiRTRTpohhRTRT" localSheetId="2">#REF!</definedName>
    <definedName name="pojjRTRTpoiiRTRTpohhRTRT" localSheetId="1">#REF!</definedName>
    <definedName name="pojjRTRTpoiiRTRTpohhRTRT">#REF!</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pppp">#N/A</definedName>
    <definedName name="Ppw" localSheetId="8">#REF!</definedName>
    <definedName name="Ppw" localSheetId="2">#REF!</definedName>
    <definedName name="Ppw" localSheetId="1">#REF!</definedName>
    <definedName name="Ppw">#REF!</definedName>
    <definedName name="PRDump" localSheetId="8">#REF!</definedName>
    <definedName name="PRDump" localSheetId="2">#REF!</definedName>
    <definedName name="PRDump" localSheetId="1">#REF!</definedName>
    <definedName name="PRDump">#REF!</definedName>
    <definedName name="Price" localSheetId="8">#REF!</definedName>
    <definedName name="Price" localSheetId="2">#REF!</definedName>
    <definedName name="Price" localSheetId="1">#REF!</definedName>
    <definedName name="Price">#REF!</definedName>
    <definedName name="Price_Extended" localSheetId="8">#REF!</definedName>
    <definedName name="Price_Extended" localSheetId="2">#REF!</definedName>
    <definedName name="Price_Extended" localSheetId="1">#REF!</definedName>
    <definedName name="Price_Extended">#REF!</definedName>
    <definedName name="Price_Extended_WI" localSheetId="8">#REF!</definedName>
    <definedName name="Price_Extended_WI" localSheetId="2">#REF!</definedName>
    <definedName name="Price_Extended_WI" localSheetId="1">#REF!</definedName>
    <definedName name="Price_Extended_WI">#REF!</definedName>
    <definedName name="print" localSheetId="8">#REF!</definedName>
    <definedName name="print" localSheetId="2">#REF!</definedName>
    <definedName name="print" localSheetId="1">#REF!</definedName>
    <definedName name="print">#REF!</definedName>
    <definedName name="_xlnm.Print_Area" localSheetId="13">'Summary 2017'!$A$1:$S$16</definedName>
    <definedName name="_xlnm.Print_Area" localSheetId="12">'Summary 2018'!$A$1:$AA$19</definedName>
    <definedName name="_xlnm.Print_Area" localSheetId="11">'Summary 2019'!$A$1:$AA$25</definedName>
    <definedName name="_xlnm.Print_Area" localSheetId="10">'Summary 2020'!$A$1:$AD$29</definedName>
    <definedName name="_xlnm.Print_Area" localSheetId="9">'Summary 2021'!$A$1:$AC$37</definedName>
    <definedName name="_xlnm.Print_Area" localSheetId="8">'Summary 2022'!$A$1:$AB$34</definedName>
    <definedName name="_xlnm.Print_Area" localSheetId="2">'원가이체, 판관비 배부현황(1000USD)'!$A$1:$B$131</definedName>
    <definedName name="_xlnm.Print_Area" localSheetId="1">'원가이체, 판관비 배부현황(VND)'!$A$1:$B$134</definedName>
    <definedName name="_xlnm.Print_Area">#N/A</definedName>
    <definedName name="Print_Area_MI" localSheetId="8">#REF!</definedName>
    <definedName name="Print_Area_MI" localSheetId="2">#REF!</definedName>
    <definedName name="Print_Area_MI" localSheetId="1">#REF!</definedName>
    <definedName name="Print_Area_MI">#REF!</definedName>
    <definedName name="PRINT_AREA_MI1" localSheetId="8">#REF!</definedName>
    <definedName name="PRINT_AREA_MI1" localSheetId="2">#REF!</definedName>
    <definedName name="PRINT_AREA_MI1" localSheetId="1">#REF!</definedName>
    <definedName name="PRINT_AREA_MI1">#REF!</definedName>
    <definedName name="Print_Area_Mi2" localSheetId="8">#REF!</definedName>
    <definedName name="Print_Area_Mi2" localSheetId="2">#REF!</definedName>
    <definedName name="Print_Area_Mi2" localSheetId="1">#REF!</definedName>
    <definedName name="Print_Area_Mi2">#REF!</definedName>
    <definedName name="Print_title" localSheetId="8">#REF!,#REF!</definedName>
    <definedName name="Print_title" localSheetId="2">#REF!,#REF!</definedName>
    <definedName name="Print_title" localSheetId="1">#REF!,#REF!</definedName>
    <definedName name="Print_title">#REF!,#REF!</definedName>
    <definedName name="_xlnm.Print_Titles">#N/A</definedName>
    <definedName name="PRINTGO">#N/A</definedName>
    <definedName name="PS2_1">#N/A</definedName>
    <definedName name="PS3_1">#N/A</definedName>
    <definedName name="PS5_1">#N/A</definedName>
    <definedName name="PS6_1">#N/A</definedName>
    <definedName name="PS6_2">#N/A</definedName>
    <definedName name="PS6_3">#N/A</definedName>
    <definedName name="PS7_1">#N/A</definedName>
    <definedName name="PS7_2">#N/A</definedName>
    <definedName name="PS7_3">#N/A</definedName>
    <definedName name="PS7_4">#N/A</definedName>
    <definedName name="PS8_1">#N/A</definedName>
    <definedName name="Pw" localSheetId="8">#REF!</definedName>
    <definedName name="Pw" localSheetId="2">#REF!</definedName>
    <definedName name="Pw" localSheetId="1">#REF!</definedName>
    <definedName name="Pw">#REF!</definedName>
    <definedName name="q" hidden="1">{#N/A,#N/A,FALSE,"손익표지";#N/A,#N/A,FALSE,"손익계산";#N/A,#N/A,FALSE,"일반관리비";#N/A,#N/A,FALSE,"영업외수익";#N/A,#N/A,FALSE,"영업외비용";#N/A,#N/A,FALSE,"매출액";#N/A,#N/A,FALSE,"요약손익";#N/A,#N/A,FALSE,"요약대차";#N/A,#N/A,FALSE,"매출채권현황";#N/A,#N/A,FALSE,"매출채권명세"}</definedName>
    <definedName name="Q91A" localSheetId="8">#REF!</definedName>
    <definedName name="Q91A" localSheetId="2">#REF!</definedName>
    <definedName name="Q91A" localSheetId="1">#REF!</definedName>
    <definedName name="Q91A">#REF!</definedName>
    <definedName name="q91b" localSheetId="8">#REF!</definedName>
    <definedName name="q91b" localSheetId="2">#REF!</definedName>
    <definedName name="q91b" localSheetId="1">#REF!</definedName>
    <definedName name="q91b">#REF!</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 localSheetId="8">#REF!</definedName>
    <definedName name="Qty" localSheetId="2">#REF!</definedName>
    <definedName name="Qty" localSheetId="1">#REF!</definedName>
    <definedName name="Qty">#REF!</definedName>
    <definedName name="quit_button_Click">[0]!quit_button_Click</definedName>
    <definedName name="qw">{"'7-2지역별'!$A$1:$R$44"}</definedName>
    <definedName name="qwe" hidden="1">{#N/A,#N/A,FALSE,"손익표지";#N/A,#N/A,FALSE,"손익계산";#N/A,#N/A,FALSE,"일반관리비";#N/A,#N/A,FALSE,"영업외수익";#N/A,#N/A,FALSE,"영업외비용";#N/A,#N/A,FALSE,"매출액";#N/A,#N/A,FALSE,"요약손익";#N/A,#N/A,FALSE,"요약대차";#N/A,#N/A,FALSE,"매출채권현황";#N/A,#N/A,FALSE,"매출채권명세"}</definedName>
    <definedName name="R_">#N/A</definedName>
    <definedName name="R_1" localSheetId="8">#REF!</definedName>
    <definedName name="R_1" localSheetId="2">#REF!</definedName>
    <definedName name="R_1" localSheetId="1">#REF!</definedName>
    <definedName name="R_1">#REF!</definedName>
    <definedName name="R_I_Q_A_S">#N/A</definedName>
    <definedName name="RASCO__3">#N/A</definedName>
    <definedName name="RASCO__A">#N/A</definedName>
    <definedName name="RawAgencyPrice" localSheetId="8">#REF!</definedName>
    <definedName name="RawAgencyPrice" localSheetId="2">#REF!</definedName>
    <definedName name="RawAgencyPrice" localSheetId="1">#REF!</definedName>
    <definedName name="RawAgencyPrice">#REF!</definedName>
    <definedName name="RBData" localSheetId="8">#REF!</definedName>
    <definedName name="RBData" localSheetId="2">#REF!</definedName>
    <definedName name="RBData" localSheetId="1">#REF!</definedName>
    <definedName name="RBData">#REF!</definedName>
    <definedName name="rcd" localSheetId="8">#REF!</definedName>
    <definedName name="rcd" localSheetId="2">#REF!</definedName>
    <definedName name="rcd" localSheetId="1">#REF!</definedName>
    <definedName name="rcd">#REF!</definedName>
    <definedName name="re">{"'7-2지역별'!$A$1:$R$44"}</definedName>
    <definedName name="RE2WERT" localSheetId="8">BlankMacro1</definedName>
    <definedName name="RE2WERT" localSheetId="2">BlankMacro1</definedName>
    <definedName name="RE2WERT" localSheetId="1">BlankMacro1</definedName>
    <definedName name="RE2WERT">BlankMacro1</definedName>
    <definedName name="_xlnm.Recorder" localSheetId="8">#REF!</definedName>
    <definedName name="_xlnm.Recorder" localSheetId="2">#REF!</definedName>
    <definedName name="_xlnm.Recorder" localSheetId="1">#REF!</definedName>
    <definedName name="_xlnm.Recorder">#REF!</definedName>
    <definedName name="RelDatePls6" localSheetId="8">#REF!</definedName>
    <definedName name="RelDatePls6" localSheetId="2">#REF!</definedName>
    <definedName name="RelDatePls6" localSheetId="1">#REF!</definedName>
    <definedName name="RelDatePls6">#REF!</definedName>
    <definedName name="RelDatPls6NP" localSheetId="8">#REF!</definedName>
    <definedName name="RelDatPls6NP" localSheetId="2">#REF!</definedName>
    <definedName name="RelDatPls6NP" localSheetId="1">#REF!</definedName>
    <definedName name="RelDatPls6NP">#REF!</definedName>
    <definedName name="REM">#N/A</definedName>
    <definedName name="REMK">#N/A</definedName>
    <definedName name="RENN">{"'7-2지역별'!$A$1:$R$44"}</definedName>
    <definedName name="reportPl">[0]!reportPl</definedName>
    <definedName name="Reselects" localSheetId="8">#REF!</definedName>
    <definedName name="Reselects" localSheetId="2">#REF!</definedName>
    <definedName name="Reselects" localSheetId="1">#REF!</definedName>
    <definedName name="Reselects">#REF!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gre" localSheetId="8">#REF!</definedName>
    <definedName name="rgre" localSheetId="2">#REF!</definedName>
    <definedName name="rgre" localSheetId="1">#REF!</definedName>
    <definedName name="rgre">#REF!</definedName>
    <definedName name="RH" localSheetId="8">#REF!</definedName>
    <definedName name="RH" localSheetId="2">#REF!</definedName>
    <definedName name="RH" localSheetId="1">#REF!</definedName>
    <definedName name="RH">#REF!</definedName>
    <definedName name="RHKDWNRHD" localSheetId="8">#REF!</definedName>
    <definedName name="RHKDWNRHD" localSheetId="2">#REF!</definedName>
    <definedName name="RHKDWNRHD" localSheetId="1">#REF!</definedName>
    <definedName name="RHKDWNRHD">#REF!</definedName>
    <definedName name="rm27pcisn" localSheetId="8">#REF!</definedName>
    <definedName name="rm27pcisn" localSheetId="2">#REF!</definedName>
    <definedName name="rm27pcisn" localSheetId="1">#REF!</definedName>
    <definedName name="rm27pcisn">#REF!</definedName>
    <definedName name="RMPRINT" localSheetId="8">#REF!</definedName>
    <definedName name="RMPRINT" localSheetId="2">#REF!</definedName>
    <definedName name="RMPRINT" localSheetId="1">#REF!</definedName>
    <definedName name="RMPRINT">#REF!</definedName>
    <definedName name="ROTAT">#N/A</definedName>
    <definedName name="ROTAT1">#N/A</definedName>
    <definedName name="ROTAT2">#N/A</definedName>
    <definedName name="ROTAT3">#N/A</definedName>
    <definedName name="ROTAT4">#N/A</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 hidden="1">{#N/A,#N/A,FALSE,"손익표지";#N/A,#N/A,FALSE,"손익계산";#N/A,#N/A,FALSE,"일반관리비";#N/A,#N/A,FALSE,"영업외수익";#N/A,#N/A,FALSE,"영업외비용";#N/A,#N/A,FALSE,"매출액";#N/A,#N/A,FALSE,"요약손익";#N/A,#N/A,FALSE,"요약대차";#N/A,#N/A,FALSE,"매출채권현황";#N/A,#N/A,FALSE,"매출채권명세"}</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CLCRDLCRCRCRCRCRDLRT" localSheetId="8">#REF!</definedName>
    <definedName name="RTCLCRDLCRCRCRCRCRDLRT" localSheetId="2">#REF!</definedName>
    <definedName name="RTCLCRDLCRCRCRCRCRDLRT" localSheetId="1">#REF!</definedName>
    <definedName name="RTCLCRDLCRCRCRCRCRDLRT">#REF!</definedName>
    <definedName name="RYANG">#N/A</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 hidden="1">{#N/A,#N/A,FALSE,"손익표지";#N/A,#N/A,FALSE,"손익계산";#N/A,#N/A,FALSE,"일반관리비";#N/A,#N/A,FALSE,"영업외수익";#N/A,#N/A,FALSE,"영업외비용";#N/A,#N/A,FALSE,"매출액";#N/A,#N/A,FALSE,"요약손익";#N/A,#N/A,FALSE,"요약대차";#N/A,#N/A,FALSE,"매출채권현황";#N/A,#N/A,FALSE,"매출채권명세"}</definedName>
    <definedName name="S_M_D_S">#N/A</definedName>
    <definedName name="saarp" localSheetId="8">#REF!</definedName>
    <definedName name="saarp" localSheetId="2">#REF!</definedName>
    <definedName name="saarp" localSheetId="1">#REF!</definedName>
    <definedName name="saarp">#REF!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isir_la_date_de_création" localSheetId="8">#REF!</definedName>
    <definedName name="Saisir_la_date_de_création" localSheetId="2">#REF!</definedName>
    <definedName name="Saisir_la_date_de_création" localSheetId="1">#REF!</definedName>
    <definedName name="Saisir_la_date_de_création">#REF!</definedName>
    <definedName name="SALESPLAN" localSheetId="8">#REF!</definedName>
    <definedName name="SALESPLAN" localSheetId="2">#REF!</definedName>
    <definedName name="SALESPLAN" localSheetId="1">#REF!</definedName>
    <definedName name="SALESPLAN">#REF!</definedName>
    <definedName name="sample1" localSheetId="8">#REF!</definedName>
    <definedName name="sample1" localSheetId="2">#REF!</definedName>
    <definedName name="sample1" localSheetId="1">#REF!</definedName>
    <definedName name="sample1">#REF!</definedName>
    <definedName name="sarp" localSheetId="8">#REF!</definedName>
    <definedName name="sarp" localSheetId="2">#REF!</definedName>
    <definedName name="sarp" localSheetId="1">#REF!</definedName>
    <definedName name="sarp">#REF!</definedName>
    <definedName name="SCODE">#N/A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dd" localSheetId="8">#REF!</definedName>
    <definedName name="sddd" localSheetId="2">#REF!</definedName>
    <definedName name="sddd" localSheetId="1">#REF!</definedName>
    <definedName name="sddd">#REF!</definedName>
    <definedName name="SDF" hidden="1">{#N/A,#N/A,FALSE,"전력간선"}</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sd"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eawolf_TRadder" localSheetId="8">#REF!</definedName>
    <definedName name="seawolf_TRadder" localSheetId="2">#REF!</definedName>
    <definedName name="seawolf_TRadder" localSheetId="1">#REF!</definedName>
    <definedName name="seawolf_TRadder">#REF!</definedName>
    <definedName name="SEL_Total" localSheetId="8">#REF!</definedName>
    <definedName name="SEL_Total" localSheetId="2">#REF!</definedName>
    <definedName name="SEL_Total" localSheetId="1">#REF!</definedName>
    <definedName name="SEL_Total">#REF!</definedName>
    <definedName name="SELECT">#N/A</definedName>
    <definedName name="SEQU">#N/A</definedName>
    <definedName name="Server_Margin" localSheetId="8">#REF!</definedName>
    <definedName name="Server_Margin" localSheetId="2">#REF!</definedName>
    <definedName name="Server_Margin" localSheetId="1">#REF!</definedName>
    <definedName name="Server_Margin">#REF!</definedName>
    <definedName name="Server_Total" localSheetId="8">#REF!</definedName>
    <definedName name="Server_Total" localSheetId="2">#REF!</definedName>
    <definedName name="Server_Total" localSheetId="1">#REF!</definedName>
    <definedName name="Server_Total">#REF!</definedName>
    <definedName name="Server_Total_WI" localSheetId="8">#REF!</definedName>
    <definedName name="Server_Total_WI" localSheetId="2">#REF!</definedName>
    <definedName name="Server_Total_WI" localSheetId="1">#REF!</definedName>
    <definedName name="Server_Total_WI">#REF!</definedName>
    <definedName name="Service_Total" localSheetId="8">#REF!</definedName>
    <definedName name="Service_Total" localSheetId="2">#REF!</definedName>
    <definedName name="Service_Total" localSheetId="1">#REF!</definedName>
    <definedName name="Service_Total">#REF!</definedName>
    <definedName name="SEXP">#N/A</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_1">#N/A</definedName>
    <definedName name="SHEET_2">#N/A</definedName>
    <definedName name="SHEET_3">#N/A</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ize" localSheetId="8">#REF!</definedName>
    <definedName name="size" localSheetId="2">#REF!</definedName>
    <definedName name="size" localSheetId="1">#REF!</definedName>
    <definedName name="size">#REF!</definedName>
    <definedName name="SLAB">#N/A</definedName>
    <definedName name="SMAT">#N/A</definedName>
    <definedName name="SMHR">#N/A</definedName>
    <definedName name="SMPRINT" localSheetId="8">#REF!</definedName>
    <definedName name="SMPRINT" localSheetId="2">#REF!</definedName>
    <definedName name="SMPRINT" localSheetId="1">#REF!</definedName>
    <definedName name="SMPRINT">#REF!</definedName>
    <definedName name="SOC" hidden="1">{#N/A,#N/A,FALSE,"변경관리예산";#N/A,#N/A,FALSE,"변경장비예산";#N/A,#N/A,FALSE,"변경준설예산";#N/A,#N/A,FALSE,"변경철구예산"}</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ftware_Margin" localSheetId="8">#REF!</definedName>
    <definedName name="Software_Margin" localSheetId="2">#REF!</definedName>
    <definedName name="Software_Margin" localSheetId="1">#REF!</definedName>
    <definedName name="Software_Margin">#REF!</definedName>
    <definedName name="Software_Total" localSheetId="8">#REF!</definedName>
    <definedName name="Software_Total" localSheetId="2">#REF!</definedName>
    <definedName name="Software_Total" localSheetId="1">#REF!</definedName>
    <definedName name="Software_Total">#REF!</definedName>
    <definedName name="solver_lin">0</definedName>
    <definedName name="solver_num">0</definedName>
    <definedName name="solver_typ">3</definedName>
    <definedName name="solver_val">1</definedName>
    <definedName name="source" localSheetId="8">#REF!</definedName>
    <definedName name="source" localSheetId="2">#REF!</definedName>
    <definedName name="source" localSheetId="1">#REF!</definedName>
    <definedName name="source">#REF!</definedName>
    <definedName name="SPECI">#N/A</definedName>
    <definedName name="SR_Total" localSheetId="8">#REF!</definedName>
    <definedName name="SR_Total" localSheetId="2">#REF!</definedName>
    <definedName name="SR_Total" localSheetId="1">#REF!</definedName>
    <definedName name="SR_Total">#REF!</definedName>
    <definedName name="SRP" localSheetId="8">#REF!</definedName>
    <definedName name="SRP" localSheetId="2">#REF!</definedName>
    <definedName name="SRP" localSheetId="1">#REF!</definedName>
    <definedName name="SRP">#REF!</definedName>
    <definedName name="START">#N/A</definedName>
    <definedName name="SubDic" localSheetId="8">#REF!</definedName>
    <definedName name="SubDic" localSheetId="2">#REF!</definedName>
    <definedName name="SubDic" localSheetId="1">#REF!</definedName>
    <definedName name="SubDic">#REF!</definedName>
    <definedName name="Subtotal" localSheetId="8">#REF!</definedName>
    <definedName name="Subtotal" localSheetId="2">#REF!</definedName>
    <definedName name="Subtotal" localSheetId="1">#REF!</definedName>
    <definedName name="Subtotal">#REF!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ng">#N/A</definedName>
    <definedName name="SUYO">#N/A</definedName>
    <definedName name="SVC" localSheetId="8">#REF!</definedName>
    <definedName name="SVC" localSheetId="2">#REF!</definedName>
    <definedName name="SVC" localSheetId="1">#REF!</definedName>
    <definedName name="SVC">#REF!</definedName>
    <definedName name="SVREXT" localSheetId="8">#REF!</definedName>
    <definedName name="SVREXT" localSheetId="2">#REF!</definedName>
    <definedName name="SVREXT" localSheetId="1">#REF!</definedName>
    <definedName name="SVREXT">#REF!</definedName>
    <definedName name="SVRINSTEXT" localSheetId="8">#REF!</definedName>
    <definedName name="SVRINSTEXT" localSheetId="2">#REF!</definedName>
    <definedName name="SVRINSTEXT" localSheetId="1">#REF!</definedName>
    <definedName name="SVRINSTEXT">#REF!</definedName>
    <definedName name="SVRMARG" localSheetId="8">#REF!</definedName>
    <definedName name="SVRMARG" localSheetId="2">#REF!</definedName>
    <definedName name="SVRMARG" localSheetId="1">#REF!</definedName>
    <definedName name="SVRMARG">#REF!</definedName>
    <definedName name="SVRWARREXT" localSheetId="8">#REF!</definedName>
    <definedName name="SVRWARREXT" localSheetId="2">#REF!</definedName>
    <definedName name="SVRWARREXT" localSheetId="1">#REF!</definedName>
    <definedName name="SVRWARREXT">#REF!</definedName>
    <definedName name="SWEXT" localSheetId="8">#REF!</definedName>
    <definedName name="SWEXT" localSheetId="2">#REF!</definedName>
    <definedName name="SWEXT" localSheetId="1">#REF!</definedName>
    <definedName name="SWEXT">#REF!</definedName>
    <definedName name="SWMARG" localSheetId="8">#REF!</definedName>
    <definedName name="SWMARG" localSheetId="2">#REF!</definedName>
    <definedName name="SWMARG" localSheetId="1">#REF!</definedName>
    <definedName name="SWMARG">#REF!</definedName>
    <definedName name="System_Total" localSheetId="8">#REF!</definedName>
    <definedName name="System_Total" localSheetId="2">#REF!</definedName>
    <definedName name="System_Total" localSheetId="1">#REF!</definedName>
    <definedName name="System_Total">#REF!</definedName>
    <definedName name="System_Total_WI" localSheetId="8">#REF!</definedName>
    <definedName name="System_Total_WI" localSheetId="2">#REF!</definedName>
    <definedName name="System_Total_WI" localSheetId="1">#REF!</definedName>
    <definedName name="System_Total_WI">#REF!</definedName>
    <definedName name="t" hidden="1">{#N/A,#N/A,FALSE,"손익표지";#N/A,#N/A,FALSE,"손익계산";#N/A,#N/A,FALSE,"일반관리비";#N/A,#N/A,FALSE,"영업외수익";#N/A,#N/A,FALSE,"영업외비용";#N/A,#N/A,FALSE,"매출액";#N/A,#N/A,FALSE,"요약손익";#N/A,#N/A,FALSE,"요약대차";#N/A,#N/A,FALSE,"매출채권현황";#N/A,#N/A,FALSE,"매출채권명세"}</definedName>
    <definedName name="T_0" localSheetId="8">#REF!</definedName>
    <definedName name="T_0" localSheetId="2">#REF!</definedName>
    <definedName name="T_0" localSheetId="1">#REF!</definedName>
    <definedName name="T_0">#REF!</definedName>
    <definedName name="T_1" localSheetId="8">#REF!</definedName>
    <definedName name="T_1" localSheetId="2">#REF!</definedName>
    <definedName name="T_1" localSheetId="1">#REF!</definedName>
    <definedName name="T_1">#REF!</definedName>
    <definedName name="T_2">#N/A</definedName>
    <definedName name="T_3">#N/A</definedName>
    <definedName name="T_4">#N/A</definedName>
    <definedName name="T2_">#N/A</definedName>
    <definedName name="Table" localSheetId="8">#REF!</definedName>
    <definedName name="Table" localSheetId="2">#REF!</definedName>
    <definedName name="Table" localSheetId="1">#REF!</definedName>
    <definedName name="Table">#REF!</definedName>
    <definedName name="Table1" localSheetId="8">#REF!</definedName>
    <definedName name="Table1" localSheetId="2">#REF!</definedName>
    <definedName name="Table1" localSheetId="1">#REF!</definedName>
    <definedName name="Table1">#REF!</definedName>
    <definedName name="Tax" localSheetId="8">#REF!</definedName>
    <definedName name="Tax" localSheetId="2">#REF!</definedName>
    <definedName name="Tax" localSheetId="1">#REF!</definedName>
    <definedName name="Tax">#REF!</definedName>
    <definedName name="TB_NAME" localSheetId="8">#REF!</definedName>
    <definedName name="TB_NAME" localSheetId="2">#REF!</definedName>
    <definedName name="TB_NAME" localSheetId="1">#REF!</definedName>
    <definedName name="TB_NAME">#REF!</definedName>
    <definedName name="tel" localSheetId="8">#REF!</definedName>
    <definedName name="tel" localSheetId="2">#REF!</definedName>
    <definedName name="tel" localSheetId="1">#REF!</definedName>
    <definedName name="tel">#REF!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1" localSheetId="8">#REF!</definedName>
    <definedName name="TextRefCopy1" localSheetId="2">#REF!</definedName>
    <definedName name="TextRefCopy1" localSheetId="1">#REF!</definedName>
    <definedName name="TextRefCopy1">#REF!</definedName>
    <definedName name="TextRefCopy10" localSheetId="8">#REF!</definedName>
    <definedName name="TextRefCopy10" localSheetId="2">#REF!</definedName>
    <definedName name="TextRefCopy10" localSheetId="1">#REF!</definedName>
    <definedName name="TextRefCopy10">#REF!</definedName>
    <definedName name="TextRefCopy11" localSheetId="8">#REF!</definedName>
    <definedName name="TextRefCopy11" localSheetId="2">#REF!</definedName>
    <definedName name="TextRefCopy11" localSheetId="1">#REF!</definedName>
    <definedName name="TextRefCopy11">#REF!</definedName>
    <definedName name="TextRefCopy12" localSheetId="8">#REF!</definedName>
    <definedName name="TextRefCopy12" localSheetId="2">#REF!</definedName>
    <definedName name="TextRefCopy12" localSheetId="1">#REF!</definedName>
    <definedName name="TextRefCopy12">#REF!</definedName>
    <definedName name="TextRefCopy13" localSheetId="8">#REF!</definedName>
    <definedName name="TextRefCopy13" localSheetId="2">#REF!</definedName>
    <definedName name="TextRefCopy13" localSheetId="1">#REF!</definedName>
    <definedName name="TextRefCopy13">#REF!</definedName>
    <definedName name="TextRefCopy14" localSheetId="8">#REF!</definedName>
    <definedName name="TextRefCopy14" localSheetId="2">#REF!</definedName>
    <definedName name="TextRefCopy14" localSheetId="1">#REF!</definedName>
    <definedName name="TextRefCopy14">#REF!</definedName>
    <definedName name="TextRefCopy15" localSheetId="8">#REF!</definedName>
    <definedName name="TextRefCopy15" localSheetId="2">#REF!</definedName>
    <definedName name="TextRefCopy15" localSheetId="1">#REF!</definedName>
    <definedName name="TextRefCopy15">#REF!</definedName>
    <definedName name="TextRefCopy16" localSheetId="8">#REF!</definedName>
    <definedName name="TextRefCopy16" localSheetId="2">#REF!</definedName>
    <definedName name="TextRefCopy16" localSheetId="1">#REF!</definedName>
    <definedName name="TextRefCopy16">#REF!</definedName>
    <definedName name="TextRefCopy17" localSheetId="8">#REF!</definedName>
    <definedName name="TextRefCopy17" localSheetId="2">#REF!</definedName>
    <definedName name="TextRefCopy17" localSheetId="1">#REF!</definedName>
    <definedName name="TextRefCopy17">#REF!</definedName>
    <definedName name="TextRefCopy2" localSheetId="8">#REF!</definedName>
    <definedName name="TextRefCopy2" localSheetId="2">#REF!</definedName>
    <definedName name="TextRefCopy2" localSheetId="1">#REF!</definedName>
    <definedName name="TextRefCopy2">#REF!</definedName>
    <definedName name="TextRefCopy3" localSheetId="8">#REF!</definedName>
    <definedName name="TextRefCopy3" localSheetId="2">#REF!</definedName>
    <definedName name="TextRefCopy3" localSheetId="1">#REF!</definedName>
    <definedName name="TextRefCopy3">#REF!</definedName>
    <definedName name="TextRefCopy4" localSheetId="8">#REF!</definedName>
    <definedName name="TextRefCopy4" localSheetId="2">#REF!</definedName>
    <definedName name="TextRefCopy4" localSheetId="1">#REF!</definedName>
    <definedName name="TextRefCopy4">#REF!</definedName>
    <definedName name="TextRefCopy5" localSheetId="8">#REF!</definedName>
    <definedName name="TextRefCopy5" localSheetId="2">#REF!</definedName>
    <definedName name="TextRefCopy5" localSheetId="1">#REF!</definedName>
    <definedName name="TextRefCopy5">#REF!</definedName>
    <definedName name="TextRefCopy6" localSheetId="8">#REF!</definedName>
    <definedName name="TextRefCopy6" localSheetId="2">#REF!</definedName>
    <definedName name="TextRefCopy6" localSheetId="1">#REF!</definedName>
    <definedName name="TextRefCopy6">#REF!</definedName>
    <definedName name="TextRefCopy7" localSheetId="8">#REF!</definedName>
    <definedName name="TextRefCopy7" localSheetId="2">#REF!</definedName>
    <definedName name="TextRefCopy7" localSheetId="1">#REF!</definedName>
    <definedName name="TextRefCopy7">#REF!</definedName>
    <definedName name="TextRefCopy8" localSheetId="8">#REF!</definedName>
    <definedName name="TextRefCopy8" localSheetId="2">#REF!</definedName>
    <definedName name="TextRefCopy8" localSheetId="1">#REF!</definedName>
    <definedName name="TextRefCopy8">#REF!</definedName>
    <definedName name="TextRefCopy9" localSheetId="8">#REF!</definedName>
    <definedName name="TextRefCopy9" localSheetId="2">#REF!</definedName>
    <definedName name="TextRefCopy9" localSheetId="1">#REF!</definedName>
    <definedName name="TextRefCopy9">#REF!</definedName>
    <definedName name="TextRefCopyRangeCount">17</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itle" localSheetId="8">#REF!</definedName>
    <definedName name="title" localSheetId="2">#REF!</definedName>
    <definedName name="title" localSheetId="1">#REF!</definedName>
    <definedName name="title">#REF!</definedName>
    <definedName name="TodaysDate" localSheetId="8">#REF!</definedName>
    <definedName name="TodaysDate" localSheetId="2">#REF!</definedName>
    <definedName name="TodaysDate" localSheetId="1">#REF!</definedName>
    <definedName name="TodaysDate">#REF!</definedName>
    <definedName name="TOO">#N/A</definedName>
    <definedName name="TOPO" localSheetId="8" hidden="1">#REF!</definedName>
    <definedName name="TOPO" localSheetId="2" hidden="1">#REF!</definedName>
    <definedName name="TOPO" localSheetId="1" hidden="1">#REF!</definedName>
    <definedName name="TOPO" hidden="1">#REF!</definedName>
    <definedName name="Total" localSheetId="8">#REF!</definedName>
    <definedName name="Total" localSheetId="2">#REF!</definedName>
    <definedName name="Total" localSheetId="1">#REF!</definedName>
    <definedName name="Total">#REF!</definedName>
    <definedName name="tr"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ns" localSheetId="8">#REF!</definedName>
    <definedName name="Trns" localSheetId="2">#REF!</definedName>
    <definedName name="Trns" localSheetId="1">#REF!</definedName>
    <definedName name="Trns">#REF!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t" hidden="1">{#N/A,#N/A,FALSE,"손익표지";#N/A,#N/A,FALSE,"손익계산";#N/A,#N/A,FALSE,"일반관리비";#N/A,#N/A,FALSE,"영업외수익";#N/A,#N/A,FALSE,"영업외비용";#N/A,#N/A,FALSE,"매출액";#N/A,#N/A,FALSE,"요약손익";#N/A,#N/A,FALSE,"요약대차";#N/A,#N/A,FALSE,"매출채권현황";#N/A,#N/A,FALSE,"매출채권명세"}</definedName>
    <definedName name="ttttt" hidden="1">{#N/A,#N/A,FALSE,"지침";#N/A,#N/A,FALSE,"환경분석";#N/A,#N/A,FALSE,"Sheet16"}</definedName>
    <definedName name="tum" localSheetId="8">#REF!</definedName>
    <definedName name="tum" localSheetId="2">#REF!</definedName>
    <definedName name="tum" localSheetId="1">#REF!</definedName>
    <definedName name="tum">#REF!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pe" localSheetId="8">#REF!</definedName>
    <definedName name="type" localSheetId="2">#REF!</definedName>
    <definedName name="type" localSheetId="1">#REF!</definedName>
    <definedName name="type">#REF!</definedName>
    <definedName name="typepart" localSheetId="8">#REF!</definedName>
    <definedName name="typepart" localSheetId="2">#REF!</definedName>
    <definedName name="typepart" localSheetId="1">#REF!</definedName>
    <definedName name="typepart">#REF!</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 hidden="1">{#N/A,#N/A,FALSE,"손익표지";#N/A,#N/A,FALSE,"손익계산";#N/A,#N/A,FALSE,"일반관리비";#N/A,#N/A,FALSE,"영업외수익";#N/A,#N/A,FALSE,"영업외비용";#N/A,#N/A,FALSE,"매출액";#N/A,#N/A,FALSE,"요약손익";#N/A,#N/A,FALSE,"요약대차";#N/A,#N/A,FALSE,"매출채권현황";#N/A,#N/A,FALSE,"매출채권명세"}</definedName>
    <definedName name="ue____I¨￡">#N/A</definedName>
    <definedName name="ue____Iª">#N/A</definedName>
    <definedName name="ùê____Íª">#N/A</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AA_VERSION" hidden="1">"150.1.7"</definedName>
    <definedName name="UNI_FILT_END" hidden="1">8</definedName>
    <definedName name="UNI_FILT_OFFSPEC">2</definedName>
    <definedName name="UNI_FILT_ONSPEC">1</definedName>
    <definedName name="UNI_FILT_START" hidden="1">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 hidden="1">16384</definedName>
    <definedName name="UNI_RET_EQUIP">1</definedName>
    <definedName name="UNI_RET_EVENT" hidden="1">4096</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START" hidden="1">8192</definedName>
    <definedName name="UNI_RET_TAG">1</definedName>
    <definedName name="UNI_RET_TESTTIME">128</definedName>
    <definedName name="UNI_RET_TIME">8</definedName>
    <definedName name="UNI_RET_UNIT">2</definedName>
    <definedName name="UNI_RET_VALUE">16</definedName>
    <definedName name="UNIT">#N/A</definedName>
    <definedName name="up" hidden="1">{#N/A,#N/A,FALSE,"지침";#N/A,#N/A,FALSE,"환경분석";#N/A,#N/A,FALSE,"Sheet16"}</definedName>
    <definedName name="UPG_PN" localSheetId="8">#REF!</definedName>
    <definedName name="UPG_PN" localSheetId="2">#REF!</definedName>
    <definedName name="UPG_PN" localSheetId="1">#REF!</definedName>
    <definedName name="UPG_PN">#REF!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V" localSheetId="8">#REF!</definedName>
    <definedName name="V" localSheetId="2">#REF!</definedName>
    <definedName name="V" localSheetId="1">#REF!</definedName>
    <definedName name="V">#REF!</definedName>
    <definedName name="V7Oracle" localSheetId="8">#REF!</definedName>
    <definedName name="V7Oracle" localSheetId="2">#REF!</definedName>
    <definedName name="V7Oracle" localSheetId="1">#REF!</definedName>
    <definedName name="V7Oracle">#REF!</definedName>
    <definedName name="V7Xbase" localSheetId="8">#REF!</definedName>
    <definedName name="V7Xbase" localSheetId="2">#REF!</definedName>
    <definedName name="V7Xbase" localSheetId="1">#REF!</definedName>
    <definedName name="V7Xbase">#REF!</definedName>
    <definedName name="VAL" localSheetId="8" hidden="1">#REF!</definedName>
    <definedName name="VAL" localSheetId="2" hidden="1">#REF!</definedName>
    <definedName name="VAL" localSheetId="1" hidden="1">#REF!</definedName>
    <definedName name="VAL" hidden="1">#REF!</definedName>
    <definedName name="vd" hidden="1">{#N/A,#N/A,FALSE,"이태원철근"}</definedName>
    <definedName name="vduc" localSheetId="8">#REF!</definedName>
    <definedName name="vduc" localSheetId="2">#REF!</definedName>
    <definedName name="vduc" localSheetId="1">#REF!</definedName>
    <definedName name="vduc">#REF!</definedName>
    <definedName name="vdukb" localSheetId="8">#REF!</definedName>
    <definedName name="vdukb" localSheetId="2">#REF!</definedName>
    <definedName name="vdukb" localSheetId="1">#REF!</definedName>
    <definedName name="vdukb">#REF!</definedName>
    <definedName name="vdum" localSheetId="8">#REF!</definedName>
    <definedName name="vdum" localSheetId="2">#REF!</definedName>
    <definedName name="vdum" localSheetId="1">#REF!</definedName>
    <definedName name="vdum">#REF!</definedName>
    <definedName name="vdumb" localSheetId="8">#REF!</definedName>
    <definedName name="vdumb" localSheetId="2">#REF!</definedName>
    <definedName name="vdumb" localSheetId="1">#REF!</definedName>
    <definedName name="vdumb">#REF!</definedName>
    <definedName name="VISNET" localSheetId="8">#REF!</definedName>
    <definedName name="VISNET" localSheetId="2">#REF!</definedName>
    <definedName name="VISNET" localSheetId="1">#REF!</definedName>
    <definedName name="VISNET">#REF!</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AAAW3" hidden="1">{#N/A,#N/A,FALSE,"손익표지";#N/A,#N/A,FALSE,"손익계산";#N/A,#N/A,FALSE,"일반관리비";#N/A,#N/A,FALSE,"영업외수익";#N/A,#N/A,FALSE,"영업외비용";#N/A,#N/A,FALSE,"매출액";#N/A,#N/A,FALSE,"요약손익";#N/A,#N/A,FALSE,"요약대차";#N/A,#N/A,FALSE,"매출채권현황";#N/A,#N/A,FALSE,"매출채권명세"}</definedName>
    <definedName name="Warranty" localSheetId="8">#REF!</definedName>
    <definedName name="Warranty" localSheetId="2">#REF!</definedName>
    <definedName name="Warranty" localSheetId="1">#REF!</definedName>
    <definedName name="Warranty">#REF!</definedName>
    <definedName name="Warranty_Extended" localSheetId="8">#REF!</definedName>
    <definedName name="Warranty_Extended" localSheetId="2">#REF!</definedName>
    <definedName name="Warranty_Extended" localSheetId="1">#REF!</definedName>
    <definedName name="Warranty_Extended">#REF!</definedName>
    <definedName name="Warranty_Extended_Total" localSheetId="8">#REF!</definedName>
    <definedName name="Warranty_Extended_Total" localSheetId="2">#REF!</definedName>
    <definedName name="Warranty_Extended_Total" localSheetId="1">#REF!</definedName>
    <definedName name="Warranty_Extended_Total">#REF!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#N/A</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hat" localSheetId="8">#REF!</definedName>
    <definedName name="what" localSheetId="2">#REF!</definedName>
    <definedName name="what" localSheetId="1">#REF!</definedName>
    <definedName name="what">#REF!</definedName>
    <definedName name="WISP" localSheetId="8">#REF!</definedName>
    <definedName name="WISP" localSheetId="2">#REF!</definedName>
    <definedName name="WISP" localSheetId="1">#REF!</definedName>
    <definedName name="WISP">#REF!</definedName>
    <definedName name="WISP_Total" localSheetId="8">#REF!</definedName>
    <definedName name="WISP_Total" localSheetId="2">#REF!</definedName>
    <definedName name="WISP_Total" localSheetId="1">#REF!</definedName>
    <definedName name="WISP_Total">#REF!</definedName>
    <definedName name="wm.조골재1" hidden="1">{#N/A,#N/A,FALSE,"조골재"}</definedName>
    <definedName name="Workstation_Units" localSheetId="8">#REF!</definedName>
    <definedName name="Workstation_Units" localSheetId="2">#REF!</definedName>
    <definedName name="Workstation_Units" localSheetId="1">#REF!</definedName>
    <definedName name="Workstation_Units">#REF!</definedName>
    <definedName name="WRITE" hidden="1">{#N/A,#N/A,FALSE,"CCTV"}</definedName>
    <definedName name="WRN" hidden="1">{#N/A,#N/A,FALSE,"손익표지";#N/A,#N/A,FALSE,"손익계산";#N/A,#N/A,FALSE,"일반관리비";#N/A,#N/A,FALSE,"영업외수익";#N/A,#N/A,FALSE,"영업외비용";#N/A,#N/A,FALSE,"매출액";#N/A,#N/A,FALSE,"요약손익";#N/A,#N/A,FALSE,"요약대차";#N/A,#N/A,FALSE,"매출채권현황";#N/A,#N/A,FALSE,"매출채권명세"}</definedName>
    <definedName name="wrn.2번." hidden="1">{#N/A,#N/A,FALSE,"2~8번"}</definedName>
    <definedName name="wrn.97." hidden="1">{#N/A,#N/A,FALSE,"지침";#N/A,#N/A,FALSE,"환경분석";#N/A,#N/A,FALSE,"Sheet16"}</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FORM." hidden="1">{#N/A,#N/A,FALSE,"FORM A";#N/A,#N/A,FALSE,"FORM D";#N/A,#N/A,FALSE,"FORM E-1";#N/A,#N/A,FALSE,"FORM E-2";#N/A,#N/A,FALSE,"FORM F";#N/A,#N/A,FALSE,"FORM G";#N/A,#N/A,FALSE,"FORM H-1";#N/A,#N/A,FALSE,"FORM H-2";#N/A,#N/A,FALSE,"FORM H-3";#N/A,#N/A,FALSE,"FORM H-4";#N/A,#N/A,FALSE,"FORM H-5";#N/A,#N/A,FALSE,"FORM I";#N/A,#N/A,FALSE,"FORM J"}</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성수기월요개장." hidden="1">{#N/A,"성수기월요개장(평일이용율5%개선)",FALSE,"내장계획";#N/A,#N/A,FALSE,"매출총괄";#N/A,#N/A,FALSE,"월별손익"}</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예상손익." hidden="1">{#N/A,#N/A,FALSE,"예상손익";#N/A,#N/A,FALSE,"관리분석";#N/A,#N/A,FALSE,"장비분석";#N/A,#N/A,FALSE,"준설분석";#N/A,#N/A,FALSE,"철구분석"}</definedName>
    <definedName name="wrn.운반시간." hidden="1">{#N/A,#N/A,FALSE,"운반시간"}</definedName>
    <definedName name="wrn.이정표." hidden="1">{#N/A,#N/A,FALSE,"이정표"}</definedName>
    <definedName name="wrn.이태원._.철근." hidden="1">{#N/A,#N/A,FALSE,"이태원철근"}</definedName>
    <definedName name="wrn.자재코드집." hidden="1">{#N/A,#N/A,FALSE,"Sheet1"}</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평상기적용." hidden="1">{#N/A,"평상기적용",FALSE,"입장료";#N/A,#N/A,FALSE,"매출총괄";#N/A,#N/A,FALSE,"월별손익"}</definedName>
    <definedName name="wrn.평상기폐지." hidden="1">{#N/A,"평상기폐지",FALSE,"입장료";#N/A,#N/A,FALSE,"매출총괄";#N/A,#N/A,FALSE,"월별손익"}</definedName>
    <definedName name="wrn.평상기폐지월요개장." hidden="1">{#N/A,"성수기월요개장(평일이용율5%개선)",FALSE,"내장계획";#N/A,"평상기폐지",FALSE,"입장료";#N/A,#N/A,FALSE,"매출총괄";#N/A,#N/A,FALSE,"월별손익"}</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R" hidden="1">{#VALUE!,#N/A,FALSE,0;#N/A,#N/A,FALSE,0;#N/A,#N/A,FALSE,0;#N/A,#N/A,FALSE,0}</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X___CTO_base" localSheetId="8">#REF!</definedName>
    <definedName name="X___CTO_base" localSheetId="2">#REF!</definedName>
    <definedName name="X___CTO_base" localSheetId="1">#REF!</definedName>
    <definedName name="X___CTO_base">#REF!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g" localSheetId="8">#REF!</definedName>
    <definedName name="Xg" localSheetId="2">#REF!</definedName>
    <definedName name="Xg" localSheetId="1">#REF!</definedName>
    <definedName name="Xg">#REF!</definedName>
    <definedName name="xlkb27" localSheetId="8">#REF!</definedName>
    <definedName name="xlkb27" localSheetId="2">#REF!</definedName>
    <definedName name="xlkb27" localSheetId="1">#REF!</definedName>
    <definedName name="xlkb27">#REF!</definedName>
    <definedName name="xlts27" localSheetId="8">#REF!</definedName>
    <definedName name="xlts27" localSheetId="2">#REF!</definedName>
    <definedName name="xlts27" localSheetId="1">#REF!</definedName>
    <definedName name="xlts27">#REF!</definedName>
    <definedName name="xref" localSheetId="8">#REF!</definedName>
    <definedName name="xref" localSheetId="2">#REF!</definedName>
    <definedName name="xref" localSheetId="1">#REF!</definedName>
    <definedName name="xref">#REF!</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X" hidden="1">{#N/A,#N/A,FALSE,"손익표지";#N/A,#N/A,FALSE,"손익계산";#N/A,#N/A,FALSE,"일반관리비";#N/A,#N/A,FALSE,"영업외수익";#N/A,#N/A,FALSE,"영업외비용";#N/A,#N/A,FALSE,"매출액";#N/A,#N/A,FALSE,"요약손익";#N/A,#N/A,FALSE,"요약대차";#N/A,#N/A,FALSE,"매출채권현황";#N/A,#N/A,FALSE,"매출채권명세"}</definedName>
    <definedName name="xxxxxxxxx" localSheetId="8">#REF!</definedName>
    <definedName name="xxxxxxxxx" localSheetId="2">#REF!</definedName>
    <definedName name="xxxxxxxxx" localSheetId="1">#REF!</definedName>
    <definedName name="xxxxxxxxx">#REF!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E">#N/A</definedName>
    <definedName name="YEKA">#N/A</definedName>
    <definedName name="YN">#N/A</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 localSheetId="8">#REF!</definedName>
    <definedName name="yy" localSheetId="2">#REF!</definedName>
    <definedName name="yy" localSheetId="1">#REF!</definedName>
    <definedName name="yy">#REF!</definedName>
    <definedName name="yyy" hidden="1">{#N/A,#N/A,FALSE,"지침";#N/A,#N/A,FALSE,"환경분석";#N/A,#N/A,FALSE,"Sheet16"}</definedName>
    <definedName name="z" hidden="1">{#N/A,#N/A,FALSE,"손익표지";#N/A,#N/A,FALSE,"손익계산";#N/A,#N/A,FALSE,"일반관리비";#N/A,#N/A,FALSE,"영업외수익";#N/A,#N/A,FALSE,"영업외비용";#N/A,#N/A,FALSE,"매출액";#N/A,#N/A,FALSE,"요약손익";#N/A,#N/A,FALSE,"요약대차";#N/A,#N/A,FALSE,"매출채권현황";#N/A,#N/A,FALSE,"매출채권명세"}</definedName>
    <definedName name="Z___Model_List__BTO_only_" localSheetId="8">#REF!</definedName>
    <definedName name="Z___Model_List__BTO_only_" localSheetId="2">#REF!</definedName>
    <definedName name="Z___Model_List__BTO_only_" localSheetId="1">#REF!</definedName>
    <definedName name="Z___Model_List__BTO_only_">#REF!</definedName>
    <definedName name="Z_L_I_T_E_N">#N/A</definedName>
    <definedName name="zz" localSheetId="8">#REF!</definedName>
    <definedName name="zz" localSheetId="2">#REF!</definedName>
    <definedName name="zz" localSheetId="1">#REF!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ㄱ"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ㄿ" hidden="1">{#N/A,#N/A,FALSE,"Sheet1"}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가" hidden="1">{#N/A,#N/A,FALSE,"손익표지";#N/A,#N/A,FALSE,"손익계산";#N/A,#N/A,FALSE,"일반관리비";#N/A,#N/A,FALSE,"영업외수익";#N/A,#N/A,FALSE,"영업외비용";#N/A,#N/A,FALSE,"매출액";#N/A,#N/A,FALSE,"요약손익";#N/A,#N/A,FALSE,"요약대차";#N/A,#N/A,FALSE,"매출채권현황";#N/A,#N/A,FALSE,"매출채권명세"}</definedName>
    <definedName name="가족" localSheetId="8">#REF!</definedName>
    <definedName name="가족" localSheetId="2">#REF!</definedName>
    <definedName name="가족" localSheetId="1">#REF!</definedName>
    <definedName name="가족">#REF!</definedName>
    <definedName name="가족1" localSheetId="8">#REF!</definedName>
    <definedName name="가족1" localSheetId="2">#REF!</definedName>
    <definedName name="가족1" localSheetId="1">#REF!</definedName>
    <definedName name="가족1">#REF!</definedName>
    <definedName name="각축주눈금선" localSheetId="8">#REF!</definedName>
    <definedName name="각축주눈금선" localSheetId="2">#REF!</definedName>
    <definedName name="각축주눈금선" localSheetId="1">#REF!</definedName>
    <definedName name="각축주눈금선">#REF!</definedName>
    <definedName name="감가상각비" localSheetId="8">#REF!</definedName>
    <definedName name="감가상각비" localSheetId="2">#REF!</definedName>
    <definedName name="감가상각비" localSheetId="1">#REF!</definedName>
    <definedName name="감가상각비">#REF!</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강1" localSheetId="8">#REF!</definedName>
    <definedName name="강1" localSheetId="2">#REF!</definedName>
    <definedName name="강1" localSheetId="1">#REF!</definedName>
    <definedName name="강1">#REF!</definedName>
    <definedName name="강2" localSheetId="8">#REF!</definedName>
    <definedName name="강2" localSheetId="2">#REF!</definedName>
    <definedName name="강2" localSheetId="1">#REF!</definedName>
    <definedName name="강2">#REF!</definedName>
    <definedName name="강3" localSheetId="8">#REF!</definedName>
    <definedName name="강3" localSheetId="2">#REF!</definedName>
    <definedName name="강3" localSheetId="1">#REF!</definedName>
    <definedName name="강3">#REF!</definedName>
    <definedName name="강권희" localSheetId="8">#REF!</definedName>
    <definedName name="강권희" localSheetId="2">#REF!</definedName>
    <definedName name="강권희" localSheetId="1">#REF!</definedName>
    <definedName name="강권희">#REF!</definedName>
    <definedName name="강재호" hidden="1">{#N/A,#N/A,FALSE,"변경관리예산";#N/A,#N/A,FALSE,"변경장비예산";#N/A,#N/A,FALSE,"변경준설예산";#N/A,#N/A,FALSE,"변경철구예산"}</definedName>
    <definedName name="강주안" localSheetId="8">#REF!</definedName>
    <definedName name="강주안" localSheetId="2">#REF!</definedName>
    <definedName name="강주안" localSheetId="1">#REF!</definedName>
    <definedName name="강주안">#REF!</definedName>
    <definedName name="강태신" localSheetId="8">#REF!</definedName>
    <definedName name="강태신" localSheetId="2">#REF!</definedName>
    <definedName name="강태신" localSheetId="1">#REF!</definedName>
    <definedName name="강태신">#REF!</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팀" localSheetId="8">#REF!</definedName>
    <definedName name="개발팀" localSheetId="2">#REF!</definedName>
    <definedName name="개발팀" localSheetId="1">#REF!</definedName>
    <definedName name="개발팀">#REF!</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인"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객단가" localSheetId="8">#REF!</definedName>
    <definedName name="객단가" localSheetId="2">#REF!</definedName>
    <definedName name="객단가" localSheetId="1">#REF!</definedName>
    <definedName name="객단가">#REF!</definedName>
    <definedName name="객단가실적" localSheetId="8">#REF!</definedName>
    <definedName name="객단가실적" localSheetId="2">#REF!</definedName>
    <definedName name="객단가실적" localSheetId="1">#REF!</definedName>
    <definedName name="객단가실적">#REF!</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건">#N/A</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localSheetId="8">#REF!</definedName>
    <definedName name="건물" localSheetId="2">#REF!</definedName>
    <definedName name="건물" localSheetId="1">#REF!</definedName>
    <definedName name="건물">#REF!</definedName>
    <definedName name="건물부속설비" localSheetId="8">#REF!</definedName>
    <definedName name="건물부속설비" localSheetId="2">#REF!</definedName>
    <definedName name="건물부속설비" localSheetId="1">#REF!</definedName>
    <definedName name="건물부속설비">#REF!</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축" localSheetId="8">#REF!</definedName>
    <definedName name="건축" localSheetId="2">#REF!</definedName>
    <definedName name="건축" localSheetId="1">#REF!</definedName>
    <definedName name="건축">#REF!</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경리손익년도별집계표">[0]!경리손익년도별집계표</definedName>
    <definedName name="경비1" localSheetId="8" hidden="1">#REF!</definedName>
    <definedName name="경비1" localSheetId="2" hidden="1">#REF!</definedName>
    <definedName name="경비1" localSheetId="1" hidden="1">#REF!</definedName>
    <definedName name="경비1" hidden="1">#REF!</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상태" localSheetId="8">#REF!</definedName>
    <definedName name="경영상태" localSheetId="2">#REF!</definedName>
    <definedName name="경영상태" localSheetId="1">#REF!</definedName>
    <definedName name="경영상태">#REF!</definedName>
    <definedName name="경영실적_대내외실적2월">{"'7-2지역별'!$A$1:$R$44"}</definedName>
    <definedName name="경영전망">0</definedName>
    <definedName name="계" localSheetId="8">#REF!</definedName>
    <definedName name="계" localSheetId="2">#REF!</definedName>
    <definedName name="계" localSheetId="1">#REF!</definedName>
    <definedName name="계">#REF!</definedName>
    <definedName name="계수" hidden="1">{#N/A,#N/A,FALSE,"지침";#N/A,#N/A,FALSE,"환경분석";#N/A,#N/A,FALSE,"Sheet16"}</definedName>
    <definedName name="계약" localSheetId="8">#REF!</definedName>
    <definedName name="계약" localSheetId="2">#REF!</definedName>
    <definedName name="계약" localSheetId="1">#REF!</definedName>
    <definedName name="계약">#REF!</definedName>
    <definedName name="계획" localSheetId="8">#REF!</definedName>
    <definedName name="계획" localSheetId="2">#REF!</definedName>
    <definedName name="계획" localSheetId="1">#REF!</definedName>
    <definedName name="계획">#REF!</definedName>
    <definedName name="고" hidden="1">{#N/A,#N/A,FALSE,"조골재"}</definedName>
    <definedName name="고사" hidden="1">{#N/A,#N/A,FALSE,"CCTV"}</definedName>
    <definedName name="골프">{#N/A,"평상기폐지",FALSE,"입장료";#N/A,#N/A,FALSE,"매출총괄";#N/A,#N/A,FALSE,"월별손익"}</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와기구" localSheetId="8">#REF!</definedName>
    <definedName name="공구와기구" localSheetId="2">#REF!</definedName>
    <definedName name="공구와기구" localSheetId="1">#REF!</definedName>
    <definedName name="공구와기구">#REF!</definedName>
    <definedName name="공사별" localSheetId="8">#REF!</definedName>
    <definedName name="공사별" localSheetId="2">#REF!</definedName>
    <definedName name="공사별" localSheetId="1">#REF!</definedName>
    <definedName name="공사별">#REF!</definedName>
    <definedName name="공사이행등급" localSheetId="8">#REF!</definedName>
    <definedName name="공사이행등급" localSheetId="2">#REF!</definedName>
    <definedName name="공사이행등급" localSheetId="1">#REF!</definedName>
    <definedName name="공사이행등급">#REF!</definedName>
    <definedName name="공사현장" localSheetId="8">#REF!</definedName>
    <definedName name="공사현장" localSheetId="2">#REF!</definedName>
    <definedName name="공사현장" localSheetId="1">#REF!</definedName>
    <definedName name="공사현장">#REF!</definedName>
    <definedName name="공정" localSheetId="8" hidden="1">#REF!</definedName>
    <definedName name="공정" localSheetId="2" hidden="1">#REF!</definedName>
    <definedName name="공정" localSheetId="1" hidden="1">#REF!</definedName>
    <definedName name="공정" hidden="1">#REF!</definedName>
    <definedName name="공조실급수2" localSheetId="8">#REF!</definedName>
    <definedName name="공조실급수2" localSheetId="2">#REF!</definedName>
    <definedName name="공조실급수2" localSheetId="1">#REF!</definedName>
    <definedName name="공조실급수2">#REF!</definedName>
    <definedName name="공종" localSheetId="8">#REF!</definedName>
    <definedName name="공종" localSheetId="2">#REF!</definedName>
    <definedName name="공종" localSheetId="1">#REF!</definedName>
    <definedName name="공종">#REF!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목" localSheetId="8">#REF!</definedName>
    <definedName name="과목" localSheetId="2">#REF!</definedName>
    <definedName name="과목" localSheetId="1">#REF!</definedName>
    <definedName name="과목">#REF!</definedName>
    <definedName name="과장" localSheetId="8">#REF!</definedName>
    <definedName name="과장" localSheetId="2">#REF!</definedName>
    <definedName name="과장" localSheetId="1">#REF!</definedName>
    <definedName name="과장">#REF!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이곤" localSheetId="8">#REF!</definedName>
    <definedName name="곽이곤" localSheetId="2">#REF!</definedName>
    <definedName name="곽이곤" localSheetId="1">#REF!</definedName>
    <definedName name="곽이곤">#REF!</definedName>
    <definedName name="곽충식" localSheetId="8">#REF!</definedName>
    <definedName name="곽충식" localSheetId="2">#REF!</definedName>
    <definedName name="곽충식" localSheetId="1">#REF!</definedName>
    <definedName name="곽충식">#REF!</definedName>
    <definedName name="관리비작성기준" localSheetId="8" hidden="1">#REF!</definedName>
    <definedName name="관리비작성기준" localSheetId="2" hidden="1">#REF!</definedName>
    <definedName name="관리비작성기준" localSheetId="1" hidden="1">#REF!</definedName>
    <definedName name="관리비작성기준" hidden="1">#REF!</definedName>
    <definedName name="관리비지침" localSheetId="8">#REF!</definedName>
    <definedName name="관리비지침" localSheetId="2">#REF!</definedName>
    <definedName name="관리비지침" localSheetId="1">#REF!</definedName>
    <definedName name="관리비지침">#REF!</definedName>
    <definedName name="광고선전비" localSheetId="8">OFFSET(#REF!,MATCH(#REF!,#REF!,0)-1,10,1,1)</definedName>
    <definedName name="광고선전비" localSheetId="2">OFFSET(#REF!,MATCH(#REF!,#REF!,0)-1,10,1,1)</definedName>
    <definedName name="광고선전비" localSheetId="1">OFFSET(#REF!,MATCH(#REF!,#REF!,0)-1,10,1,1)</definedName>
    <definedName name="광고선전비">OFFSET(#REF!,MATCH(#REF!,#REF!,0)-1,10,1,1)</definedName>
    <definedName name="광주공장" localSheetId="8" hidden="1">#REF!</definedName>
    <definedName name="광주공장" localSheetId="2" hidden="1">#REF!</definedName>
    <definedName name="광주공장" localSheetId="1" hidden="1">#REF!</definedName>
    <definedName name="광주공장" hidden="1">#REF!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훈련계획" localSheetId="8">#REF!</definedName>
    <definedName name="교육훈련계획" localSheetId="2">#REF!</definedName>
    <definedName name="교육훈련계획" localSheetId="1">#REF!</definedName>
    <definedName name="교육훈련계획">#REF!</definedName>
    <definedName name="교육훈련비" localSheetId="8">#REF!</definedName>
    <definedName name="교육훈련비" localSheetId="2">#REF!</definedName>
    <definedName name="교육훈련비" localSheetId="1">#REF!</definedName>
    <definedName name="교육훈련비">#REF!</definedName>
    <definedName name="구" hidden="1">{#N/A,#N/A,FALSE,"손익표지";#N/A,#N/A,FALSE,"손익계산";#N/A,#N/A,FALSE,"일반관리비";#N/A,#N/A,FALSE,"영업외수익";#N/A,#N/A,FALSE,"영업외비용";#N/A,#N/A,FALSE,"매출액";#N/A,#N/A,FALSE,"요약손익";#N/A,#N/A,FALSE,"요약대차";#N/A,#N/A,FALSE,"매출채권현황";#N/A,#N/A,FALSE,"매출채권명세"}</definedName>
    <definedName name="구__분" localSheetId="8">#REF!</definedName>
    <definedName name="구__분" localSheetId="2">#REF!</definedName>
    <definedName name="구__분" localSheetId="1">#REF!</definedName>
    <definedName name="구__분">#REF!</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 hidden="1">{#N/A,#N/A,FALSE,"손익표지";#N/A,#N/A,FALSE,"손익계산";#N/A,#N/A,FALSE,"일반관리비";#N/A,#N/A,FALSE,"영업외수익";#N/A,#N/A,FALSE,"영업외비용";#N/A,#N/A,FALSE,"매출액";#N/A,#N/A,FALSE,"요약손익";#N/A,#N/A,FALSE,"요약대차";#N/A,#N/A,FALSE,"매출채권현황";#N/A,#N/A,FALSE,"매출채권명세"}</definedName>
    <definedName name="구분1" localSheetId="8">BlankMacro1</definedName>
    <definedName name="구분1" localSheetId="2">BlankMacro1</definedName>
    <definedName name="구분1" localSheetId="1">BlankMacro1</definedName>
    <definedName name="구분1">BlankMacro1</definedName>
    <definedName name="구분손익">{"Book1","Bsc실적(2000).XLS"}</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조물공" localSheetId="8">#REF!</definedName>
    <definedName name="구조물공" localSheetId="2">#REF!</definedName>
    <definedName name="구조물공" localSheetId="1">#REF!</definedName>
    <definedName name="구조물공">#REF!</definedName>
    <definedName name="구조물공사" hidden="1">{#N/A,#N/A,TRUE,"토적및재료집계";#N/A,#N/A,TRUE,"토적및재료집계";#N/A,#N/A,TRUE,"단위량"}</definedName>
    <definedName name="구축물" localSheetId="8">#REF!</definedName>
    <definedName name="구축물" localSheetId="2">#REF!</definedName>
    <definedName name="구축물" localSheetId="1">#REF!</definedName>
    <definedName name="구축물">#REF!</definedName>
    <definedName name="국내선">{"'tel2'!$B$29:$J$45","'tel2'!$A$5:$G$19","'tel2'!$B$50:$F$57","'tel2'!$B$105:$G$110","'tel2'!$B$63:$H$85","'tel2'!$B$14:$G$18","'tel2'!$B$29:$C$29"}</definedName>
    <definedName name="국내손익" localSheetId="8">#REF!</definedName>
    <definedName name="국내손익" localSheetId="2">#REF!</definedName>
    <definedName name="국내손익" localSheetId="1">#REF!</definedName>
    <definedName name="국내손익">#REF!</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군포" hidden="1">{#N/A,#N/A,FALSE,"손익표지";#N/A,#N/A,FALSE,"손익계산";#N/A,#N/A,FALSE,"일반관리비";#N/A,#N/A,FALSE,"영업외수익";#N/A,#N/A,FALSE,"영업외비용";#N/A,#N/A,FALSE,"매출액";#N/A,#N/A,FALSE,"요약손익";#N/A,#N/A,FALSE,"요약대차";#N/A,#N/A,FALSE,"매출채권현황";#N/A,#N/A,FALSE,"매출채권명세"}</definedName>
    <definedName name="군포손익"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_______">#N/A</definedName>
    <definedName name="그냥" localSheetId="8">#REF!</definedName>
    <definedName name="그냥" localSheetId="2">#REF!</definedName>
    <definedName name="그냥" localSheetId="1">#REF!</definedName>
    <definedName name="그냥">#REF!</definedName>
    <definedName name="그냥2" localSheetId="8">#REF!</definedName>
    <definedName name="그냥2" localSheetId="2">#REF!</definedName>
    <definedName name="그냥2" localSheetId="1">#REF!</definedName>
    <definedName name="그냥2">#REF!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근속" localSheetId="8">#REF!</definedName>
    <definedName name="근속" localSheetId="2">#REF!</definedName>
    <definedName name="근속" localSheetId="1">#REF!</definedName>
    <definedName name="근속">#REF!</definedName>
    <definedName name="근속기간" localSheetId="8">#REF!</definedName>
    <definedName name="근속기간" localSheetId="2">#REF!</definedName>
    <definedName name="근속기간" localSheetId="1">#REF!</definedName>
    <definedName name="근속기간">#REF!</definedName>
    <definedName name="금" hidden="1">{#N/A,#N/A,FALSE,"손익표지";#N/A,#N/A,FALSE,"손익계산";#N/A,#N/A,FALSE,"일반관리비";#N/A,#N/A,FALSE,"영업외수익";#N/A,#N/A,FALSE,"영업외비용";#N/A,#N/A,FALSE,"매출액";#N/A,#N/A,FALSE,"요약손익";#N/A,#N/A,FALSE,"요약대차";#N/A,#N/A,FALSE,"매출채권현황";#N/A,#N/A,FALSE,"매출채권명세"}</definedName>
    <definedName name="금___액" localSheetId="8">#REF!</definedName>
    <definedName name="금___액" localSheetId="2">#REF!</definedName>
    <definedName name="금___액" localSheetId="1">#REF!</definedName>
    <definedName name="금___액">#REF!</definedName>
    <definedName name="금융비" localSheetId="8">#REF!</definedName>
    <definedName name="금융비" localSheetId="2">#REF!</definedName>
    <definedName name="금융비" localSheetId="1">#REF!</definedName>
    <definedName name="금융비">#REF!</definedName>
    <definedName name="금융실적" localSheetId="8">#REF!</definedName>
    <definedName name="금융실적" localSheetId="2">#REF!</definedName>
    <definedName name="금융실적" localSheetId="1">#REF!</definedName>
    <definedName name="금융실적">#REF!</definedName>
    <definedName name="금호" hidden="1">{#N/A,#N/A,FALSE,"손익표지";#N/A,#N/A,FALSE,"손익계산";#N/A,#N/A,FALSE,"일반관리비";#N/A,#N/A,FALSE,"영업외수익";#N/A,#N/A,FALSE,"영업외비용";#N/A,#N/A,FALSE,"매출액";#N/A,#N/A,FALSE,"요약손익";#N/A,#N/A,FALSE,"요약대차";#N/A,#N/A,FALSE,"매출채권현황";#N/A,#N/A,FALSE,"매출채권명세"}</definedName>
    <definedName name="금호산업" hidden="1">{#N/A,#N/A,FALSE,"손익표지";#N/A,#N/A,FALSE,"손익계산";#N/A,#N/A,FALSE,"일반관리비";#N/A,#N/A,FALSE,"영업외수익";#N/A,#N/A,FALSE,"영업외비용";#N/A,#N/A,FALSE,"매출액";#N/A,#N/A,FALSE,"요약손익";#N/A,#N/A,FALSE,"요약대차";#N/A,#N/A,FALSE,"매출채권현황";#N/A,#N/A,FALSE,"매출채권명세"}</definedName>
    <definedName name="급호" localSheetId="8">#REF!</definedName>
    <definedName name="급호" localSheetId="2">#REF!</definedName>
    <definedName name="급호" localSheetId="1">#REF!</definedName>
    <definedName name="급호">#REF!</definedName>
    <definedName name="급호2" localSheetId="8">#REF!</definedName>
    <definedName name="급호2" localSheetId="2">#REF!</definedName>
    <definedName name="급호2" localSheetId="1">#REF!</definedName>
    <definedName name="급호2">#REF!</definedName>
    <definedName name="기계3" localSheetId="8">BlankMacro1</definedName>
    <definedName name="기계3" localSheetId="2">BlankMacro1</definedName>
    <definedName name="기계3" localSheetId="1">BlankMacro1</definedName>
    <definedName name="기계3">BlankMacro1</definedName>
    <definedName name="기계장치" localSheetId="8">#REF!</definedName>
    <definedName name="기계장치" localSheetId="2">#REF!</definedName>
    <definedName name="기계장치" localSheetId="1">#REF!</definedName>
    <definedName name="기계장치">#REF!</definedName>
    <definedName name="기말환율" localSheetId="8">#REF!</definedName>
    <definedName name="기말환율" localSheetId="2">#REF!</definedName>
    <definedName name="기말환율" localSheetId="1">#REF!</definedName>
    <definedName name="기말환율">#REF!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OT" localSheetId="8">#REF!</definedName>
    <definedName name="기본OT" localSheetId="2">#REF!</definedName>
    <definedName name="기본OT" localSheetId="1">#REF!</definedName>
    <definedName name="기본OT">#REF!</definedName>
    <definedName name="기본OT2" localSheetId="8">#REF!</definedName>
    <definedName name="기본OT2" localSheetId="2">#REF!</definedName>
    <definedName name="기본OT2" localSheetId="1">#REF!</definedName>
    <definedName name="기본OT2">#REF!</definedName>
    <definedName name="기본급" localSheetId="8">#REF!</definedName>
    <definedName name="기본급" localSheetId="2">#REF!</definedName>
    <definedName name="기본급" localSheetId="1">#REF!</definedName>
    <definedName name="기본급">#REF!</definedName>
    <definedName name="기본손료" localSheetId="8">#REF!</definedName>
    <definedName name="기본손료" localSheetId="2">#REF!</definedName>
    <definedName name="기본손료" localSheetId="1">#REF!</definedName>
    <definedName name="기본손료">#REF!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예상">[0]!기성예상</definedName>
    <definedName name="기술사명단" hidden="1">{"'자격급추가지급자'!$A$1:$M$13"}</definedName>
    <definedName name="기술조건" localSheetId="8">#REF!</definedName>
    <definedName name="기술조건" localSheetId="2">#REF!</definedName>
    <definedName name="기술조건" localSheetId="1">#REF!</definedName>
    <definedName name="기술조건">#REF!</definedName>
    <definedName name="기영" localSheetId="8">#REF!</definedName>
    <definedName name="기영" localSheetId="2">#REF!</definedName>
    <definedName name="기영" localSheetId="1">#REF!</definedName>
    <definedName name="기영">#REF!</definedName>
    <definedName name="기옥" localSheetId="8">#REF!</definedName>
    <definedName name="기옥" localSheetId="2">#REF!</definedName>
    <definedName name="기옥" localSheetId="1">#REF!</definedName>
    <definedName name="기옥">#REF!</definedName>
    <definedName name="기종현황2" hidden="1">{#N/A,#N/A,FALSE,"손익표지";#N/A,#N/A,FALSE,"손익계산";#N/A,#N/A,FALSE,"일반관리비";#N/A,#N/A,FALSE,"영업외수익";#N/A,#N/A,FALSE,"영업외비용";#N/A,#N/A,FALSE,"매출액";#N/A,#N/A,FALSE,"요약손익";#N/A,#N/A,FALSE,"요약대차";#N/A,#N/A,FALSE,"매출채권현황";#N/A,#N/A,FALSE,"매출채권명세"}</definedName>
    <definedName name="기준" hidden="1">{#N/A,#N/A,FALSE,"손익표지";#N/A,#N/A,FALSE,"손익계산";#N/A,#N/A,FALSE,"일반관리비";#N/A,#N/A,FALSE,"영업외수익";#N/A,#N/A,FALSE,"영업외비용";#N/A,#N/A,FALSE,"매출액";#N/A,#N/A,FALSE,"요약손익";#N/A,#N/A,FALSE,"요약대차";#N/A,#N/A,FALSE,"매출채권현황";#N/A,#N/A,FALSE,"매출채권명세"}</definedName>
    <definedName name="기준1" hidden="1">{#N/A,#N/A,FALSE,"손익표지";#N/A,#N/A,FALSE,"손익계산";#N/A,#N/A,FALSE,"일반관리비";#N/A,#N/A,FALSE,"영업외수익";#N/A,#N/A,FALSE,"영업외비용";#N/A,#N/A,FALSE,"매출액";#N/A,#N/A,FALSE,"요약손익";#N/A,#N/A,FALSE,"요약대차";#N/A,#N/A,FALSE,"매출채권현황";#N/A,#N/A,FALSE,"매출채권명세"}</definedName>
    <definedName name="기준율" localSheetId="8">#REF!</definedName>
    <definedName name="기준율" localSheetId="2">#REF!</definedName>
    <definedName name="기준율" localSheetId="1">#REF!</definedName>
    <definedName name="기준율">#REF!</definedName>
    <definedName name="기준점" localSheetId="8">#REF!</definedName>
    <definedName name="기준점" localSheetId="2">#REF!</definedName>
    <definedName name="기준점" localSheetId="1">#REF!</definedName>
    <definedName name="기준점">#REF!</definedName>
    <definedName name="기철" localSheetId="8">#REF!</definedName>
    <definedName name="기철" localSheetId="2">#REF!</definedName>
    <definedName name="기철" localSheetId="1">#REF!</definedName>
    <definedName name="기철">#REF!</definedName>
    <definedName name="기타" hidden="1">{#N/A,#N/A,FALSE,"손익표지";#N/A,#N/A,FALSE,"손익계산";#N/A,#N/A,FALSE,"일반관리비";#N/A,#N/A,FALSE,"영업외수익";#N/A,#N/A,FALSE,"영업외비용";#N/A,#N/A,FALSE,"매출액";#N/A,#N/A,FALSE,"요약손익";#N/A,#N/A,FALSE,"요약대차";#N/A,#N/A,FALSE,"매출채권현황";#N/A,#N/A,FALSE,"매출채권명세"}</definedName>
    <definedName name="기타1" hidden="1">{#N/A,#N/A,FALSE,"손익표지";#N/A,#N/A,FALSE,"손익계산";#N/A,#N/A,FALSE,"일반관리비";#N/A,#N/A,FALSE,"영업외수익";#N/A,#N/A,FALSE,"영업외비용";#N/A,#N/A,FALSE,"매출액";#N/A,#N/A,FALSE,"요약손익";#N/A,#N/A,FALSE,"요약대차";#N/A,#N/A,FALSE,"매출채권현황";#N/A,#N/A,FALSE,"매출채권명세"}</definedName>
    <definedName name="기타운송원가" localSheetId="8">OFFSET(#REF!,MATCH(#REF!,#REF!,0)-1,8,1,1)</definedName>
    <definedName name="기타운송원가" localSheetId="2">OFFSET(#REF!,MATCH(#REF!,#REF!,0)-1,8,1,1)</definedName>
    <definedName name="기타운송원가" localSheetId="1">OFFSET(#REF!,MATCH(#REF!,#REF!,0)-1,8,1,1)</definedName>
    <definedName name="기타운송원가">OFFSET(#REF!,MATCH(#REF!,#REF!,0)-1,8,1,1)</definedName>
    <definedName name="기타자산_종업원채권_Y_List" localSheetId="8">#REF!</definedName>
    <definedName name="기타자산_종업원채권_Y_List" localSheetId="2">#REF!</definedName>
    <definedName name="기타자산_종업원채권_Y_List" localSheetId="1">#REF!</definedName>
    <definedName name="기타자산_종업원채권_Y_List">#REF!</definedName>
    <definedName name="기타지급이자" localSheetId="8">OFFSET(#REF!,MATCH(#REF!,#REF!,0)-1,9,1,1)</definedName>
    <definedName name="기타지급이자" localSheetId="2">OFFSET(#REF!,MATCH(#REF!,#REF!,0)-1,9,1,1)</definedName>
    <definedName name="기타지급이자" localSheetId="1">OFFSET(#REF!,MATCH(#REF!,#REF!,0)-1,9,1,1)</definedName>
    <definedName name="기타지급이자">OFFSET(#REF!,MATCH(#REF!,#REF!,0)-1,9,1,1)</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길병위" localSheetId="8">#REF!</definedName>
    <definedName name="길병위" localSheetId="2">#REF!</definedName>
    <definedName name="길병위" localSheetId="1">#REF!</definedName>
    <definedName name="길병위">#REF!</definedName>
    <definedName name="김" hidden="1">{#N/A,#N/A,FALSE,"손익표지";#N/A,#N/A,FALSE,"손익계산";#N/A,#N/A,FALSE,"일반관리비";#N/A,#N/A,FALSE,"영업외수익";#N/A,#N/A,FALSE,"영업외비용";#N/A,#N/A,FALSE,"매출액";#N/A,#N/A,FALSE,"요약손익";#N/A,#N/A,FALSE,"요약대차";#N/A,#N/A,FALSE,"매출채권현황";#N/A,#N/A,FALSE,"매출채권명세"}</definedName>
    <definedName name="김1" localSheetId="8">#REF!</definedName>
    <definedName name="김1" localSheetId="2">#REF!</definedName>
    <definedName name="김1" localSheetId="1">#REF!</definedName>
    <definedName name="김1">#REF!</definedName>
    <definedName name="김2" localSheetId="8">#REF!</definedName>
    <definedName name="김2" localSheetId="2">#REF!</definedName>
    <definedName name="김2" localSheetId="1">#REF!</definedName>
    <definedName name="김2">#REF!</definedName>
    <definedName name="김3" localSheetId="8">#REF!</definedName>
    <definedName name="김3" localSheetId="2">#REF!</definedName>
    <definedName name="김3" localSheetId="1">#REF!</definedName>
    <definedName name="김3">#REF!</definedName>
    <definedName name="김관중" localSheetId="8">#REF!</definedName>
    <definedName name="김관중" localSheetId="2">#REF!</definedName>
    <definedName name="김관중" localSheetId="1">#REF!</definedName>
    <definedName name="김관중">#REF!</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낙헌" localSheetId="8">#REF!</definedName>
    <definedName name="김낙헌" localSheetId="2">#REF!</definedName>
    <definedName name="김낙헌" localSheetId="1">#REF!</definedName>
    <definedName name="김낙헌">#REF!</definedName>
    <definedName name="김도길" localSheetId="8">#REF!</definedName>
    <definedName name="김도길" localSheetId="2">#REF!</definedName>
    <definedName name="김도길" localSheetId="1">#REF!</definedName>
    <definedName name="김도길">#REF!</definedName>
    <definedName name="김도영" localSheetId="8">#REF!</definedName>
    <definedName name="김도영" localSheetId="2">#REF!</definedName>
    <definedName name="김도영" localSheetId="1">#REF!</definedName>
    <definedName name="김도영">#REF!</definedName>
    <definedName name="김병섭" localSheetId="8">#REF!</definedName>
    <definedName name="김병섭" localSheetId="2">#REF!</definedName>
    <definedName name="김병섭" localSheetId="1">#REF!</definedName>
    <definedName name="김병섭">#REF!</definedName>
    <definedName name="김봉구" localSheetId="8">#REF!</definedName>
    <definedName name="김봉구" localSheetId="2">#REF!</definedName>
    <definedName name="김봉구" localSheetId="1">#REF!</definedName>
    <definedName name="김봉구">#REF!</definedName>
    <definedName name="김봉화" localSheetId="8">#REF!</definedName>
    <definedName name="김봉화" localSheetId="2">#REF!</definedName>
    <definedName name="김봉화" localSheetId="1">#REF!</definedName>
    <definedName name="김봉화">#REF!</definedName>
    <definedName name="김상배" localSheetId="8">#REF!</definedName>
    <definedName name="김상배" localSheetId="2">#REF!</definedName>
    <definedName name="김상배" localSheetId="1">#REF!</definedName>
    <definedName name="김상배">#REF!</definedName>
    <definedName name="김성곤" localSheetId="8">#REF!</definedName>
    <definedName name="김성곤" localSheetId="2">#REF!</definedName>
    <definedName name="김성곤" localSheetId="1">#REF!</definedName>
    <definedName name="김성곤">#REF!</definedName>
    <definedName name="김성기" localSheetId="8">#REF!</definedName>
    <definedName name="김성기" localSheetId="2">#REF!</definedName>
    <definedName name="김성기" localSheetId="1">#REF!</definedName>
    <definedName name="김성기">#REF!</definedName>
    <definedName name="김성배_상무" localSheetId="8">#REF!</definedName>
    <definedName name="김성배_상무" localSheetId="2">#REF!</definedName>
    <definedName name="김성배_상무" localSheetId="1">#REF!</definedName>
    <definedName name="김성배_상무">#REF!</definedName>
    <definedName name="김성산" localSheetId="8">#REF!</definedName>
    <definedName name="김성산" localSheetId="2">#REF!</definedName>
    <definedName name="김성산" localSheetId="1">#REF!</definedName>
    <definedName name="김성산">#REF!</definedName>
    <definedName name="김성채" localSheetId="8">#REF!</definedName>
    <definedName name="김성채" localSheetId="2">#REF!</definedName>
    <definedName name="김성채" localSheetId="1">#REF!</definedName>
    <definedName name="김성채">#REF!</definedName>
    <definedName name="김수천" localSheetId="8">#REF!</definedName>
    <definedName name="김수천" localSheetId="2">#REF!</definedName>
    <definedName name="김수천" localSheetId="1">#REF!</definedName>
    <definedName name="김수천">#REF!</definedName>
    <definedName name="김승수" localSheetId="8">#REF!</definedName>
    <definedName name="김승수" localSheetId="2">#REF!</definedName>
    <definedName name="김승수" localSheetId="1">#REF!</definedName>
    <definedName name="김승수">#REF!</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안석" localSheetId="8">#REF!</definedName>
    <definedName name="김안석" localSheetId="2">#REF!</definedName>
    <definedName name="김안석" localSheetId="1">#REF!</definedName>
    <definedName name="김안석">#REF!</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완재" localSheetId="8">#REF!</definedName>
    <definedName name="김완재" localSheetId="2">#REF!</definedName>
    <definedName name="김완재" localSheetId="1">#REF!</definedName>
    <definedName name="김완재">#REF!</definedName>
    <definedName name="김완주" localSheetId="8">#REF!</definedName>
    <definedName name="김완주" localSheetId="2">#REF!</definedName>
    <definedName name="김완주" localSheetId="1">#REF!</definedName>
    <definedName name="김완주">#REF!</definedName>
    <definedName name="김용연" localSheetId="8">#REF!</definedName>
    <definedName name="김용연" localSheetId="2">#REF!</definedName>
    <definedName name="김용연" localSheetId="1">#REF!</definedName>
    <definedName name="김용연">#REF!</definedName>
    <definedName name="김용호" localSheetId="8">#REF!</definedName>
    <definedName name="김용호" localSheetId="2">#REF!</definedName>
    <definedName name="김용호" localSheetId="1">#REF!</definedName>
    <definedName name="김용호">#REF!</definedName>
    <definedName name="김재일" localSheetId="8">#REF!</definedName>
    <definedName name="김재일" localSheetId="2">#REF!</definedName>
    <definedName name="김재일" localSheetId="1">#REF!</definedName>
    <definedName name="김재일">#REF!</definedName>
    <definedName name="김재철" localSheetId="8">#REF!</definedName>
    <definedName name="김재철" localSheetId="2">#REF!</definedName>
    <definedName name="김재철" localSheetId="1">#REF!</definedName>
    <definedName name="김재철">#REF!</definedName>
    <definedName name="김전진행" localSheetId="8">#REF!</definedName>
    <definedName name="김전진행" localSheetId="2">#REF!</definedName>
    <definedName name="김전진행" localSheetId="1">#REF!</definedName>
    <definedName name="김전진행">#REF!</definedName>
    <definedName name="김전진행2" localSheetId="8">#REF!</definedName>
    <definedName name="김전진행2" localSheetId="2">#REF!</definedName>
    <definedName name="김전진행2" localSheetId="1">#REF!</definedName>
    <definedName name="김전진행2">#REF!</definedName>
    <definedName name="김전청산" localSheetId="8">#REF!</definedName>
    <definedName name="김전청산" localSheetId="2">#REF!</definedName>
    <definedName name="김전청산" localSheetId="1">#REF!</definedName>
    <definedName name="김전청산">#REF!</definedName>
    <definedName name="김정철" localSheetId="8">#REF!</definedName>
    <definedName name="김정철" localSheetId="2">#REF!</definedName>
    <definedName name="김정철" localSheetId="1">#REF!</definedName>
    <definedName name="김정철">#REF!</definedName>
    <definedName name="김정호" localSheetId="8">#REF!</definedName>
    <definedName name="김정호" localSheetId="2">#REF!</definedName>
    <definedName name="김정호" localSheetId="1">#REF!</definedName>
    <definedName name="김정호">#REF!</definedName>
    <definedName name="김종근" localSheetId="8">#REF!</definedName>
    <definedName name="김종근" localSheetId="2">#REF!</definedName>
    <definedName name="김종근" localSheetId="1">#REF!</definedName>
    <definedName name="김종근">#REF!</definedName>
    <definedName name="김종호" localSheetId="8">#REF!</definedName>
    <definedName name="김종호" localSheetId="2">#REF!</definedName>
    <definedName name="김종호" localSheetId="1">#REF!</definedName>
    <definedName name="김종호">#REF!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창규" localSheetId="8">#REF!</definedName>
    <definedName name="김창규" localSheetId="2">#REF!</definedName>
    <definedName name="김창규" localSheetId="1">#REF!</definedName>
    <definedName name="김창규">#REF!</definedName>
    <definedName name="김창년" localSheetId="8">#REF!</definedName>
    <definedName name="김창년" localSheetId="2">#REF!</definedName>
    <definedName name="김창년" localSheetId="1">#REF!</definedName>
    <definedName name="김창년">#REF!</definedName>
    <definedName name="김창은" localSheetId="8">#REF!</definedName>
    <definedName name="김창은" localSheetId="2">#REF!</definedName>
    <definedName name="김창은" localSheetId="1">#REF!</definedName>
    <definedName name="김창은">#REF!</definedName>
    <definedName name="김천식" localSheetId="8">#REF!</definedName>
    <definedName name="김천식" localSheetId="2">#REF!</definedName>
    <definedName name="김천식" localSheetId="1">#REF!</definedName>
    <definedName name="김천식">#REF!</definedName>
    <definedName name="김태욱안전" localSheetId="8">#REF!</definedName>
    <definedName name="김태욱안전" localSheetId="2">#REF!</definedName>
    <definedName name="김태욱안전" localSheetId="1">#REF!</definedName>
    <definedName name="김태욱안전">#REF!</definedName>
    <definedName name="김태욱운항" localSheetId="8">#REF!</definedName>
    <definedName name="김태욱운항" localSheetId="2">#REF!</definedName>
    <definedName name="김태욱운항" localSheetId="1">#REF!</definedName>
    <definedName name="김태욱운항">#REF!</definedName>
    <definedName name="김형균" localSheetId="8">#REF!</definedName>
    <definedName name="김형균" localSheetId="2">#REF!</definedName>
    <definedName name="김형균" localSheetId="1">#REF!</definedName>
    <definedName name="김형균">#REF!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김흥기" localSheetId="8">#REF!</definedName>
    <definedName name="김흥기" localSheetId="2">#REF!</definedName>
    <definedName name="김흥기" localSheetId="1">#REF!</definedName>
    <definedName name="김흥기">#REF!</definedName>
    <definedName name="김희진행" localSheetId="8">#REF!</definedName>
    <definedName name="김희진행" localSheetId="2">#REF!</definedName>
    <definedName name="김희진행" localSheetId="1">#REF!</definedName>
    <definedName name="김희진행">#REF!</definedName>
    <definedName name="김희진행2" localSheetId="8">#REF!</definedName>
    <definedName name="김희진행2" localSheetId="2">#REF!</definedName>
    <definedName name="김희진행2" localSheetId="1">#REF!</definedName>
    <definedName name="김희진행2">#REF!</definedName>
    <definedName name="김희청산" localSheetId="8">#REF!</definedName>
    <definedName name="김희청산" localSheetId="2">#REF!</definedName>
    <definedName name="김희청산" localSheetId="1">#REF!</definedName>
    <definedName name="김희청산">#REF!</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ㅇ">#N/A</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ㅁㄴㄴㅁ">#N/A</definedName>
    <definedName name="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 localSheetId="8">#REF!</definedName>
    <definedName name="ㄴㅇㄹㄴ" localSheetId="2">#REF!</definedName>
    <definedName name="ㄴㅇㄹㄴ" localSheetId="1">#REF!</definedName>
    <definedName name="ㄴㅇㄹㄴ">#REF!</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나"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내역"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내장계획" localSheetId="8">#REF!</definedName>
    <definedName name="내장계획" localSheetId="2">#REF!</definedName>
    <definedName name="내장계획" localSheetId="1">#REF!</definedName>
    <definedName name="내장계획">#REF!</definedName>
    <definedName name="내장실적" localSheetId="8">#REF!</definedName>
    <definedName name="내장실적" localSheetId="2">#REF!</definedName>
    <definedName name="내장실적" localSheetId="1">#REF!</definedName>
    <definedName name="내장실적">#REF!</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ㅑㅏ쟈" localSheetId="8">#REF!</definedName>
    <definedName name="너ㅑㅏ쟈" localSheetId="2">#REF!</definedName>
    <definedName name="너ㅑㅏ쟈" localSheetId="1">#REF!</definedName>
    <definedName name="너ㅑㅏ쟈">#REF!</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년간예산" localSheetId="8">#REF!</definedName>
    <definedName name="년간예산" localSheetId="2">#REF!</definedName>
    <definedName name="년간예산" localSheetId="1">#REF!</definedName>
    <definedName name="년간예산">#REF!</definedName>
    <definedName name="년급총계" localSheetId="8">#REF!</definedName>
    <definedName name="년급총계" localSheetId="2">#REF!</definedName>
    <definedName name="년급총계" localSheetId="1">#REF!</definedName>
    <definedName name="년급총계">#REF!</definedName>
    <definedName name="년초99" localSheetId="8">#REF!</definedName>
    <definedName name="년초99" localSheetId="2">#REF!</definedName>
    <definedName name="년초99" localSheetId="1">#REF!</definedName>
    <definedName name="년초99">#REF!</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무" localSheetId="8">#REF!</definedName>
    <definedName name="노무" localSheetId="2">#REF!</definedName>
    <definedName name="노무" localSheetId="1">#REF!</definedName>
    <definedName name="노무">#REF!</definedName>
    <definedName name="노무비" localSheetId="8">#REF!</definedName>
    <definedName name="노무비" localSheetId="2">#REF!</definedName>
    <definedName name="노무비" localSheetId="1">#REF!</definedName>
    <definedName name="노무비">#REF!</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8">BlankMacro1</definedName>
    <definedName name="노임1" localSheetId="2">BlankMacro1</definedName>
    <definedName name="노임1" localSheetId="1">BlankMacro1</definedName>
    <definedName name="노임1">BlankMacro1</definedName>
    <definedName name="노트" hidden="1">{#N/A,#N/A,TRUE,"총괄"}</definedName>
    <definedName name="누계"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적" hidden="1">{#N/A,#N/A,FALSE,"Sheet1"}</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니니ㅣㅣㅣㅣㅣㅣㅣㅣㅣㅣㅣㅣ"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ㄷ" hidden="1">{#N/A,#N/A,FALSE,"손익표지";#N/A,#N/A,FALSE,"손익계산";#N/A,#N/A,FALSE,"일반관리비";#N/A,#N/A,FALSE,"영업외수익";#N/A,#N/A,FALSE,"영업외비용";#N/A,#N/A,FALSE,"매출액";#N/A,#N/A,FALSE,"요약손익";#N/A,#N/A,FALSE,"요약대차";#N/A,#N/A,FALSE,"매출채권현황";#N/A,#N/A,FALSE,"매출채권명세"}</definedName>
    <definedName name="ㄷ4ㅇ" localSheetId="8" hidden="1">#REF!</definedName>
    <definedName name="ㄷ4ㅇ" localSheetId="2" hidden="1">#REF!</definedName>
    <definedName name="ㄷ4ㅇ" localSheetId="1" hidden="1">#REF!</definedName>
    <definedName name="ㄷ4ㅇ" hidden="1">#REF!</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{#N/A,#N/A,FALSE,"단가표지"}</definedName>
    <definedName name="ㄷㄷㄷ" hidden="1">{#N/A,#N/A,FALSE,"Sheet1"}</definedName>
    <definedName name="ㄷㄷㄷㄹㅇ" hidden="1">{#N/A,#N/A,FALSE,"Sheet1"}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다" hidden="1">{#N/A,#N/A,FALSE,"표지목차"}</definedName>
    <definedName name="다라" hidden="1">{#N/A,#N/A,FALSE,"표지목차"}</definedName>
    <definedName name="단_기" localSheetId="8">#REF!</definedName>
    <definedName name="단_기" localSheetId="2">#REF!</definedName>
    <definedName name="단_기" localSheetId="1">#REF!</definedName>
    <definedName name="단_기">#REF!</definedName>
    <definedName name="단같">#N/A</definedName>
    <definedName name="단같1">#N/A</definedName>
    <definedName name="단같2">#N/A</definedName>
    <definedName name="단같3">#N/A</definedName>
    <definedName name="단같4">#N/A</definedName>
    <definedName name="단위">#N/A</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1252.9</definedName>
    <definedName name="담보" localSheetId="8">#REF!</definedName>
    <definedName name="담보" localSheetId="2">#REF!</definedName>
    <definedName name="담보" localSheetId="1">#REF!</definedName>
    <definedName name="담보">#REF!</definedName>
    <definedName name="당기" localSheetId="8">#REF!</definedName>
    <definedName name="당기" localSheetId="2">#REF!</definedName>
    <definedName name="당기" localSheetId="1">#REF!</definedName>
    <definedName name="당기">#REF!</definedName>
    <definedName name="당기영업이자" hidden="1">{#N/A,#N/A,FALSE,"지침";#N/A,#N/A,FALSE,"환경분석";#N/A,#N/A,FALSE,"Sheet16"}</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기환율" localSheetId="8">#REF!</definedName>
    <definedName name="당기환율" localSheetId="2">#REF!</definedName>
    <definedName name="당기환율" localSheetId="1">#REF!</definedName>
    <definedName name="당기환율">#REF!</definedName>
    <definedName name="당사입사" localSheetId="8">#REF!</definedName>
    <definedName name="당사입사" localSheetId="2">#REF!</definedName>
    <definedName name="당사입사" localSheetId="1">#REF!</definedName>
    <definedName name="당사입사">#REF!</definedName>
    <definedName name="당초계획" localSheetId="8" hidden="1">#REF!</definedName>
    <definedName name="당초계획" localSheetId="2" hidden="1">#REF!</definedName>
    <definedName name="당초계획" localSheetId="1" hidden="1">#REF!</definedName>
    <definedName name="당초계획" hidden="1">#REF!</definedName>
    <definedName name="대리" localSheetId="8">#REF!</definedName>
    <definedName name="대리" localSheetId="2">#REF!</definedName>
    <definedName name="대리" localSheetId="1">#REF!</definedName>
    <definedName name="대리">#REF!</definedName>
    <definedName name="대비5">#N/A</definedName>
    <definedName name="대손설정율" localSheetId="8">#REF!</definedName>
    <definedName name="대손설정율" localSheetId="2">#REF!</definedName>
    <definedName name="대손설정율" localSheetId="1">#REF!</definedName>
    <definedName name="대손설정율">#REF!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_신탁" localSheetId="8">#REF!</definedName>
    <definedName name="대차_신탁" localSheetId="2">#REF!</definedName>
    <definedName name="대차_신탁" localSheetId="1">#REF!</definedName>
    <definedName name="대차_신탁">#REF!</definedName>
    <definedName name="대ㅣㅂ2">#N/A</definedName>
    <definedName name="도곡" hidden="1">{#N/A,#N/A,FALSE,"이태원철근"}</definedName>
    <definedName name="도서" localSheetId="8">#REF!</definedName>
    <definedName name="도서" localSheetId="2">#REF!</definedName>
    <definedName name="도서" localSheetId="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우미비용" localSheetId="8">#REF!</definedName>
    <definedName name="도우미비용" localSheetId="2">#REF!</definedName>
    <definedName name="도우미비용" localSheetId="1">#REF!</definedName>
    <definedName name="도우미비용">#REF!</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국대불교병원" localSheetId="8">#REF!</definedName>
    <definedName name="동국대불교병원" localSheetId="2">#REF!</definedName>
    <definedName name="동국대불교병원" localSheetId="1">#REF!</definedName>
    <definedName name="동국대불교병원">#REF!</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수원" localSheetId="8">#REF!</definedName>
    <definedName name="동수원" localSheetId="2">#REF!</definedName>
    <definedName name="동수원" localSheetId="1">#REF!</definedName>
    <definedName name="동수원">#REF!</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디젤">620</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78" localSheetId="8">#REF!</definedName>
    <definedName name="ㄹ78" localSheetId="2">#REF!</definedName>
    <definedName name="ㄹ78" localSheetId="1">#REF!</definedName>
    <definedName name="ㄹ78">#REF!</definedName>
    <definedName name="ㄹㄹ" localSheetId="8">#REF!</definedName>
    <definedName name="ㄹㄹ" localSheetId="2">#REF!</definedName>
    <definedName name="ㄹㄹ" localSheetId="1">#REF!</definedName>
    <definedName name="ㄹㄹ">#REF!</definedName>
    <definedName name="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ㅀㅎ">#N/A</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ㅀㅇㄹ" hidden="1">{#N/A,#N/A,FALSE,"Sheet1"}</definedName>
    <definedName name="ㄹㅇ퓨"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허ㅗ러ㅗ" localSheetId="8">BlankMacro1</definedName>
    <definedName name="ㄹ허ㅗ러ㅗ" localSheetId="2">BlankMacro1</definedName>
    <definedName name="ㄹ허ㅗ러ㅗ" localSheetId="1">BlankMacro1</definedName>
    <definedName name="ㄹ허ㅗ러ㅗ">BlankMacro1</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레영1" localSheetId="8">#REF!</definedName>
    <definedName name="레영1" localSheetId="2">#REF!</definedName>
    <definedName name="레영1" localSheetId="1">#REF!</definedName>
    <definedName name="레영1">#REF!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류균" localSheetId="8">#REF!</definedName>
    <definedName name="류균" localSheetId="2">#REF!</definedName>
    <definedName name="류균" localSheetId="1">#REF!</definedName>
    <definedName name="류균">#REF!</definedName>
    <definedName name="류명렬" localSheetId="8">#REF!</definedName>
    <definedName name="류명렬" localSheetId="2">#REF!</definedName>
    <definedName name="류명렬" localSheetId="1">#REF!</definedName>
    <definedName name="류명렬">#REF!</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더쉽" localSheetId="8">#REF!</definedName>
    <definedName name="리더쉽" localSheetId="2">#REF!</definedName>
    <definedName name="리더쉽" localSheetId="1">#REF!</definedName>
    <definedName name="리더쉽">#REF!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비" localSheetId="8" hidden="1">#REF!</definedName>
    <definedName name="리비" localSheetId="2" hidden="1">#REF!</definedName>
    <definedName name="리비" localSheetId="1" hidden="1">#REF!</definedName>
    <definedName name="리비" hidden="1">#REF!</definedName>
    <definedName name="리비아" localSheetId="8" hidden="1">#REF!</definedName>
    <definedName name="리비아" localSheetId="2" hidden="1">#REF!</definedName>
    <definedName name="리비아" localSheetId="1" hidden="1">#REF!</definedName>
    <definedName name="리비아" hidden="1">#REF!</definedName>
    <definedName name="리비아아" localSheetId="8" hidden="1">#REF!</definedName>
    <definedName name="리비아아" localSheetId="2" hidden="1">#REF!</definedName>
    <definedName name="리비아아" localSheetId="1" hidden="1">#REF!</definedName>
    <definedName name="리비아아" hidden="1">#REF!</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ㅀ"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8" hidden="1">#REF!</definedName>
    <definedName name="ㅁ" localSheetId="2" hidden="1">#REF!</definedName>
    <definedName name="ㅁ" localSheetId="1" hidden="1">#REF!</definedName>
    <definedName name="ㅁ" hidden="1">#REF!</definedName>
    <definedName name="ㅁ10" localSheetId="8">#REF!</definedName>
    <definedName name="ㅁ10" localSheetId="2">#REF!</definedName>
    <definedName name="ㅁ10" localSheetId="1">#REF!</definedName>
    <definedName name="ㅁ10">#REF!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ㅁ">#N/A</definedName>
    <definedName name="ㅁㄴㅇ" hidden="1">{#N/A,#N/A,TRUE,"총괄"}</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ㄹㅇㅁ" localSheetId="8" hidden="1">#REF!</definedName>
    <definedName name="ㅁㄹㅇㅁ" localSheetId="2" hidden="1">#REF!</definedName>
    <definedName name="ㅁㄹㅇㅁ" localSheetId="1" hidden="1">#REF!</definedName>
    <definedName name="ㅁㄹㅇㅁ" hidden="1">#REF!</definedName>
    <definedName name="ㅁㅁ"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ㅁㅁㅁ">#N/A</definedName>
    <definedName name="ㅁㅇㄴㄹ" hidden="1">{"SJ - 기본 보기",#N/A,FALSE,"공사별 외주견적"}</definedName>
    <definedName name="ㅁㅇㅁㄴㅇㅁㅇ" localSheetId="8">BlankMacro1</definedName>
    <definedName name="ㅁㅇㅁㄴㅇㅁㅇ" localSheetId="2">BlankMacro1</definedName>
    <definedName name="ㅁㅇㅁㄴㅇㅁㅇ" localSheetId="1">BlankMacro1</definedName>
    <definedName name="ㅁㅇㅁㄴㅇㅁㅇ">BlankMacro1</definedName>
    <definedName name="마" hidden="1">{#N/A,#N/A,FALSE,"손익표지";#N/A,#N/A,FALSE,"손익계산";#N/A,#N/A,FALSE,"일반관리비";#N/A,#N/A,FALSE,"영업외수익";#N/A,#N/A,FALSE,"영업외비용";#N/A,#N/A,FALSE,"매출액";#N/A,#N/A,FALSE,"요약손익";#N/A,#N/A,FALSE,"요약대차";#N/A,#N/A,FALSE,"매출채권현황";#N/A,#N/A,FALSE,"매출채권명세"}</definedName>
    <definedName name="마경하" localSheetId="8">#REF!</definedName>
    <definedName name="마경하" localSheetId="2">#REF!</definedName>
    <definedName name="마경하" localSheetId="1">#REF!</definedName>
    <definedName name="마경하">#REF!</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각">[0]!매각</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8">#REF!</definedName>
    <definedName name="매출계획" localSheetId="2">#REF!</definedName>
    <definedName name="매출계획" localSheetId="1">#REF!</definedName>
    <definedName name="매출계획">#REF!</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부진사유" localSheetId="8">#REF!</definedName>
    <definedName name="매출부진사유" localSheetId="2">#REF!</definedName>
    <definedName name="매출부진사유" localSheetId="1">#REF!</definedName>
    <definedName name="매출부진사유">#REF!</definedName>
    <definedName name="매출실적" localSheetId="8">#REF!</definedName>
    <definedName name="매출실적" localSheetId="2">#REF!</definedName>
    <definedName name="매출실적" localSheetId="1">#REF!</definedName>
    <definedName name="매출실적">#REF!</definedName>
    <definedName name="매출원가율" localSheetId="8">#REF!</definedName>
    <definedName name="매출원가율" localSheetId="2">#REF!</definedName>
    <definedName name="매출원가율" localSheetId="1">#REF!</definedName>
    <definedName name="매출원가율">#REF!</definedName>
    <definedName name="매크로1" localSheetId="8">#REF!</definedName>
    <definedName name="매크로1" localSheetId="2">#REF!</definedName>
    <definedName name="매크로1" localSheetId="1">#REF!</definedName>
    <definedName name="매크로1">#REF!</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랑" localSheetId="8">#REF!</definedName>
    <definedName name="모랑" localSheetId="2">#REF!</definedName>
    <definedName name="모랑" localSheetId="1">#REF!</definedName>
    <definedName name="모랑">#REF!</definedName>
    <definedName name="모빌원가7" localSheetId="8">#REF!</definedName>
    <definedName name="모빌원가7" localSheetId="2">#REF!</definedName>
    <definedName name="모빌원가7" localSheetId="1">#REF!</definedName>
    <definedName name="모빌원가7">#REF!</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몬" hidden="1">{#N/A,#N/A,FALSE,"표지목차"}</definedName>
    <definedName name="몰라" localSheetId="8">#REF!</definedName>
    <definedName name="몰라" localSheetId="2">#REF!</definedName>
    <definedName name="몰라" localSheetId="1">#REF!</definedName>
    <definedName name="몰라">#REF!</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슨소리" localSheetId="8">#REF!</definedName>
    <definedName name="무슨소리" localSheetId="2">#REF!</definedName>
    <definedName name="무슨소리" localSheetId="1">#REF!</definedName>
    <definedName name="무슨소리">#REF!</definedName>
    <definedName name="무쑤익" localSheetId="8">#REF!</definedName>
    <definedName name="무쑤익" localSheetId="2">#REF!</definedName>
    <definedName name="무쑤익" localSheetId="1">#REF!</definedName>
    <definedName name="무쑤익">#REF!</definedName>
    <definedName name="문동준" localSheetId="8">#REF!</definedName>
    <definedName name="문동준" localSheetId="2">#REF!</definedName>
    <definedName name="문동준" localSheetId="1">#REF!</definedName>
    <definedName name="문동준">#REF!</definedName>
    <definedName name="문서" localSheetId="8">#REF!</definedName>
    <definedName name="문서" localSheetId="2">#REF!</definedName>
    <definedName name="문서" localSheetId="1">#REF!</definedName>
    <definedName name="문서">#REF!</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물" hidden="1">{#N/A,#N/A,FALSE,"이태원철근"}</definedName>
    <definedName name="물가" hidden="1">{#N/A,#N/A,FALSE,"이태원철근"}</definedName>
    <definedName name="물ㄹㄹㄹ" hidden="1">{#N/A,#N/A,FALSE,"이태원철근"}</definedName>
    <definedName name="뭐가이태원이야" hidden="1">{#N/A,#N/A,FALSE,"이태원철근"}</definedName>
    <definedName name="뭐야" localSheetId="8">#REF!</definedName>
    <definedName name="뭐야" localSheetId="2">#REF!</definedName>
    <definedName name="뭐야" localSheetId="1">#REF!</definedName>
    <definedName name="뭐야">#REF!</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未_着_品_明_細_書" localSheetId="8">#REF!</definedName>
    <definedName name="未_着_品_明_細_書" localSheetId="2">#REF!</definedName>
    <definedName name="未_着_品_明_細_書" localSheetId="1">#REF!</definedName>
    <definedName name="未_着_品_明_細_書">#REF!</definedName>
    <definedName name="미수" localSheetId="8">#REF!</definedName>
    <definedName name="미수" localSheetId="2">#REF!</definedName>
    <definedName name="미수" localSheetId="1">#REF!</definedName>
    <definedName name="미수">#REF!</definedName>
    <definedName name="미지급" localSheetId="8" hidden="1">#REF!</definedName>
    <definedName name="미지급" localSheetId="2" hidden="1">#REF!</definedName>
    <definedName name="미지급" localSheetId="1" hidden="1">#REF!</definedName>
    <definedName name="미지급" hidden="1">#REF!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원" localSheetId="8">#REF!</definedName>
    <definedName name="민원" localSheetId="2">#REF!</definedName>
    <definedName name="민원" localSheetId="1">#REF!</definedName>
    <definedName name="민원">#REF!</definedName>
    <definedName name="민원비용" localSheetId="8">#REF!</definedName>
    <definedName name="민원비용" localSheetId="2">#REF!</definedName>
    <definedName name="민원비용" localSheetId="1">#REF!</definedName>
    <definedName name="민원비용">#REF!</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ㅂ" hidden="1">{#N/A,#N/A,FALSE,"손익표지";#N/A,#N/A,FALSE,"손익계산";#N/A,#N/A,FALSE,"일반관리비";#N/A,#N/A,FALSE,"영업외수익";#N/A,#N/A,FALSE,"영업외비용";#N/A,#N/A,FALSE,"매출액";#N/A,#N/A,FALSE,"요약손익";#N/A,#N/A,FALSE,"요약대차";#N/A,#N/A,FALSE,"매출채권현황";#N/A,#N/A,FALSE,"매출채권명세"}</definedName>
    <definedName name="ㅂ1ㅈ1" localSheetId="8" hidden="1">#REF!</definedName>
    <definedName name="ㅂ1ㅈ1" localSheetId="2" hidden="1">#REF!</definedName>
    <definedName name="ㅂ1ㅈ1" localSheetId="1" hidden="1">#REF!</definedName>
    <definedName name="ㅂ1ㅈ1" hidden="1">#REF!</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#N/A</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바" hidden="1">{#N/A,#N/A,FALSE,"손익표지";#N/A,#N/A,FALSE,"손익계산";#N/A,#N/A,FALSE,"일반관리비";#N/A,#N/A,FALSE,"영업외수익";#N/A,#N/A,FALSE,"영업외비용";#N/A,#N/A,FALSE,"매출액";#N/A,#N/A,FALSE,"요약손익";#N/A,#N/A,FALSE,"요약대차";#N/A,#N/A,FALSE,"매출채권현황";#N/A,#N/A,FALSE,"매출채권명세"}</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보" localSheetId="8">#REF!</definedName>
    <definedName name="바보" localSheetId="2">#REF!</definedName>
    <definedName name="바보" localSheetId="1">#REF!</definedName>
    <definedName name="바보">#REF!</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박광식" localSheetId="8">#REF!</definedName>
    <definedName name="박광식" localSheetId="2">#REF!</definedName>
    <definedName name="박광식" localSheetId="1">#REF!</definedName>
    <definedName name="박광식">#REF!</definedName>
    <definedName name="박광주" localSheetId="8">#REF!</definedName>
    <definedName name="박광주" localSheetId="2">#REF!</definedName>
    <definedName name="박광주" localSheetId="1">#REF!</definedName>
    <definedName name="박광주">#REF!</definedName>
    <definedName name="박근식" localSheetId="8">#REF!</definedName>
    <definedName name="박근식" localSheetId="2">#REF!</definedName>
    <definedName name="박근식" localSheetId="1">#REF!</definedName>
    <definedName name="박근식">#REF!</definedName>
    <definedName name="박근해" localSheetId="8">#REF!</definedName>
    <definedName name="박근해" localSheetId="2">#REF!</definedName>
    <definedName name="박근해" localSheetId="1">#REF!</definedName>
    <definedName name="박근해">#REF!</definedName>
    <definedName name="박긍래" localSheetId="8">#REF!</definedName>
    <definedName name="박긍래" localSheetId="2">#REF!</definedName>
    <definedName name="박긍래" localSheetId="1">#REF!</definedName>
    <definedName name="박긍래">#REF!</definedName>
    <definedName name="박노필" localSheetId="8">#REF!</definedName>
    <definedName name="박노필" localSheetId="2">#REF!</definedName>
    <definedName name="박노필" localSheetId="1">#REF!</definedName>
    <definedName name="박노필">#REF!</definedName>
    <definedName name="박동수" localSheetId="8">#REF!</definedName>
    <definedName name="박동수" localSheetId="2">#REF!</definedName>
    <definedName name="박동수" localSheetId="1">#REF!</definedName>
    <definedName name="박동수">#REF!</definedName>
    <definedName name="박병욱" localSheetId="8">#REF!</definedName>
    <definedName name="박병욱" localSheetId="2">#REF!</definedName>
    <definedName name="박병욱" localSheetId="1">#REF!</definedName>
    <definedName name="박병욱">#REF!</definedName>
    <definedName name="박상배" localSheetId="8">#REF!</definedName>
    <definedName name="박상배" localSheetId="2">#REF!</definedName>
    <definedName name="박상배" localSheetId="1">#REF!</definedName>
    <definedName name="박상배">#REF!</definedName>
    <definedName name="박상환" localSheetId="8">#REF!</definedName>
    <definedName name="박상환" localSheetId="2">#REF!</definedName>
    <definedName name="박상환" localSheetId="1">#REF!</definedName>
    <definedName name="박상환">#REF!</definedName>
    <definedName name="박술배" localSheetId="8">#REF!</definedName>
    <definedName name="박술배" localSheetId="2">#REF!</definedName>
    <definedName name="박술배" localSheetId="1">#REF!</definedName>
    <definedName name="박술배">#REF!</definedName>
    <definedName name="박양근" localSheetId="8">#REF!</definedName>
    <definedName name="박양근" localSheetId="2">#REF!</definedName>
    <definedName name="박양근" localSheetId="1">#REF!</definedName>
    <definedName name="박양근">#REF!</definedName>
    <definedName name="박영교" localSheetId="8">#REF!</definedName>
    <definedName name="박영교" localSheetId="2">#REF!</definedName>
    <definedName name="박영교" localSheetId="1">#REF!</definedName>
    <definedName name="박영교">#REF!</definedName>
    <definedName name="박영배" localSheetId="8">#REF!</definedName>
    <definedName name="박영배" localSheetId="2">#REF!</definedName>
    <definedName name="박영배" localSheetId="1">#REF!</definedName>
    <definedName name="박영배">#REF!</definedName>
    <definedName name="박인철" hidden="1">{#N/A,#N/A,FALSE,"변경관리예산";#N/A,#N/A,FALSE,"변경장비예산";#N/A,#N/A,FALSE,"변경준설예산";#N/A,#N/A,FALSE,"변경철구예산"}</definedName>
    <definedName name="박종인" localSheetId="8">#REF!</definedName>
    <definedName name="박종인" localSheetId="2">#REF!</definedName>
    <definedName name="박종인" localSheetId="1">#REF!</definedName>
    <definedName name="박종인">#REF!</definedName>
    <definedName name="朴俊成_常務" localSheetId="8">#REF!</definedName>
    <definedName name="朴俊成_常務" localSheetId="2">#REF!</definedName>
    <definedName name="朴俊成_常務" localSheetId="1">#REF!</definedName>
    <definedName name="朴俊成_常務">#REF!</definedName>
    <definedName name="박찬법" localSheetId="8">#REF!</definedName>
    <definedName name="박찬법" localSheetId="2">#REF!</definedName>
    <definedName name="박찬법" localSheetId="1">#REF!</definedName>
    <definedName name="박찬법">#REF!</definedName>
    <definedName name="박현옥" localSheetId="8">#REF!</definedName>
    <definedName name="박현옥" localSheetId="2">#REF!</definedName>
    <definedName name="박현옥" localSheetId="1">#REF!</definedName>
    <definedName name="박현옥">#REF!</definedName>
    <definedName name="반포" localSheetId="8">#REF!</definedName>
    <definedName name="반포" localSheetId="2">#REF!</definedName>
    <definedName name="반포" localSheetId="1">#REF!</definedName>
    <definedName name="반포">#REF!</definedName>
    <definedName name="발표양식">#N/A</definedName>
    <definedName name="배부" hidden="1">{#N/A,#N/A,FALSE,"지침";#N/A,#N/A,FALSE,"환경분석";#N/A,#N/A,FALSE,"Sheet16"}</definedName>
    <definedName name="배부영업자산" hidden="1">{#N/A,#N/A,FALSE,"지침";#N/A,#N/A,FALSE,"환경분석";#N/A,#N/A,FALSE,"Sheet16"}</definedName>
    <definedName name="배수공" localSheetId="8">#REF!</definedName>
    <definedName name="배수공" localSheetId="2">#REF!</definedName>
    <definedName name="배수공" localSheetId="1">#REF!</definedName>
    <definedName name="배수공">#REF!</definedName>
    <definedName name="백인기" localSheetId="8">#REF!</definedName>
    <definedName name="백인기" localSheetId="2">#REF!</definedName>
    <definedName name="백인기" localSheetId="1">#REF!</definedName>
    <definedName name="백인기">#REF!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스" localSheetId="8">#REF!</definedName>
    <definedName name="버스" localSheetId="2">#REF!</definedName>
    <definedName name="버스" localSheetId="1">#REF!</definedName>
    <definedName name="버스">#REF!</definedName>
    <definedName name="범위" localSheetId="8">#REF!</definedName>
    <definedName name="범위" localSheetId="2">#REF!</definedName>
    <definedName name="범위" localSheetId="1">#REF!</definedName>
    <definedName name="범위">#REF!</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벤쳐" localSheetId="8">#REF!</definedName>
    <definedName name="벤쳐" localSheetId="2">#REF!</definedName>
    <definedName name="벤쳐" localSheetId="1">#REF!</definedName>
    <definedName name="벤쳐">#REF!</definedName>
    <definedName name="변경" localSheetId="8">#REF!</definedName>
    <definedName name="변경" localSheetId="2">#REF!</definedName>
    <definedName name="변경" localSheetId="1">#REF!</definedName>
    <definedName name="변경">#REF!</definedName>
    <definedName name="변경일정표" localSheetId="8">#REF!</definedName>
    <definedName name="변경일정표" localSheetId="2">#REF!</definedName>
    <definedName name="변경일정표" localSheetId="1">#REF!</definedName>
    <definedName name="변경일정표">#REF!</definedName>
    <definedName name="변경지분" localSheetId="8">#REF!</definedName>
    <definedName name="변경지분" localSheetId="2">#REF!</definedName>
    <definedName name="변경지분" localSheetId="1">#REF!</definedName>
    <definedName name="변경지분">#REF!</definedName>
    <definedName name="변동" hidden="1">{#N/A,#N/A,FALSE,"Sheet1"}</definedName>
    <definedName name="변동비" hidden="1">{#N/A,#N/A,FALSE,"Sheet1"}</definedName>
    <definedName name="변동사항" localSheetId="8">#REF!</definedName>
    <definedName name="변동사항" localSheetId="2">#REF!</definedName>
    <definedName name="변동사항" localSheetId="1">#REF!</definedName>
    <definedName name="변동사항">#REF!</definedName>
    <definedName name="변동코드" localSheetId="8">#REF!</definedName>
    <definedName name="변동코드" localSheetId="2">#REF!</definedName>
    <definedName name="변동코드" localSheetId="1">#REF!</definedName>
    <definedName name="변동코드">#REF!</definedName>
    <definedName name="변동폭" localSheetId="8">#REF!</definedName>
    <definedName name="변동폭" localSheetId="2">#REF!</definedName>
    <definedName name="변동폭" localSheetId="1">#REF!</definedName>
    <definedName name="변동폭">#REF!</definedName>
    <definedName name="변영남" localSheetId="8">#REF!</definedName>
    <definedName name="변영남" localSheetId="2">#REF!</definedName>
    <definedName name="변영남" localSheetId="1">#REF!</definedName>
    <definedName name="변영남">#REF!</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첨2" localSheetId="8">#REF!</definedName>
    <definedName name="별첨2" localSheetId="2">#REF!</definedName>
    <definedName name="별첨2" localSheetId="1">#REF!</definedName>
    <definedName name="별첨2">#REF!</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양식1" localSheetId="8">#REF!</definedName>
    <definedName name="보고양식1" localSheetId="2">#REF!</definedName>
    <definedName name="보고양식1" localSheetId="1">#REF!</definedName>
    <definedName name="보고양식1">#REF!</definedName>
    <definedName name="보고양식2" localSheetId="8">#REF!</definedName>
    <definedName name="보고양식2" localSheetId="2">#REF!</definedName>
    <definedName name="보고양식2" localSheetId="1">#REF!</definedName>
    <definedName name="보고양식2">#REF!</definedName>
    <definedName name="보고양식3" localSheetId="8">#REF!</definedName>
    <definedName name="보고양식3" localSheetId="2">#REF!</definedName>
    <definedName name="보고양식3" localSheetId="1">#REF!</definedName>
    <definedName name="보고양식3">#REF!</definedName>
    <definedName name="보충" localSheetId="8" hidden="1">#REF!</definedName>
    <definedName name="보충" localSheetId="2" hidden="1">#REF!</definedName>
    <definedName name="보충" localSheetId="1" hidden="1">#REF!</definedName>
    <definedName name="보충" hidden="1">#REF!</definedName>
    <definedName name="보험" localSheetId="8">#REF!</definedName>
    <definedName name="보험" localSheetId="2">#REF!</definedName>
    <definedName name="보험" localSheetId="1">#REF!</definedName>
    <definedName name="보험">#REF!</definedName>
    <definedName name="보험료" localSheetId="8">#REF!</definedName>
    <definedName name="보험료" localSheetId="2">#REF!</definedName>
    <definedName name="보험료" localSheetId="1">#REF!</definedName>
    <definedName name="보험료">#REF!</definedName>
    <definedName name="복사비" localSheetId="8">#REF!</definedName>
    <definedName name="복사비" localSheetId="2">#REF!</definedName>
    <definedName name="복사비" localSheetId="1">#REF!</definedName>
    <definedName name="복사비">#REF!</definedName>
    <definedName name="부">#N/A</definedName>
    <definedName name="부과기준" localSheetId="8">#REF!</definedName>
    <definedName name="부과기준" localSheetId="2">#REF!</definedName>
    <definedName name="부과기준" localSheetId="1">#REF!</definedName>
    <definedName name="부과기준">#REF!</definedName>
    <definedName name="부대공" localSheetId="8">#REF!</definedName>
    <definedName name="부대공" localSheetId="2">#REF!</definedName>
    <definedName name="부대공" localSheetId="1">#REF!</definedName>
    <definedName name="부대공">#REF!</definedName>
    <definedName name="부대구조" hidden="1">{#N/A,#N/A,FALSE,"골재소요량";#N/A,#N/A,FALSE,"골재소요량"}</definedName>
    <definedName name="부대방안" hidden="1">{#N/A,#N/A,FALSE,"단가표지"}</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장" localSheetId="8">#REF!</definedName>
    <definedName name="부장" localSheetId="2">#REF!</definedName>
    <definedName name="부장" localSheetId="1">#REF!</definedName>
    <definedName name="부장">#REF!</definedName>
    <definedName name="部長" localSheetId="8">#REF!</definedName>
    <definedName name="部長" localSheetId="2">#REF!</definedName>
    <definedName name="部長" localSheetId="1">#REF!</definedName>
    <definedName name="部長">#REF!</definedName>
    <definedName name="분" hidden="1">{#N/A,#N/A,FALSE,"손익표지";#N/A,#N/A,FALSE,"손익계산";#N/A,#N/A,FALSE,"일반관리비";#N/A,#N/A,FALSE,"영업외수익";#N/A,#N/A,FALSE,"영업외비용";#N/A,#N/A,FALSE,"매출액";#N/A,#N/A,FALSE,"요약손익";#N/A,#N/A,FALSE,"요약대차";#N/A,#N/A,FALSE,"매출채권현황";#N/A,#N/A,FALSE,"매출채권명세"}</definedName>
    <definedName name="분뇨1" localSheetId="8">#REF!</definedName>
    <definedName name="분뇨1" localSheetId="2">#REF!</definedName>
    <definedName name="분뇨1" localSheetId="1">#REF!</definedName>
    <definedName name="분뇨1">#REF!</definedName>
    <definedName name="분뇨2" localSheetId="8">#REF!</definedName>
    <definedName name="분뇨2" localSheetId="2">#REF!</definedName>
    <definedName name="분뇨2" localSheetId="1">#REF!</definedName>
    <definedName name="분뇨2">#REF!</definedName>
    <definedName name="분뇨3" localSheetId="8">#REF!</definedName>
    <definedName name="분뇨3" localSheetId="2">#REF!</definedName>
    <definedName name="분뇨3" localSheetId="1">#REF!</definedName>
    <definedName name="분뇨3">#REF!</definedName>
    <definedName name="분뇨4" localSheetId="8">#REF!</definedName>
    <definedName name="분뇨4" localSheetId="2">#REF!</definedName>
    <definedName name="분뇨4" localSheetId="1">#REF!</definedName>
    <definedName name="분뇨4">#REF!</definedName>
    <definedName name="분뇨5" localSheetId="8">#REF!</definedName>
    <definedName name="분뇨5" localSheetId="2">#REF!</definedName>
    <definedName name="분뇨5" localSheetId="1">#REF!</definedName>
    <definedName name="분뇨5">#REF!</definedName>
    <definedName name="분당협조" hidden="1">{#N/A,#N/A,FALSE,"이태원철근"}</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양" localSheetId="8">#REF!</definedName>
    <definedName name="분양" localSheetId="2">#REF!</definedName>
    <definedName name="분양" localSheetId="1">#REF!</definedName>
    <definedName name="분양">#REF!</definedName>
    <definedName name="備_________考" localSheetId="8">#REF!</definedName>
    <definedName name="備_________考" localSheetId="2">#REF!</definedName>
    <definedName name="備_________考" localSheetId="1">#REF!</definedName>
    <definedName name="備_________考">#REF!</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고" localSheetId="8">#REF!</definedName>
    <definedName name="비고" localSheetId="2">#REF!</definedName>
    <definedName name="비고" localSheetId="1">#REF!</definedName>
    <definedName name="비고">#REF!</definedName>
    <definedName name="비교" hidden="1">255</definedName>
    <definedName name="비교분석" localSheetId="8">#REF!</definedName>
    <definedName name="비교분석" localSheetId="2">#REF!</definedName>
    <definedName name="비교분석" localSheetId="1">#REF!</definedName>
    <definedName name="비교분석">#REF!</definedName>
    <definedName name="비교표1" hidden="1">255</definedName>
    <definedName name="비교표2" localSheetId="8" hidden="1">#REF!</definedName>
    <definedName name="비교표2" localSheetId="2" hidden="1">#REF!</definedName>
    <definedName name="비교표2" localSheetId="1" hidden="1">#REF!</definedName>
    <definedName name="비교표2" hidden="1">#REF!</definedName>
    <definedName name="비품" localSheetId="8">#REF!</definedName>
    <definedName name="비품" localSheetId="2">#REF!</definedName>
    <definedName name="비품" localSheetId="1">#REF!</definedName>
    <definedName name="비품">#REF!</definedName>
    <definedName name="빈칸" localSheetId="8">#REF!</definedName>
    <definedName name="빈칸" localSheetId="2">#REF!</definedName>
    <definedName name="빈칸" localSheetId="1">#REF!</definedName>
    <definedName name="빈칸">#REF!</definedName>
    <definedName name="ㅅ" hidden="1">{#N/A,#N/A,FALSE,"손익표지";#N/A,#N/A,FALSE,"손익계산";#N/A,#N/A,FALSE,"일반관리비";#N/A,#N/A,FALSE,"영업외수익";#N/A,#N/A,FALSE,"영업외비용";#N/A,#N/A,FALSE,"매출액";#N/A,#N/A,FALSE,"요약손익";#N/A,#N/A,FALSE,"요약대차";#N/A,#N/A,FALSE,"매출채권현황";#N/A,#N/A,FALSE,"매출채권명세"}</definedName>
    <definedName name="ㅅㄱㄷ" localSheetId="8" hidden="1">#REF!</definedName>
    <definedName name="ㅅㄱㄷ" localSheetId="2" hidden="1">#REF!</definedName>
    <definedName name="ㅅㄱㄷ" localSheetId="1" hidden="1">#REF!</definedName>
    <definedName name="ㅅㄱㄷ" hidden="1">#REF!</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8">#REF!</definedName>
    <definedName name="ㅅㅅ" localSheetId="2">#REF!</definedName>
    <definedName name="ㅅㅅ" localSheetId="1">#REF!</definedName>
    <definedName name="ㅅㅅ">#REF!</definedName>
    <definedName name="사" hidden="1">{#N/A,#N/A,FALSE,"지침";#N/A,#N/A,FALSE,"환경분석";#N/A,#N/A,FALSE,"Sheet16"}</definedName>
    <definedName name="사1" hidden="1">{#N/A,#N/A,FALSE,"지침";#N/A,#N/A,FALSE,"환경분석";#N/A,#N/A,FALSE,"Sheet16"}</definedName>
    <definedName name="사계계약고" localSheetId="8">#REF!</definedName>
    <definedName name="사계계약고" localSheetId="2">#REF!</definedName>
    <definedName name="사계계약고" localSheetId="1">#REF!</definedName>
    <definedName name="사계계약고">#REF!</definedName>
    <definedName name="사계비고" localSheetId="8">#REF!</definedName>
    <definedName name="사계비고" localSheetId="2">#REF!</definedName>
    <definedName name="사계비고" localSheetId="1">#REF!</definedName>
    <definedName name="사계비고">#REF!</definedName>
    <definedName name="사계소화" localSheetId="8">#REF!</definedName>
    <definedName name="사계소화" localSheetId="2">#REF!</definedName>
    <definedName name="사계소화" localSheetId="1">#REF!</definedName>
    <definedName name="사계소화">#REF!</definedName>
    <definedName name="사계전월실적" localSheetId="8">#REF!</definedName>
    <definedName name="사계전월실적" localSheetId="2">#REF!</definedName>
    <definedName name="사계전월실적" localSheetId="1">#REF!</definedName>
    <definedName name="사계전월실적">#REF!</definedName>
    <definedName name="사계투입" localSheetId="8">#REF!</definedName>
    <definedName name="사계투입" localSheetId="2">#REF!</definedName>
    <definedName name="사계투입" localSheetId="1">#REF!</definedName>
    <definedName name="사계투입">#REF!</definedName>
    <definedName name="사계현재실적" localSheetId="8">#REF!</definedName>
    <definedName name="사계현재실적" localSheetId="2">#REF!</definedName>
    <definedName name="사계현재실적" localSheetId="1">#REF!</definedName>
    <definedName name="사계현재실적">#REF!</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무조직" localSheetId="8">#REF!</definedName>
    <definedName name="사무조직" localSheetId="2">#REF!</definedName>
    <definedName name="사무조직" localSheetId="1">#REF!</definedName>
    <definedName name="사무조직">#REF!</definedName>
    <definedName name="사번" localSheetId="8">#REF!</definedName>
    <definedName name="사번" localSheetId="2">#REF!</definedName>
    <definedName name="사번" localSheetId="1">#REF!</definedName>
    <definedName name="사번">#REF!</definedName>
    <definedName name="사본">[0]!사본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8">#REF!</definedName>
    <definedName name="사업계획" localSheetId="2">#REF!</definedName>
    <definedName name="사업계획" localSheetId="1">#REF!</definedName>
    <definedName name="사업계획">#REF!</definedName>
    <definedName name="사업계획11" hidden="1">{#N/A,#N/A,FALSE,"이태원철근"}</definedName>
    <definedName name="사업구도사업" hidden="1">{#N/A,#N/A,FALSE,"이태원철근"}</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localSheetId="8" hidden="1">#REF!</definedName>
    <definedName name="사업부양식2" localSheetId="2" hidden="1">#REF!</definedName>
    <definedName name="사업부양식2" localSheetId="1" hidden="1">#REF!</definedName>
    <definedName name="사업부양식2" hidden="1">#REF!</definedName>
    <definedName name="사업수지" localSheetId="8">BlankMacro1</definedName>
    <definedName name="사업수지" localSheetId="2">BlankMacro1</definedName>
    <definedName name="사업수지" localSheetId="1">BlankMacro1</definedName>
    <definedName name="사업수지">BlankMacro1</definedName>
    <definedName name="사업실적" localSheetId="8">#REF!</definedName>
    <definedName name="사업실적" localSheetId="2">#REF!</definedName>
    <definedName name="사업실적" localSheetId="1">#REF!</definedName>
    <definedName name="사업실적">#REF!</definedName>
    <definedName name="사업원가" hidden="1">{#N/A,#N/A,FALSE,"이태원철근"}</definedName>
    <definedName name="사업원가2" hidden="1">{#N/A,#N/A,FALSE,"이태원철근"}</definedName>
    <definedName name="사원" localSheetId="8">#REF!</definedName>
    <definedName name="사원" localSheetId="2">#REF!</definedName>
    <definedName name="사원" localSheetId="1">#REF!</definedName>
    <definedName name="사원">#REF!</definedName>
    <definedName name="산업은행" hidden="1">{#N/A,#N/A,FALSE,"손익표지";#N/A,#N/A,FALSE,"손익계산";#N/A,#N/A,FALSE,"일반관리비";#N/A,#N/A,FALSE,"영업외수익";#N/A,#N/A,FALSE,"영업외비용";#N/A,#N/A,FALSE,"매출액";#N/A,#N/A,FALSE,"요약손익";#N/A,#N/A,FALSE,"요약대차";#N/A,#N/A,FALSE,"매출채권현황";#N/A,#N/A,FALSE,"매출채권명세"}</definedName>
    <definedName name="산출근거" localSheetId="8">BlankMacro1</definedName>
    <definedName name="산출근거" localSheetId="2">BlankMacro1</definedName>
    <definedName name="산출근거" localSheetId="1">BlankMacro1</definedName>
    <definedName name="산출근거">BlankMacro1</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여" localSheetId="8">#REF!</definedName>
    <definedName name="상여" localSheetId="2">#REF!</definedName>
    <definedName name="상여" localSheetId="1">#REF!</definedName>
    <definedName name="상여">#REF!</definedName>
    <definedName name="상표" localSheetId="8">#REF!</definedName>
    <definedName name="상표" localSheetId="2">#REF!</definedName>
    <definedName name="상표" localSheetId="1">#REF!</definedName>
    <definedName name="상표">#REF!</definedName>
    <definedName name="상표의장" localSheetId="8">#REF!</definedName>
    <definedName name="상표의장" localSheetId="2">#REF!</definedName>
    <definedName name="상표의장" localSheetId="1">#REF!</definedName>
    <definedName name="상표의장">#REF!</definedName>
    <definedName name="상표의장권" localSheetId="8">#REF!</definedName>
    <definedName name="상표의장권" localSheetId="2">#REF!</definedName>
    <definedName name="상표의장권" localSheetId="1">#REF!</definedName>
    <definedName name="상표의장권">#REF!</definedName>
    <definedName name="상품" localSheetId="8" hidden="1">#REF!</definedName>
    <definedName name="상품" localSheetId="2" hidden="1">#REF!</definedName>
    <definedName name="상품" localSheetId="1" hidden="1">#REF!</definedName>
    <definedName name="상품" hidden="1">#REF!</definedName>
    <definedName name="상환기일" localSheetId="8">#REF!</definedName>
    <definedName name="상환기일" localSheetId="2">#REF!</definedName>
    <definedName name="상환기일" localSheetId="1">#REF!</definedName>
    <definedName name="상환기일">#REF!</definedName>
    <definedName name="상환방법" localSheetId="8">#REF!</definedName>
    <definedName name="상환방법" localSheetId="2">#REF!</definedName>
    <definedName name="상환방법" localSheetId="1">#REF!</definedName>
    <definedName name="상환방법">#REF!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서기석" localSheetId="8">#REF!</definedName>
    <definedName name="서기석" localSheetId="2">#REF!</definedName>
    <definedName name="서기석" localSheetId="1">#REF!</definedName>
    <definedName name="서기석">#REF!</definedName>
    <definedName name="서비스" localSheetId="8">#REF!</definedName>
    <definedName name="서비스" localSheetId="2">#REF!</definedName>
    <definedName name="서비스" localSheetId="1">#REF!</definedName>
    <definedName name="서비스">#REF!</definedName>
    <definedName name="서재환" localSheetId="8">#REF!</definedName>
    <definedName name="서재환" localSheetId="2">#REF!</definedName>
    <definedName name="서재환" localSheetId="1">#REF!</definedName>
    <definedName name="서재환">#REF!</definedName>
    <definedName name="서진열" localSheetId="8">#REF!</definedName>
    <definedName name="서진열" localSheetId="2">#REF!</definedName>
    <definedName name="서진열" localSheetId="1">#REF!</definedName>
    <definedName name="서진열">#REF!</definedName>
    <definedName name="서초" localSheetId="8">#REF!</definedName>
    <definedName name="서초" localSheetId="2">#REF!</definedName>
    <definedName name="서초" localSheetId="1">#REF!</definedName>
    <definedName name="서초">#REF!</definedName>
    <definedName name="석대식" localSheetId="8">#REF!</definedName>
    <definedName name="석대식" localSheetId="2">#REF!</definedName>
    <definedName name="석대식" localSheetId="1">#REF!</definedName>
    <definedName name="석대식">#REF!</definedName>
    <definedName name="선종선" localSheetId="8">#REF!</definedName>
    <definedName name="선종선" localSheetId="2">#REF!</definedName>
    <definedName name="선종선" localSheetId="1">#REF!</definedName>
    <definedName name="선종선">#REF!</definedName>
    <definedName name="선투입추정" localSheetId="8">#REF!</definedName>
    <definedName name="선투입추정" localSheetId="2">#REF!</definedName>
    <definedName name="선투입추정" localSheetId="1">#REF!</definedName>
    <definedName name="선투입추정">#REF!</definedName>
    <definedName name="설" hidden="1">{#N/A,#N/A,TRUE,"총괄"}</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성" hidden="1">{#N/A,#N/A,FALSE,"손익표지";#N/A,#N/A,FALSE,"손익계산";#N/A,#N/A,FALSE,"일반관리비";#N/A,#N/A,FALSE,"영업외수익";#N/A,#N/A,FALSE,"영업외비용";#N/A,#N/A,FALSE,"매출액";#N/A,#N/A,FALSE,"요약손익";#N/A,#N/A,FALSE,"요약대차";#N/A,#N/A,FALSE,"매출채권현황";#N/A,#N/A,FALSE,"매출채권명세"}</definedName>
    <definedName name="성명" localSheetId="8">#REF!</definedName>
    <definedName name="성명" localSheetId="2">#REF!</definedName>
    <definedName name="성명" localSheetId="1">#REF!</definedName>
    <definedName name="성명">#REF!</definedName>
    <definedName name="세금" localSheetId="8">#REF!</definedName>
    <definedName name="세금" localSheetId="2">#REF!</definedName>
    <definedName name="세금" localSheetId="1">#REF!</definedName>
    <definedName name="세금">#REF!</definedName>
    <definedName name="세금과공과" localSheetId="8">#REF!</definedName>
    <definedName name="세금과공과" localSheetId="2">#REF!</definedName>
    <definedName name="세금과공과" localSheetId="1">#REF!</definedName>
    <definedName name="세금과공과">#REF!</definedName>
    <definedName name="세륜소각손료" localSheetId="8">#REF!</definedName>
    <definedName name="세륜소각손료" localSheetId="2">#REF!</definedName>
    <definedName name="세륜소각손료" localSheetId="1">#REF!</definedName>
    <definedName name="세륜소각손료">#REF!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욱" localSheetId="8">#REF!</definedName>
    <definedName name="세욱" localSheetId="2">#REF!</definedName>
    <definedName name="세욱" localSheetId="1">#REF!</definedName>
    <definedName name="세욱">#REF!</definedName>
    <definedName name="세율" localSheetId="8">#REF!</definedName>
    <definedName name="세율" localSheetId="2">#REF!</definedName>
    <definedName name="세율" localSheetId="1">#REF!</definedName>
    <definedName name="세율">#REF!</definedName>
    <definedName name="세전익익" hidden="1">{#N/A,#N/A,FALSE,"지침";#N/A,#N/A,FALSE,"환경분석";#N/A,#N/A,FALSE,"Sheet16"}</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모" localSheetId="8">#REF!</definedName>
    <definedName name="소모" localSheetId="2">#REF!</definedName>
    <definedName name="소모" localSheetId="1">#REF!</definedName>
    <definedName name="소모">#REF!</definedName>
    <definedName name="소모품비" localSheetId="8">#REF!</definedName>
    <definedName name="소모품비" localSheetId="2">#REF!</definedName>
    <definedName name="소모품비" localSheetId="1">#REF!</definedName>
    <definedName name="소모품비">#REF!</definedName>
    <definedName name="소방" hidden="1">{"SJ - 기본 보기",#N/A,FALSE,"공사별 외주견적"}</definedName>
    <definedName name="소선" hidden="1">{#N/A,#N/A,FALSE,"손익표지";#N/A,#N/A,FALSE,"손익계산";#N/A,#N/A,FALSE,"일반관리비";#N/A,#N/A,FALSE,"영업외수익";#N/A,#N/A,FALSE,"영업외비용";#N/A,#N/A,FALSE,"매출액";#N/A,#N/A,FALSE,"요약손익";#N/A,#N/A,FALSE,"요약대차";#N/A,#N/A,FALSE,"매출채권현황";#N/A,#N/A,FALSE,"매출채권명세"}</definedName>
    <definedName name="소속" localSheetId="8">#REF!</definedName>
    <definedName name="소속" localSheetId="2">#REF!</definedName>
    <definedName name="소속" localSheetId="1">#REF!</definedName>
    <definedName name="소속">#REF!</definedName>
    <definedName name="소집통지서" localSheetId="8">#REF!</definedName>
    <definedName name="소집통지서" localSheetId="2">#REF!</definedName>
    <definedName name="소집통지서" localSheetId="1">#REF!</definedName>
    <definedName name="소집통지서">#REF!</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두형" localSheetId="8">#REF!</definedName>
    <definedName name="손두형" localSheetId="2">#REF!</definedName>
    <definedName name="손두형" localSheetId="1">#REF!</definedName>
    <definedName name="손두형">#REF!</definedName>
    <definedName name="손영일" localSheetId="8">#REF!</definedName>
    <definedName name="손영일" localSheetId="2">#REF!</definedName>
    <definedName name="손영일" localSheetId="1">#REF!</definedName>
    <definedName name="손영일">#REF!</definedName>
    <definedName name="손익_신탁" localSheetId="8">#REF!</definedName>
    <definedName name="손익_신탁" localSheetId="2">#REF!</definedName>
    <definedName name="손익_신탁" localSheetId="1">#REF!</definedName>
    <definedName name="손익_신탁">#REF!</definedName>
    <definedName name="손익_은행" localSheetId="8">#REF!</definedName>
    <definedName name="손익_은행" localSheetId="2">#REF!</definedName>
    <definedName name="손익_은행" localSheetId="1">#REF!</definedName>
    <definedName name="손익_은행">#REF!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분석" hidden="1">{#N/A,#N/A,FALSE,"손익표지";#N/A,#N/A,FALSE,"손익계산";#N/A,#N/A,FALSE,"일반관리비";#N/A,#N/A,FALSE,"영업외수익";#N/A,#N/A,FALSE,"영업외비용";#N/A,#N/A,FALSE,"매출액";#N/A,#N/A,FALSE,"요약손익";#N/A,#N/A,FALSE,"요약대차";#N/A,#N/A,FALSE,"매출채권현황";#N/A,#N/A,FALSE,"매출채권명세"}</definedName>
    <definedName name="손주표" localSheetId="8">#REF!</definedName>
    <definedName name="손주표" localSheetId="2">#REF!</definedName>
    <definedName name="손주표" localSheetId="1">#REF!</definedName>
    <definedName name="손주표">#REF!</definedName>
    <definedName name="송상현12" localSheetId="8" hidden="1">#REF!</definedName>
    <definedName name="송상현12" localSheetId="2" hidden="1">#REF!</definedName>
    <definedName name="송상현12" localSheetId="1" hidden="1">#REF!</definedName>
    <definedName name="송상현12" hidden="1">#REF!</definedName>
    <definedName name="송석근" localSheetId="8">#REF!</definedName>
    <definedName name="송석근" localSheetId="2">#REF!</definedName>
    <definedName name="송석근" localSheetId="1">#REF!</definedName>
    <definedName name="송석근">#REF!</definedName>
    <definedName name="송종웅" localSheetId="8">#REF!</definedName>
    <definedName name="송종웅" localSheetId="2">#REF!</definedName>
    <definedName name="송종웅" localSheetId="1">#REF!</definedName>
    <definedName name="송종웅">#REF!</definedName>
    <definedName name="수">#N/A</definedName>
    <definedName name="수_량">#N/A</definedName>
    <definedName name="수금" localSheetId="8">#REF!</definedName>
    <definedName name="수금" localSheetId="2">#REF!</definedName>
    <definedName name="수금" localSheetId="1">#REF!</definedName>
    <definedName name="수금">#REF!</definedName>
    <definedName name="수금3" localSheetId="8">#REF!</definedName>
    <definedName name="수금3" localSheetId="2">#REF!</definedName>
    <definedName name="수금3" localSheetId="1">#REF!</definedName>
    <definedName name="수금3">#REF!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 localSheetId="8">#REF!</definedName>
    <definedName name="수도" localSheetId="2">#REF!</definedName>
    <definedName name="수도" localSheetId="1">#REF!</definedName>
    <definedName name="수도">#REF!</definedName>
    <definedName name="수도광열비" localSheetId="8">#REF!</definedName>
    <definedName name="수도광열비" localSheetId="2">#REF!</definedName>
    <definedName name="수도광열비" localSheetId="1">#REF!</definedName>
    <definedName name="수도광열비">#REF!</definedName>
    <definedName name="수량산출" localSheetId="8">BlankMacro1</definedName>
    <definedName name="수량산출" localSheetId="2">BlankMacro1</definedName>
    <definedName name="수량산출" localSheetId="1">BlankMacro1</definedName>
    <definedName name="수량산출">BlankMacro1</definedName>
    <definedName name="수량산출2" localSheetId="8">BlankMacro1</definedName>
    <definedName name="수량산출2" localSheetId="2">BlankMacro1</definedName>
    <definedName name="수량산출2" localSheetId="1">BlankMacro1</definedName>
    <definedName name="수량산출2">BlankMacro1</definedName>
    <definedName name="수량산출5" localSheetId="8">BlankMacro1</definedName>
    <definedName name="수량산출5" localSheetId="2">BlankMacro1</definedName>
    <definedName name="수량산출5" localSheetId="1">BlankMacro1</definedName>
    <definedName name="수량산출5">BlankMacro1</definedName>
    <definedName name="수리" localSheetId="8">#REF!</definedName>
    <definedName name="수리" localSheetId="2">#REF!</definedName>
    <definedName name="수리" localSheetId="1">#REF!</definedName>
    <definedName name="수리">#REF!</definedName>
    <definedName name="수리수선비" localSheetId="8">#REF!</definedName>
    <definedName name="수리수선비" localSheetId="2">#REF!</definedName>
    <definedName name="수리수선비" localSheetId="1">#REF!</definedName>
    <definedName name="수리수선비">#REF!</definedName>
    <definedName name="수수">#N/A</definedName>
    <definedName name="수수수">#N/A</definedName>
    <definedName name="수수실적7월">#N/A</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계획" localSheetId="8">#REF!</definedName>
    <definedName name="수입계획" localSheetId="2">#REF!</definedName>
    <definedName name="수입계획" localSheetId="1">#REF!</definedName>
    <definedName name="수입계획">#REF!</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기타" localSheetId="8">#REF!</definedName>
    <definedName name="수주기타" localSheetId="2">#REF!</definedName>
    <definedName name="수주기타" localSheetId="1">#REF!</definedName>
    <definedName name="수주기타">#REF!</definedName>
    <definedName name="수주도심" localSheetId="8">#REF!</definedName>
    <definedName name="수주도심" localSheetId="2">#REF!</definedName>
    <definedName name="수주도심" localSheetId="1">#REF!</definedName>
    <definedName name="수주도심">#REF!</definedName>
    <definedName name="수주실적" localSheetId="8">#REF!</definedName>
    <definedName name="수주실적" localSheetId="2">#REF!</definedName>
    <definedName name="수주실적" localSheetId="1">#REF!</definedName>
    <definedName name="수주실적">#REF!</definedName>
    <definedName name="수주실적및전망3" localSheetId="8">#REF!</definedName>
    <definedName name="수주실적및전망3" localSheetId="2">#REF!</definedName>
    <definedName name="수주실적및전망3" localSheetId="1">#REF!</definedName>
    <definedName name="수주실적및전망3">#REF!</definedName>
    <definedName name="수지부문" localSheetId="8">#REF!,#REF!,#REF!,#REF!,#REF!,#REF!,#REF!,#REF!</definedName>
    <definedName name="수지부문" localSheetId="2">#REF!,#REF!,#REF!,#REF!,#REF!,#REF!,#REF!,#REF!</definedName>
    <definedName name="수지부문" localSheetId="1">#REF!,#REF!,#REF!,#REF!,#REF!,#REF!,#REF!,#REF!</definedName>
    <definedName name="수지부문">#REF!,#REF!,#REF!,#REF!,#REF!,#REF!,#REF!,#REF!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 localSheetId="8">#REF!</definedName>
    <definedName name="순천_연향_1차" localSheetId="2">#REF!</definedName>
    <definedName name="순천_연향_1차" localSheetId="1">#REF!</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시간" localSheetId="8">#REF!</definedName>
    <definedName name="시간" localSheetId="2">#REF!</definedName>
    <definedName name="시간" localSheetId="1">#REF!</definedName>
    <definedName name="시간">#REF!</definedName>
    <definedName name="시공여유" localSheetId="8">#REF!</definedName>
    <definedName name="시공여유" localSheetId="2">#REF!</definedName>
    <definedName name="시공여유" localSheetId="1">#REF!</definedName>
    <definedName name="시공여유">#REF!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장" localSheetId="8">#REF!</definedName>
    <definedName name="시장" localSheetId="2">#REF!</definedName>
    <definedName name="시장" localSheetId="1">#REF!</definedName>
    <definedName name="시장">#REF!</definedName>
    <definedName name="시행" hidden="1">{#N/A,#N/A,FALSE,"이태원철근"}</definedName>
    <definedName name="시행연혁및개요" hidden="1">{#N/A,#N/A,FALSE,"손익표지";#N/A,#N/A,FALSE,"손익계산";#N/A,#N/A,FALSE,"일반관리비";#N/A,#N/A,FALSE,"영업외수익";#N/A,#N/A,FALSE,"영업외비용";#N/A,#N/A,FALSE,"매출액";#N/A,#N/A,FALSE,"요약손익";#N/A,#N/A,FALSE,"요약대차";#N/A,#N/A,FALSE,"매출채권현황";#N/A,#N/A,FALSE,"매출채권명세"}</definedName>
    <definedName name="식당" localSheetId="8">#REF!</definedName>
    <definedName name="식당" localSheetId="2">#REF!</definedName>
    <definedName name="식당" localSheetId="1">#REF!</definedName>
    <definedName name="식당">#REF!</definedName>
    <definedName name="식비" localSheetId="8">#REF!</definedName>
    <definedName name="식비" localSheetId="2">#REF!</definedName>
    <definedName name="식비" localSheetId="1">#REF!</definedName>
    <definedName name="식비">#REF!</definedName>
    <definedName name="식수" localSheetId="8">#REF!</definedName>
    <definedName name="식수" localSheetId="2">#REF!</definedName>
    <definedName name="식수" localSheetId="1">#REF!</definedName>
    <definedName name="식수">#REF!</definedName>
    <definedName name="신규" localSheetId="8">#REF!</definedName>
    <definedName name="신규" localSheetId="2">#REF!</definedName>
    <definedName name="신규" localSheetId="1">#REF!</definedName>
    <definedName name="신규">#REF!</definedName>
    <definedName name="신규계획97" localSheetId="8">#REF!</definedName>
    <definedName name="신규계획97" localSheetId="2">#REF!</definedName>
    <definedName name="신규계획97" localSheetId="1">#REF!</definedName>
    <definedName name="신규계획97">#REF!</definedName>
    <definedName name="新規工事_計">#N/A</definedName>
    <definedName name="新規工事_小計" localSheetId="8">#REF!</definedName>
    <definedName name="新規工事_小計" localSheetId="2">#REF!</definedName>
    <definedName name="新規工事_小計" localSheetId="1">#REF!</definedName>
    <definedName name="新規工事_小計">#REF!</definedName>
    <definedName name="신규사업97" localSheetId="8">#REF!</definedName>
    <definedName name="신규사업97" localSheetId="2">#REF!</definedName>
    <definedName name="신규사업97" localSheetId="1">#REF!</definedName>
    <definedName name="신규사업97">#REF!</definedName>
    <definedName name="新規推進__小計" localSheetId="8">#REF!</definedName>
    <definedName name="新規推進__小計" localSheetId="2">#REF!</definedName>
    <definedName name="新規推進__小計" localSheetId="1">#REF!</definedName>
    <definedName name="新規推進__小計">#REF!</definedName>
    <definedName name="신기본급" localSheetId="8">#REF!</definedName>
    <definedName name="신기본급" localSheetId="2">#REF!</definedName>
    <definedName name="신기본급" localSheetId="1">#REF!</definedName>
    <definedName name="신기본급">#REF!</definedName>
    <definedName name="신업무분" hidden="1">{#N/A,#N/A,FALSE,"손익표지";#N/A,#N/A,FALSE,"손익계산";#N/A,#N/A,FALSE,"일반관리비";#N/A,#N/A,FALSE,"영업외수익";#N/A,#N/A,FALSE,"영업외비용";#N/A,#N/A,FALSE,"매출액";#N/A,#N/A,FALSE,"요약손익";#N/A,#N/A,FALSE,"요약대차";#N/A,#N/A,FALSE,"매출채권현황";#N/A,#N/A,FALSE,"매출채권명세"}</definedName>
    <definedName name="신원" hidden="1">{#N/A,"평상기적용",FALSE,"입장료";#N/A,#N/A,FALSE,"매출총괄";#N/A,#N/A,FALSE,"월별손익"}</definedName>
    <definedName name="신인도" localSheetId="8">#REF!</definedName>
    <definedName name="신인도" localSheetId="2">#REF!</definedName>
    <definedName name="신인도" localSheetId="1">#REF!</definedName>
    <definedName name="신인도">#REF!</definedName>
    <definedName name="신헌식" localSheetId="8">#REF!</definedName>
    <definedName name="신헌식" localSheetId="2">#REF!</definedName>
    <definedName name="신헌식" localSheetId="1">#REF!</definedName>
    <definedName name="신헌식">#REF!</definedName>
    <definedName name="신훈" localSheetId="8">#REF!</definedName>
    <definedName name="신훈" localSheetId="2">#REF!</definedName>
    <definedName name="신훈" localSheetId="1">#REF!</definedName>
    <definedName name="신훈">#REF!</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금액" localSheetId="8">#REF!</definedName>
    <definedName name="실행금액" localSheetId="2">#REF!</definedName>
    <definedName name="실행금액" localSheetId="1">#REF!</definedName>
    <definedName name="실행금액">#REF!</definedName>
    <definedName name="ㅇ">[0]!ㅇ</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ㅁㄴㅁㄴㅇㄴㅇㅁㄴㅇㅁㄴㅇㅁㄴㅇㅇㄴㄴㅇㅇㄴㅁ">#N/A</definedName>
    <definedName name="ㅇㄴㅇ">#N/A</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#N/A</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{"Book1","공동준비.xls"}</definedName>
    <definedName name="ㅇㄹㄹ">#N/A</definedName>
    <definedName name="ㅇㄹㅇ" localSheetId="8">#REF!</definedName>
    <definedName name="ㅇㄹㅇ" localSheetId="2">#REF!</definedName>
    <definedName name="ㅇㄹㅇ" localSheetId="1">#REF!</definedName>
    <definedName name="ㅇㄹㅇ">#REF!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롷ㄷㄱㅎ" hidden="1">{#N/A,#N/A,FALSE,"손익표지";#N/A,#N/A,FALSE,"손익계산";#N/A,#N/A,FALSE,"일반관리비";#N/A,#N/A,FALSE,"영업외수익";#N/A,#N/A,FALSE,"영업외비용";#N/A,#N/A,FALSE,"매출액";#N/A,#N/A,FALSE,"요약손익";#N/A,#N/A,FALSE,"요약대차";#N/A,#N/A,FALSE,"매출채권현황";#N/A,#N/A,FALSE,"매출채권명세"}</definedName>
    <definedName name="ㅇㄻㅇ" hidden="1">{#N/A,#N/A,FALSE,"이태원철근"}</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8" hidden="1">#REF!</definedName>
    <definedName name="ㅇㅇ" localSheetId="2" hidden="1">#REF!</definedName>
    <definedName name="ㅇㅇ" localSheetId="1" hidden="1">#REF!</definedName>
    <definedName name="ㅇㅇ" hidden="1">#REF!</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#N/A</definedName>
    <definedName name="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ㅇ" hidden="1">{#N/A,#N/A,FALSE,"이태원철근"}</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localSheetId="8" hidden="1">#REF!</definedName>
    <definedName name="ㅇㅎ" localSheetId="2" hidden="1">#REF!</definedName>
    <definedName name="ㅇㅎ" localSheetId="1" hidden="1">#REF!</definedName>
    <definedName name="ㅇㅎ" hidden="1">#REF!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손익표지";#N/A,#N/A,FALSE,"손익계산";#N/A,#N/A,FALSE,"일반관리비";#N/A,#N/A,FALSE,"영업외수익";#N/A,#N/A,FALSE,"영업외비용";#N/A,#N/A,FALSE,"매출액";#N/A,#N/A,FALSE,"요약손익";#N/A,#N/A,FALSE,"요약대차";#N/A,#N/A,FALSE,"매출채권현황";#N/A,#N/A,FALSE,"매출채권명세"}</definedName>
    <definedName name="아무" localSheetId="8">#REF!</definedName>
    <definedName name="아무" localSheetId="2">#REF!</definedName>
    <definedName name="아무" localSheetId="1">#REF!</definedName>
    <definedName name="아무">#REF!</definedName>
    <definedName name="아시아나" hidden="1">{#N/A,"성수기월요개장(평일이용율5%개선)",FALSE,"내장계획";#N/A,#N/A,FALSE,"매출총괄";#N/A,#N/A,FALSE,"월별손익"}</definedName>
    <definedName name="아아" localSheetId="8">#REF!</definedName>
    <definedName name="아아" localSheetId="2">#REF!</definedName>
    <definedName name="아아" localSheetId="1">#REF!</definedName>
    <definedName name="아아">#REF!</definedName>
    <definedName name="아ㅏ아ㅏ" hidden="1">{#N/A,#N/A,FALSE,"이태원철근"}</definedName>
    <definedName name="아ㅏㅏㅏㅏ" hidden="1">{#N/A,#N/A,FALSE,"이태원철근"}</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안산">#N/A</definedName>
    <definedName name="안성진행" localSheetId="8">#REF!</definedName>
    <definedName name="안성진행" localSheetId="2">#REF!</definedName>
    <definedName name="안성진행" localSheetId="1">#REF!</definedName>
    <definedName name="안성진행">#REF!</definedName>
    <definedName name="안성진행2" localSheetId="8">#REF!</definedName>
    <definedName name="안성진행2" localSheetId="2">#REF!</definedName>
    <definedName name="안성진행2" localSheetId="1">#REF!</definedName>
    <definedName name="안성진행2">#REF!</definedName>
    <definedName name="안성청산" localSheetId="8">#REF!</definedName>
    <definedName name="안성청산" localSheetId="2">#REF!</definedName>
    <definedName name="안성청산" localSheetId="1">#REF!</definedName>
    <definedName name="안성청산">#REF!</definedName>
    <definedName name="안양" hidden="1">{#N/A,"평상기적용",FALSE,"입장료";#N/A,#N/A,FALSE,"매출총괄";#N/A,#N/A,FALSE,"월별손익"}</definedName>
    <definedName name="안효진행" localSheetId="8">#REF!</definedName>
    <definedName name="안효진행" localSheetId="2">#REF!</definedName>
    <definedName name="안효진행" localSheetId="1">#REF!</definedName>
    <definedName name="안효진행">#REF!</definedName>
    <definedName name="안효청산" localSheetId="8">#REF!</definedName>
    <definedName name="안효청산" localSheetId="2">#REF!</definedName>
    <definedName name="안효청산" localSheetId="1">#REF!</definedName>
    <definedName name="안효청산">#REF!</definedName>
    <definedName name="앙" hidden="1">{#N/A,#N/A,FALSE,"손익표지";#N/A,#N/A,FALSE,"손익계산";#N/A,#N/A,FALSE,"일반관리비";#N/A,#N/A,FALSE,"영업외수익";#N/A,#N/A,FALSE,"영업외비용";#N/A,#N/A,FALSE,"매출액";#N/A,#N/A,FALSE,"요약손익";#N/A,#N/A,FALSE,"요약대차";#N/A,#N/A,FALSE,"매출채권현황";#N/A,#N/A,FALSE,"매출채권명세"}</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양" hidden="1">{#N/A,#N/A,FALSE,"손익표지";#N/A,#N/A,FALSE,"손익계산";#N/A,#N/A,FALSE,"일반관리비";#N/A,#N/A,FALSE,"영업외수익";#N/A,#N/A,FALSE,"영업외비용";#N/A,#N/A,FALSE,"매출액";#N/A,#N/A,FALSE,"요약손익";#N/A,#N/A,FALSE,"요약대차";#N/A,#N/A,FALSE,"매출채권현황";#N/A,#N/A,FALSE,"매출채권명세"}</definedName>
    <definedName name="양광호" localSheetId="8">#REF!</definedName>
    <definedName name="양광호" localSheetId="2">#REF!</definedName>
    <definedName name="양광호" localSheetId="1">#REF!</definedName>
    <definedName name="양광호">#REF!</definedName>
    <definedName name="양동일" localSheetId="8">#REF!</definedName>
    <definedName name="양동일" localSheetId="2">#REF!</definedName>
    <definedName name="양동일" localSheetId="1">#REF!</definedName>
    <definedName name="양동일">#REF!</definedName>
    <definedName name="양산" hidden="1">{#N/A,#N/A,FALSE,"손익표지";#N/A,#N/A,FALSE,"손익계산";#N/A,#N/A,FALSE,"일반관리비";#N/A,#N/A,FALSE,"영업외수익";#N/A,#N/A,FALSE,"영업외비용";#N/A,#N/A,FALSE,"매출액";#N/A,#N/A,FALSE,"요약손익";#N/A,#N/A,FALSE,"요약대차";#N/A,#N/A,FALSE,"매출채권현황";#N/A,#N/A,FALSE,"매출채권명세"}</definedName>
    <definedName name="양산손익"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어라얼" hidden="1">{#N/A,#N/A,FALSE,"손익표지";#N/A,#N/A,FALSE,"손익계산";#N/A,#N/A,FALSE,"일반관리비";#N/A,#N/A,FALSE,"영업외수익";#N/A,#N/A,FALSE,"영업외비용";#N/A,#N/A,FALSE,"매출액";#N/A,#N/A,FALSE,"요약손익";#N/A,#N/A,FALSE,"요약대차";#N/A,#N/A,FALSE,"매출채권현황";#N/A,#N/A,FALSE,"매출채권명세"}</definedName>
    <definedName name="어ㅓㅓㅓㅓ" hidden="1">{#N/A,#N/A,FALSE,"이태원철근"}</definedName>
    <definedName name="업무" localSheetId="8">#REF!</definedName>
    <definedName name="업무" localSheetId="2">#REF!</definedName>
    <definedName name="업무" localSheetId="1">#REF!</definedName>
    <definedName name="업무">#REF!</definedName>
    <definedName name="업무분장계획" localSheetId="8">#REF!</definedName>
    <definedName name="업무분장계획" localSheetId="2">#REF!</definedName>
    <definedName name="업무분장계획" localSheetId="1">#REF!</definedName>
    <definedName name="업무분장계획">#REF!</definedName>
    <definedName name="업체명" localSheetId="8">#REF!</definedName>
    <definedName name="업체명" localSheetId="2">#REF!</definedName>
    <definedName name="업체명" localSheetId="1">#REF!</definedName>
    <definedName name="업체명">#REF!</definedName>
    <definedName name="업체명1" localSheetId="8">#REF!</definedName>
    <definedName name="업체명1" localSheetId="2">#REF!</definedName>
    <definedName name="업체명1" localSheetId="1">#REF!</definedName>
    <definedName name="업체명1">#REF!</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음" localSheetId="8">#REF!</definedName>
    <definedName name="없음" localSheetId="2">#REF!</definedName>
    <definedName name="없음" localSheetId="1">#REF!</definedName>
    <definedName name="없음">#REF!</definedName>
    <definedName name="엔">119.25</definedName>
    <definedName name="여신" localSheetId="8">#REF!</definedName>
    <definedName name="여신" localSheetId="2">#REF!</definedName>
    <definedName name="여신" localSheetId="1">#REF!</definedName>
    <definedName name="여신">#REF!</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기" hidden="1">{#N/A,#N/A,FALSE,"손익표지";#N/A,#N/A,FALSE,"손익계산";#N/A,#N/A,FALSE,"일반관리비";#N/A,#N/A,FALSE,"영업외수익";#N/A,#N/A,FALSE,"영업외비용";#N/A,#N/A,FALSE,"매출액";#N/A,#N/A,FALSE,"요약손익";#N/A,#N/A,FALSE,"요약대차";#N/A,#N/A,FALSE,"매출채권현황";#N/A,#N/A,FALSE,"매출채권명세"}</definedName>
    <definedName name="연기골프"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장OT" localSheetId="8">#REF!</definedName>
    <definedName name="연장OT" localSheetId="2">#REF!</definedName>
    <definedName name="연장OT" localSheetId="1">#REF!</definedName>
    <definedName name="연장OT">#REF!</definedName>
    <definedName name="연장OT2" localSheetId="8">#REF!</definedName>
    <definedName name="연장OT2" localSheetId="2">#REF!</definedName>
    <definedName name="연장OT2" localSheetId="1">#REF!</definedName>
    <definedName name="연장OT2">#REF!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선" localSheetId="8">#REF!</definedName>
    <definedName name="영선" localSheetId="2">#REF!</definedName>
    <definedName name="영선" localSheetId="1">#REF!</definedName>
    <definedName name="영선">#REF!</definedName>
    <definedName name="영업" localSheetId="8">#REF!</definedName>
    <definedName name="영업" localSheetId="2">#REF!</definedName>
    <definedName name="영업" localSheetId="1">#REF!</definedName>
    <definedName name="영업">#REF!</definedName>
    <definedName name="영업1" localSheetId="8">#REF!</definedName>
    <definedName name="영업1" localSheetId="2">#REF!</definedName>
    <definedName name="영업1" localSheetId="1">#REF!</definedName>
    <definedName name="영업1">#REF!</definedName>
    <definedName name="영업2" localSheetId="8">#REF!</definedName>
    <definedName name="영업2" localSheetId="2">#REF!</definedName>
    <definedName name="영업2" localSheetId="1">#REF!</definedName>
    <definedName name="영업2">#REF!</definedName>
    <definedName name="영업계획" localSheetId="8">#REF!</definedName>
    <definedName name="영업계획" localSheetId="2">#REF!</definedName>
    <definedName name="영업계획" localSheetId="1">#REF!</definedName>
    <definedName name="영업계획">#REF!</definedName>
    <definedName name="영업실적" localSheetId="8">#REF!</definedName>
    <definedName name="영업실적" localSheetId="2">#REF!</definedName>
    <definedName name="영업실적" localSheetId="1">#REF!</definedName>
    <definedName name="영업실적">#REF!</definedName>
    <definedName name="영업실적03년10월" hidden="1">{#N/A,#N/A,FALSE,"손익표지";#N/A,#N/A,FALSE,"손익계산";#N/A,#N/A,FALSE,"일반관리비";#N/A,#N/A,FALSE,"영업외수익";#N/A,#N/A,FALSE,"영업외비용";#N/A,#N/A,FALSE,"매출액";#N/A,#N/A,FALSE,"요약손익";#N/A,#N/A,FALSE,"요약대차";#N/A,#N/A,FALSE,"매출채권현황";#N/A,#N/A,FALSE,"매출채권명세"}</definedName>
    <definedName name="영업외비용_특별손실">#N/A</definedName>
    <definedName name="영업외수지" localSheetId="8">#REF!</definedName>
    <definedName name="영업외수지" localSheetId="2">#REF!</definedName>
    <definedName name="영업외수지" localSheetId="1">#REF!</definedName>
    <definedName name="영업외수지">#REF!</definedName>
    <definedName name="영업현금" hidden="1">{#N/A,#N/A,FALSE,"지침";#N/A,#N/A,FALSE,"환경분석";#N/A,#N/A,FALSE,"Sheet16"}</definedName>
    <definedName name="영역" localSheetId="8">#REF!</definedName>
    <definedName name="영역" localSheetId="2">#REF!</definedName>
    <definedName name="영역" localSheetId="1">#REF!</definedName>
    <definedName name="영역">#REF!</definedName>
    <definedName name="영역1" localSheetId="8">#REF!</definedName>
    <definedName name="영역1" localSheetId="2">#REF!</definedName>
    <definedName name="영역1" localSheetId="1">#REF!</definedName>
    <definedName name="영역1">#REF!</definedName>
    <definedName name="예" localSheetId="8">#REF!</definedName>
    <definedName name="예" localSheetId="2">#REF!</definedName>
    <definedName name="예" localSheetId="1">#REF!</definedName>
    <definedName name="예">#REF!</definedName>
    <definedName name="예가번호" localSheetId="8">#REF!</definedName>
    <definedName name="예가번호" localSheetId="2">#REF!</definedName>
    <definedName name="예가번호" localSheetId="1">#REF!</definedName>
    <definedName name="예가번호">#REF!</definedName>
    <definedName name="예산" localSheetId="8">#REF!</definedName>
    <definedName name="예산" localSheetId="2">#REF!</definedName>
    <definedName name="예산" localSheetId="1">#REF!</definedName>
    <definedName name="예산">#REF!</definedName>
    <definedName name="예산대비" localSheetId="8">#REF!</definedName>
    <definedName name="예산대비" localSheetId="2">#REF!</definedName>
    <definedName name="예산대비" localSheetId="1">#REF!</definedName>
    <definedName name="예산대비">#REF!</definedName>
    <definedName name="예수금" localSheetId="8">#REF!</definedName>
    <definedName name="예수금" localSheetId="2">#REF!</definedName>
    <definedName name="예수금" localSheetId="1">#REF!</definedName>
    <definedName name="예수금">#REF!</definedName>
    <definedName name="오" hidden="1">{#N/A,#N/A,FALSE,"Sheet1"}</definedName>
    <definedName name="오1" localSheetId="8">#REF!</definedName>
    <definedName name="오1" localSheetId="2">#REF!</definedName>
    <definedName name="오1" localSheetId="1">#REF!</definedName>
    <definedName name="오1">#REF!</definedName>
    <definedName name="오2" localSheetId="8">#REF!</definedName>
    <definedName name="오2" localSheetId="2">#REF!</definedName>
    <definedName name="오2" localSheetId="1">#REF!</definedName>
    <definedName name="오2">#REF!</definedName>
    <definedName name="오3" localSheetId="8">#REF!</definedName>
    <definedName name="오3" localSheetId="2">#REF!</definedName>
    <definedName name="오3" localSheetId="1">#REF!</definedName>
    <definedName name="오3">#REF!</definedName>
    <definedName name="오남수" localSheetId="8">#REF!</definedName>
    <definedName name="오남수" localSheetId="2">#REF!</definedName>
    <definedName name="오남수" localSheetId="1">#REF!</definedName>
    <definedName name="오남수">#REF!</definedName>
    <definedName name="오세철" localSheetId="8">#REF!</definedName>
    <definedName name="오세철" localSheetId="2">#REF!</definedName>
    <definedName name="오세철" localSheetId="1">#REF!</definedName>
    <definedName name="오세철">#REF!</definedName>
    <definedName name="옥외대비" hidden="1">{#N/A,#N/A,FALSE,"이태원철근"}</definedName>
    <definedName name="온용현" localSheetId="8">#REF!</definedName>
    <definedName name="온용현" localSheetId="2">#REF!</definedName>
    <definedName name="온용현" localSheetId="1">#REF!</definedName>
    <definedName name="온용현">#REF!</definedName>
    <definedName name="올랩" localSheetId="8">#REF!</definedName>
    <definedName name="올랩" localSheetId="2">#REF!</definedName>
    <definedName name="올랩" localSheetId="1">#REF!</definedName>
    <definedName name="올랩">#REF!</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완공" localSheetId="8">#REF!</definedName>
    <definedName name="완공" localSheetId="2">#REF!</definedName>
    <definedName name="완공" localSheetId="1">#REF!</definedName>
    <definedName name="완공">#REF!</definedName>
    <definedName name="完工工事_計">#N/A</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우" localSheetId="8" xml:space="preserve"> IF(#REF!&lt;0, 0,#REF!)</definedName>
    <definedName name="우" localSheetId="2" xml:space="preserve"> IF(#REF!&lt;0, 0,#REF!)</definedName>
    <definedName name="우" localSheetId="1" xml:space="preserve"> IF(#REF!&lt;0, 0,#REF!)</definedName>
    <definedName name="우" xml:space="preserve"> IF(#REF!&lt;0, 0,#REF!)</definedName>
    <definedName name="우리나라">[0]!우리나라</definedName>
    <definedName name="우오수공" hidden="1">{#N/A,#N/A,FALSE,"기안지";#N/A,#N/A,FALSE,"통신지"}</definedName>
    <definedName name="우이사" localSheetId="8">#REF!</definedName>
    <definedName name="우이사" localSheetId="2">#REF!</definedName>
    <definedName name="우이사" localSheetId="1">#REF!</definedName>
    <definedName name="우이사">#REF!</definedName>
    <definedName name="운반" localSheetId="8">#REF!</definedName>
    <definedName name="운반" localSheetId="2">#REF!</definedName>
    <definedName name="운반" localSheetId="1">#REF!</definedName>
    <definedName name="운반">#REF!</definedName>
    <definedName name="운반비" localSheetId="8">#REF!</definedName>
    <definedName name="운반비" localSheetId="2">#REF!</definedName>
    <definedName name="운반비" localSheetId="1">#REF!</definedName>
    <definedName name="운반비">#REF!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미흡" localSheetId="8">#REF!</definedName>
    <definedName name="운영미흡" localSheetId="2">#REF!</definedName>
    <definedName name="운영미흡" localSheetId="1">#REF!</definedName>
    <definedName name="운영미흡">#REF!</definedName>
    <definedName name="운영보통" localSheetId="8">#REF!</definedName>
    <definedName name="운영보통" localSheetId="2">#REF!</definedName>
    <definedName name="운영보통" localSheetId="1">#REF!</definedName>
    <definedName name="운영보통">#REF!</definedName>
    <definedName name="운영양호" localSheetId="8">#REF!</definedName>
    <definedName name="운영양호" localSheetId="2">#REF!</definedName>
    <definedName name="운영양호" localSheetId="1">#REF!</definedName>
    <definedName name="운영양호">#REF!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칸" localSheetId="8">#REF!</definedName>
    <definedName name="운영칸" localSheetId="2">#REF!</definedName>
    <definedName name="운영칸" localSheetId="1">#REF!</definedName>
    <definedName name="운영칸">#REF!</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가초과사유2" localSheetId="8">#REF!</definedName>
    <definedName name="원가초과사유2" localSheetId="2">#REF!</definedName>
    <definedName name="원가초과사유2" localSheetId="1">#REF!</definedName>
    <definedName name="원가초과사유2">#REF!</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월급여" localSheetId="8">#REF!</definedName>
    <definedName name="월급여" localSheetId="2">#REF!</definedName>
    <definedName name="월급여" localSheetId="1">#REF!</definedName>
    <definedName name="월급여">#REF!</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수주" localSheetId="8">#REF!</definedName>
    <definedName name="월별수주" localSheetId="2">#REF!</definedName>
    <definedName name="월별수주" localSheetId="1">#REF!</definedName>
    <definedName name="월별수주">#REF!</definedName>
    <definedName name="월별실적" localSheetId="8" hidden="1">#REF!</definedName>
    <definedName name="월별실적" localSheetId="2" hidden="1">#REF!</definedName>
    <definedName name="월별실적" localSheetId="1" hidden="1">#REF!</definedName>
    <definedName name="월별실적" hidden="1">#REF!</definedName>
    <definedName name="월별영업" localSheetId="8">#REF!</definedName>
    <definedName name="월별영업" localSheetId="2">#REF!</definedName>
    <definedName name="월별영업" localSheetId="1">#REF!</definedName>
    <definedName name="월별영업">#REF!</definedName>
    <definedName name="위생칸" localSheetId="8">#REF!</definedName>
    <definedName name="위생칸" localSheetId="2">#REF!</definedName>
    <definedName name="위생칸" localSheetId="1">#REF!</definedName>
    <definedName name="위생칸">#REF!</definedName>
    <definedName name="위운영점수" localSheetId="8">#REF!</definedName>
    <definedName name="위운영점수" localSheetId="2">#REF!</definedName>
    <definedName name="위운영점수" localSheetId="1">#REF!</definedName>
    <definedName name="위운영점수">#REF!</definedName>
    <definedName name="유" hidden="1">{#N/A,#N/A,FALSE,"손익표지";#N/A,#N/A,FALSE,"손익계산";#N/A,#N/A,FALSE,"일반관리비";#N/A,#N/A,FALSE,"영업외수익";#N/A,#N/A,FALSE,"영업외비용";#N/A,#N/A,FALSE,"매출액";#N/A,#N/A,FALSE,"요약손익";#N/A,#N/A,FALSE,"요약대차";#N/A,#N/A,FALSE,"매출채권현황";#N/A,#N/A,FALSE,"매출채권명세"}</definedName>
    <definedName name="유1" localSheetId="8">#REF!</definedName>
    <definedName name="유1" localSheetId="2">#REF!</definedName>
    <definedName name="유1" localSheetId="1">#REF!</definedName>
    <definedName name="유1">#REF!</definedName>
    <definedName name="유2" localSheetId="8">#REF!</definedName>
    <definedName name="유2" localSheetId="2">#REF!</definedName>
    <definedName name="유2" localSheetId="1">#REF!</definedName>
    <definedName name="유2">#REF!</definedName>
    <definedName name="유3" localSheetId="8">#REF!</definedName>
    <definedName name="유3" localSheetId="2">#REF!</definedName>
    <definedName name="유3" localSheetId="1">#REF!</definedName>
    <definedName name="유3">#REF!</definedName>
    <definedName name="有價__券.1.A" localSheetId="8">#REF!</definedName>
    <definedName name="有價__券.1.A" localSheetId="2">#REF!</definedName>
    <definedName name="有價__券.1.A" localSheetId="1">#REF!</definedName>
    <definedName name="有價__券.1.A">#REF!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윤병인" localSheetId="8">#REF!</definedName>
    <definedName name="윤병인" localSheetId="2">#REF!</definedName>
    <definedName name="윤병인" localSheetId="1">#REF!</definedName>
    <definedName name="윤병인">#REF!</definedName>
    <definedName name="윤생진" localSheetId="8">#REF!</definedName>
    <definedName name="윤생진" localSheetId="2">#REF!</definedName>
    <definedName name="윤생진" localSheetId="1">#REF!</definedName>
    <definedName name="윤생진">#REF!</definedName>
    <definedName name="윤승희" localSheetId="8">#REF!</definedName>
    <definedName name="윤승희" localSheetId="2">#REF!</definedName>
    <definedName name="윤승희" localSheetId="1">#REF!</definedName>
    <definedName name="윤승희">#REF!</definedName>
    <definedName name="윤영두" localSheetId="8">#REF!</definedName>
    <definedName name="윤영두" localSheetId="2">#REF!</definedName>
    <definedName name="윤영두" localSheetId="1">#REF!</definedName>
    <definedName name="윤영두">#REF!</definedName>
    <definedName name="윤영민" localSheetId="8">#REF!</definedName>
    <definedName name="윤영민" localSheetId="2">#REF!</definedName>
    <definedName name="윤영민" localSheetId="1">#REF!</definedName>
    <definedName name="윤영민">#REF!</definedName>
    <definedName name="윤춘근" localSheetId="8">#REF!</definedName>
    <definedName name="윤춘근" localSheetId="2">#REF!</definedName>
    <definedName name="윤춘근" localSheetId="1">#REF!</definedName>
    <definedName name="윤춘근">#REF!</definedName>
    <definedName name="윤형규" localSheetId="8">#REF!</definedName>
    <definedName name="윤형규" localSheetId="2">#REF!</definedName>
    <definedName name="윤형규" localSheetId="1">#REF!</definedName>
    <definedName name="윤형규">#REF!</definedName>
    <definedName name="윤형의" localSheetId="8">#REF!</definedName>
    <definedName name="윤형의" localSheetId="2">#REF!</definedName>
    <definedName name="윤형의" localSheetId="1">#REF!</definedName>
    <definedName name="윤형의">#REF!</definedName>
    <definedName name="응용">[0]!응용</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1" localSheetId="8">#REF!</definedName>
    <definedName name="이1" localSheetId="2">#REF!</definedName>
    <definedName name="이1" localSheetId="1">#REF!</definedName>
    <definedName name="이1">#REF!</definedName>
    <definedName name="이2" localSheetId="8">#REF!</definedName>
    <definedName name="이2" localSheetId="2">#REF!</definedName>
    <definedName name="이2" localSheetId="1">#REF!</definedName>
    <definedName name="이2">#REF!</definedName>
    <definedName name="이3" localSheetId="8">#REF!</definedName>
    <definedName name="이3" localSheetId="2">#REF!</definedName>
    <definedName name="이3" localSheetId="1">#REF!</definedName>
    <definedName name="이3">#REF!</definedName>
    <definedName name="이강봉" localSheetId="8">#REF!</definedName>
    <definedName name="이강봉" localSheetId="2">#REF!</definedName>
    <definedName name="이강봉" localSheetId="1">#REF!</definedName>
    <definedName name="이강봉">#REF!</definedName>
    <definedName name="이강욱" localSheetId="8">#REF!</definedName>
    <definedName name="이강욱" localSheetId="2">#REF!</definedName>
    <definedName name="이강욱" localSheetId="1">#REF!</definedName>
    <definedName name="이강욱">#REF!</definedName>
    <definedName name="이광희" localSheetId="8">#REF!</definedName>
    <definedName name="이광희" localSheetId="2">#REF!</definedName>
    <definedName name="이광희" localSheetId="1">#REF!</definedName>
    <definedName name="이광희">#REF!</definedName>
    <definedName name="이기수" localSheetId="8">#REF!</definedName>
    <definedName name="이기수" localSheetId="2">#REF!</definedName>
    <definedName name="이기수" localSheetId="1">#REF!</definedName>
    <definedName name="이기수">#REF!</definedName>
    <definedName name="이길희" localSheetId="8">#REF!</definedName>
    <definedName name="이길희" localSheetId="2">#REF!</definedName>
    <definedName name="이길희" localSheetId="1">#REF!</definedName>
    <definedName name="이길희">#REF!</definedName>
    <definedName name="이니니" hidden="1">{#N/A,#N/A,FALSE,"손익표지";#N/A,#N/A,FALSE,"손익계산";#N/A,#N/A,FALSE,"일반관리비";#N/A,#N/A,FALSE,"영업외수익";#N/A,#N/A,FALSE,"영업외비용";#N/A,#N/A,FALSE,"매출액";#N/A,#N/A,FALSE,"요약손익";#N/A,#N/A,FALSE,"요약대차";#N/A,#N/A,FALSE,"매출채권현황";#N/A,#N/A,FALSE,"매출채권명세"}</definedName>
    <definedName name="이덕연" localSheetId="8">#REF!</definedName>
    <definedName name="이덕연" localSheetId="2">#REF!</definedName>
    <definedName name="이덕연" localSheetId="1">#REF!</definedName>
    <definedName name="이덕연">#REF!</definedName>
    <definedName name="이돈효" localSheetId="8">#REF!</definedName>
    <definedName name="이돈효" localSheetId="2">#REF!</definedName>
    <definedName name="이돈효" localSheetId="1">#REF!</definedName>
    <definedName name="이돈효">#REF!</definedName>
    <definedName name="이문구" localSheetId="8">#REF!</definedName>
    <definedName name="이문구" localSheetId="2">#REF!</definedName>
    <definedName name="이문구" localSheetId="1">#REF!</definedName>
    <definedName name="이문구">#REF!</definedName>
    <definedName name="이사부장" localSheetId="8">#REF!</definedName>
    <definedName name="이사부장" localSheetId="2">#REF!</definedName>
    <definedName name="이사부장" localSheetId="1">#REF!</definedName>
    <definedName name="이사부장">#REF!</definedName>
    <definedName name="이삼섭" localSheetId="8">#REF!</definedName>
    <definedName name="이삼섭" localSheetId="2">#REF!</definedName>
    <definedName name="이삼섭" localSheetId="1">#REF!</definedName>
    <definedName name="이삼섭">#REF!</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균" localSheetId="8">#REF!</definedName>
    <definedName name="이상균" localSheetId="2">#REF!</definedName>
    <definedName name="이상균" localSheetId="1">#REF!</definedName>
    <definedName name="이상균">#REF!</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슈" hidden="1">{#N/A,#N/A,FALSE,"지침";#N/A,#N/A,FALSE,"환경분석";#N/A,#N/A,FALSE,"Sheet16"}</definedName>
    <definedName name="이승철" localSheetId="8">#REF!</definedName>
    <definedName name="이승철" localSheetId="2">#REF!</definedName>
    <definedName name="이승철" localSheetId="1">#REF!</definedName>
    <definedName name="이승철">#REF!</definedName>
    <definedName name="이연구" localSheetId="8">#REF!</definedName>
    <definedName name="이연구" localSheetId="2">#REF!</definedName>
    <definedName name="이연구" localSheetId="1">#REF!</definedName>
    <definedName name="이연구">#REF!</definedName>
    <definedName name="이용석" localSheetId="8">#REF!</definedName>
    <definedName name="이용석" localSheetId="2">#REF!</definedName>
    <definedName name="이용석" localSheetId="1">#REF!</definedName>
    <definedName name="이용석">#REF!</definedName>
    <definedName name="이용주" localSheetId="8">#REF!</definedName>
    <definedName name="이용주" localSheetId="2">#REF!</definedName>
    <definedName name="이용주" localSheetId="1">#REF!</definedName>
    <definedName name="이용주">#REF!</definedName>
    <definedName name="이원준">#N/A</definedName>
    <definedName name="이원태" localSheetId="8">#REF!</definedName>
    <definedName name="이원태" localSheetId="2">#REF!</definedName>
    <definedName name="이원태" localSheetId="1">#REF!</definedName>
    <definedName name="이원태">#REF!</definedName>
    <definedName name="移越工事__小計" localSheetId="8">#REF!</definedName>
    <definedName name="移越工事__小計" localSheetId="2">#REF!</definedName>
    <definedName name="移越工事__小計" localSheetId="1">#REF!</definedName>
    <definedName name="移越工事__小計">#REF!</definedName>
    <definedName name="이인선" localSheetId="8">#REF!</definedName>
    <definedName name="이인선" localSheetId="2">#REF!</definedName>
    <definedName name="이인선" localSheetId="1">#REF!</definedName>
    <definedName name="이인선">#REF!</definedName>
    <definedName name="이자" hidden="1">{#N/A,#N/A,FALSE,"지침";#N/A,#N/A,FALSE,"환경분석";#N/A,#N/A,FALSE,"Sheet16"}</definedName>
    <definedName name="이자율" localSheetId="8">#REF!</definedName>
    <definedName name="이자율" localSheetId="2">#REF!</definedName>
    <definedName name="이자율" localSheetId="1">#REF!</definedName>
    <definedName name="이자율">#REF!</definedName>
    <definedName name="이전가" localSheetId="8">#REF!</definedName>
    <definedName name="이전가" localSheetId="2">#REF!</definedName>
    <definedName name="이전가" localSheetId="1">#REF!</definedName>
    <definedName name="이전가">#REF!</definedName>
    <definedName name="이전코드" localSheetId="8">#REF!</definedName>
    <definedName name="이전코드" localSheetId="2">#REF!</definedName>
    <definedName name="이전코드" localSheetId="1">#REF!</definedName>
    <definedName name="이전코드">#REF!</definedName>
    <definedName name="이정기" hidden="1">{#N/A,#N/A,FALSE,"손익표지";#N/A,#N/A,FALSE,"손익계산";#N/A,#N/A,FALSE,"일반관리비";#N/A,#N/A,FALSE,"영업외수익";#N/A,#N/A,FALSE,"영업외비용";#N/A,#N/A,FALSE,"매출액";#N/A,#N/A,FALSE,"요약손익";#N/A,#N/A,FALSE,"요약대차";#N/A,#N/A,FALSE,"매출채권현황";#N/A,#N/A,FALSE,"매출채권명세"}</definedName>
    <definedName name="이정복" localSheetId="8">#REF!</definedName>
    <definedName name="이정복" localSheetId="2">#REF!</definedName>
    <definedName name="이정복" localSheetId="1">#REF!</definedName>
    <definedName name="이정복">#REF!</definedName>
    <definedName name="이정용" localSheetId="8">#REF!</definedName>
    <definedName name="이정용" localSheetId="2">#REF!</definedName>
    <definedName name="이정용" localSheetId="1">#REF!</definedName>
    <definedName name="이정용">#REF!</definedName>
    <definedName name="이정환" localSheetId="8">#REF!</definedName>
    <definedName name="이정환" localSheetId="2">#REF!</definedName>
    <definedName name="이정환" localSheetId="1">#REF!</definedName>
    <definedName name="이정환">#REF!</definedName>
    <definedName name="이종항" localSheetId="8">#REF!</definedName>
    <definedName name="이종항" localSheetId="2">#REF!</definedName>
    <definedName name="이종항" localSheetId="1">#REF!</definedName>
    <definedName name="이종항">#REF!</definedName>
    <definedName name="이준우" localSheetId="8">IF(#REF!&gt;0, ROUND(#REF!*40/100,1), 0)</definedName>
    <definedName name="이준우" localSheetId="2">IF(#REF!&gt;0, ROUND(#REF!*40/100,1), 0)</definedName>
    <definedName name="이준우" localSheetId="1">IF(#REF!&gt;0, ROUND(#REF!*40/100,1), 0)</definedName>
    <definedName name="이준우">IF(#REF!&gt;0, ROUND(#REF!*40/100,1), 0)</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창현" localSheetId="8">#REF!</definedName>
    <definedName name="이창현" localSheetId="2">#REF!</definedName>
    <definedName name="이창현" localSheetId="1">#REF!</definedName>
    <definedName name="이창현">#REF!</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규" localSheetId="8">#REF!</definedName>
    <definedName name="이철규" localSheetId="2">#REF!</definedName>
    <definedName name="이철규" localSheetId="1">#REF!</definedName>
    <definedName name="이철규">#REF!</definedName>
    <definedName name="이한섭" localSheetId="8">#REF!</definedName>
    <definedName name="이한섭" localSheetId="2">#REF!</definedName>
    <definedName name="이한섭" localSheetId="1">#REF!</definedName>
    <definedName name="이한섭">#REF!</definedName>
    <definedName name="이효범" localSheetId="8">#REF!</definedName>
    <definedName name="이효범" localSheetId="2">#REF!</definedName>
    <definedName name="이효범" localSheetId="1">#REF!</definedName>
    <definedName name="이효범">#REF!</definedName>
    <definedName name="인" hidden="1">{#N/A,#N/A,FALSE,"Sheet1"}</definedName>
    <definedName name="인건비" localSheetId="8">OFFSET(#REF!,MATCH(#REF!,#REF!,0)-1,6,1,1)</definedName>
    <definedName name="인건비" localSheetId="2">OFFSET(#REF!,MATCH(#REF!,#REF!,0)-1,6,1,1)</definedName>
    <definedName name="인건비" localSheetId="1">OFFSET(#REF!,MATCH(#REF!,#REF!,0)-1,6,1,1)</definedName>
    <definedName name="인건비">OFFSET(#REF!,MATCH(#REF!,#REF!,0)-1,6,1,1)</definedName>
    <definedName name="인력" localSheetId="8">#REF!</definedName>
    <definedName name="인력" localSheetId="2">#REF!</definedName>
    <definedName name="인력" localSheetId="1">#REF!</definedName>
    <definedName name="인력">#REF!</definedName>
    <definedName name="인력투입" localSheetId="8">#REF!</definedName>
    <definedName name="인력투입" localSheetId="2">#REF!</definedName>
    <definedName name="인력투입" localSheetId="1">#REF!</definedName>
    <definedName name="인력투입">#REF!</definedName>
    <definedName name="인모" localSheetId="8">#REF!</definedName>
    <definedName name="인모" localSheetId="2">#REF!</definedName>
    <definedName name="인모" localSheetId="1">#REF!</definedName>
    <definedName name="인모">#REF!</definedName>
    <definedName name="인사DATA_곤지암COPY__MASTER_List" localSheetId="8">#REF!</definedName>
    <definedName name="인사DATA_곤지암COPY__MASTER_List" localSheetId="2">#REF!</definedName>
    <definedName name="인사DATA_곤지암COPY__MASTER_List" localSheetId="1">#REF!</definedName>
    <definedName name="인사DATA_곤지암COPY__MASTER_List">#REF!</definedName>
    <definedName name="인상1안" localSheetId="8">#REF!</definedName>
    <definedName name="인상1안" localSheetId="2">#REF!</definedName>
    <definedName name="인상1안" localSheetId="1">#REF!</definedName>
    <definedName name="인상1안">#REF!</definedName>
    <definedName name="인상2안" localSheetId="8">#REF!</definedName>
    <definedName name="인상2안" localSheetId="2">#REF!</definedName>
    <definedName name="인상2안" localSheetId="1">#REF!</definedName>
    <definedName name="인상2안">#REF!</definedName>
    <definedName name="인상3안" localSheetId="8">#REF!</definedName>
    <definedName name="인상3안" localSheetId="2">#REF!</definedName>
    <definedName name="인상3안" localSheetId="1">#REF!</definedName>
    <definedName name="인상3안">#REF!</definedName>
    <definedName name="인선" localSheetId="8">#REF!</definedName>
    <definedName name="인선" localSheetId="2">#REF!</definedName>
    <definedName name="인선" localSheetId="1">#REF!</definedName>
    <definedName name="인선">#REF!</definedName>
    <definedName name="인쇄01" localSheetId="8">#REF!</definedName>
    <definedName name="인쇄01" localSheetId="2">#REF!</definedName>
    <definedName name="인쇄01" localSheetId="1">#REF!</definedName>
    <definedName name="인쇄01">#REF!</definedName>
    <definedName name="인쇄BU" hidden="1">{#N/A,#N/A,FALSE,"지침";#N/A,#N/A,FALSE,"환경분석";#N/A,#N/A,FALSE,"Sheet16"}</definedName>
    <definedName name="인쇄범위" localSheetId="8">#REF!</definedName>
    <definedName name="인쇄범위" localSheetId="2">#REF!</definedName>
    <definedName name="인쇄범위" localSheetId="1">#REF!</definedName>
    <definedName name="인쇄범위">#REF!</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증감">{"'BSC(2001)'!$A$27:$G$32"}</definedName>
    <definedName name="인원충원계획" localSheetId="8">#REF!</definedName>
    <definedName name="인원충원계획" localSheetId="2">#REF!</definedName>
    <definedName name="인원충원계획" localSheetId="1">#REF!</definedName>
    <definedName name="인원충원계획">#REF!</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일" localSheetId="8">#REF!</definedName>
    <definedName name="일" localSheetId="2">#REF!</definedName>
    <definedName name="일" localSheetId="1">#REF!</definedName>
    <definedName name="일">#REF!</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일반관리비" hidden="1">{#N/A,#N/A,FALSE,"Sheet1"}</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월" localSheetId="8" hidden="1">#REF!</definedName>
    <definedName name="일월" localSheetId="2" hidden="1">#REF!</definedName>
    <definedName name="일월" localSheetId="1" hidden="1">#REF!</definedName>
    <definedName name="일월" hidden="1">#REF!</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임광식" localSheetId="8">#REF!</definedName>
    <definedName name="임광식" localSheetId="2">#REF!</definedName>
    <definedName name="임광식" localSheetId="1">#REF!</definedName>
    <definedName name="임광식">#REF!</definedName>
    <definedName name="임금비교" localSheetId="8">#REF!</definedName>
    <definedName name="임금비교" localSheetId="2">#REF!</definedName>
    <definedName name="임금비교" localSheetId="1">#REF!</definedName>
    <definedName name="임금비교">#REF!</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병욱" localSheetId="8">#REF!</definedName>
    <definedName name="임병욱" localSheetId="2">#REF!</definedName>
    <definedName name="임병욱" localSheetId="1">#REF!</definedName>
    <definedName name="임병욱">#REF!</definedName>
    <definedName name="임차" localSheetId="8">#REF!</definedName>
    <definedName name="임차" localSheetId="2">#REF!</definedName>
    <definedName name="임차" localSheetId="1">#REF!</definedName>
    <definedName name="임차">#REF!</definedName>
    <definedName name="입력" localSheetId="8">#REF!</definedName>
    <definedName name="입력" localSheetId="2">#REF!</definedName>
    <definedName name="입력" localSheetId="1">#REF!</definedName>
    <definedName name="입력">#REF!</definedName>
    <definedName name="입목" localSheetId="8">#REF!</definedName>
    <definedName name="입목" localSheetId="2">#REF!</definedName>
    <definedName name="입목" localSheetId="1">#REF!</definedName>
    <definedName name="입목">#REF!</definedName>
    <definedName name="ㅈ"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ㅈ" localSheetId="8">#REF!</definedName>
    <definedName name="ㅈㅂㅈ" localSheetId="2">#REF!</definedName>
    <definedName name="ㅈㅂㅈ" localSheetId="1">#REF!</definedName>
    <definedName name="ㅈㅂㅈ">#REF!</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자격" localSheetId="8">#REF!</definedName>
    <definedName name="자격" localSheetId="2">#REF!</definedName>
    <definedName name="자격" localSheetId="1">#REF!</definedName>
    <definedName name="자격">#REF!</definedName>
    <definedName name="자금" localSheetId="8">BlankMacro1</definedName>
    <definedName name="자금" localSheetId="2">BlankMacro1</definedName>
    <definedName name="자금" localSheetId="1">BlankMacro1</definedName>
    <definedName name="자금">BlankMacro1</definedName>
    <definedName name="자금세부">[0]!자금세부</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흐름" localSheetId="8">#REF!</definedName>
    <definedName name="자금흐름" localSheetId="2">#REF!</definedName>
    <definedName name="자금흐름" localSheetId="1">#REF!</definedName>
    <definedName name="자금흐름">#REF!</definedName>
    <definedName name="자기자본" localSheetId="8">#REF!</definedName>
    <definedName name="자기자본" localSheetId="2">#REF!</definedName>
    <definedName name="자기자본" localSheetId="1">#REF!</definedName>
    <definedName name="자기자본">#REF!</definedName>
    <definedName name="자녀" localSheetId="8">#REF!</definedName>
    <definedName name="자녀" localSheetId="2">#REF!</definedName>
    <definedName name="자녀" localSheetId="1">#REF!</definedName>
    <definedName name="자녀">#REF!</definedName>
    <definedName name="자동차세" localSheetId="8">INDEX(#REF!,MATCH(#REF!,#REF!,1))</definedName>
    <definedName name="자동차세" localSheetId="2">INDEX(#REF!,MATCH(#REF!,#REF!,1))</definedName>
    <definedName name="자동차세" localSheetId="1">INDEX(#REF!,MATCH(#REF!,#REF!,1))</definedName>
    <definedName name="자동차세">INDEX(#REF!,MATCH(#REF!,#REF!,1))</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산처분계획" localSheetId="8">#REF!</definedName>
    <definedName name="자산처분계획" localSheetId="2">#REF!</definedName>
    <definedName name="자산처분계획" localSheetId="1">#REF!</definedName>
    <definedName name="자산처분계획">#REF!</definedName>
    <definedName name="자재단가" hidden="1">{#N/A,#N/A,TRUE,"총괄"}</definedName>
    <definedName name="자차" localSheetId="8">OFFSET(#REF!,MATCH(#REF!,#REF!,0)-1,5,1,1)</definedName>
    <definedName name="자차" localSheetId="2">OFFSET(#REF!,MATCH(#REF!,#REF!,0)-1,5,1,1)</definedName>
    <definedName name="자차" localSheetId="1">OFFSET(#REF!,MATCH(#REF!,#REF!,0)-1,5,1,1)</definedName>
    <definedName name="자차">OFFSET(#REF!,MATCH(#REF!,#REF!,0)-1,5,1,1)</definedName>
    <definedName name="자체기타" localSheetId="8">#REF!</definedName>
    <definedName name="자체기타" localSheetId="2">#REF!</definedName>
    <definedName name="자체기타" localSheetId="1">#REF!</definedName>
    <definedName name="자체기타">#REF!</definedName>
    <definedName name="자체도심" localSheetId="8">#REF!</definedName>
    <definedName name="자체도심" localSheetId="2">#REF!</definedName>
    <definedName name="자체도심" localSheetId="1">#REF!</definedName>
    <definedName name="자체도심">#REF!</definedName>
    <definedName name="작성">[0]!작성</definedName>
    <definedName name="작성1">[0]!작성1</definedName>
    <definedName name="작성항목" localSheetId="8">#REF!</definedName>
    <definedName name="작성항목" localSheetId="2">#REF!</definedName>
    <definedName name="작성항목" localSheetId="1">#REF!</definedName>
    <definedName name="작성항목">#REF!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존가율" localSheetId="8">#REF!</definedName>
    <definedName name="잔존가율" localSheetId="2">#REF!</definedName>
    <definedName name="잔존가율" localSheetId="1">#REF!</definedName>
    <definedName name="잔존가율">#REF!</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비손료" localSheetId="8">#REF!</definedName>
    <definedName name="장비손료" localSheetId="2">#REF!</definedName>
    <definedName name="장비손료" localSheetId="1">#REF!</definedName>
    <definedName name="장비손료">#REF!</definedName>
    <definedName name="장비유지비" localSheetId="8">#REF!</definedName>
    <definedName name="장비유지비" localSheetId="2">#REF!</definedName>
    <definedName name="장비유지비" localSheetId="1">#REF!</definedName>
    <definedName name="장비유지비">#REF!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선일" localSheetId="8">#REF!</definedName>
    <definedName name="장선일" localSheetId="2">#REF!</definedName>
    <definedName name="장선일" localSheetId="1">#REF!</definedName>
    <definedName name="장선일">#REF!</definedName>
    <definedName name="장성지" localSheetId="8">#REF!</definedName>
    <definedName name="장성지" localSheetId="2">#REF!</definedName>
    <definedName name="장성지" localSheetId="1">#REF!</definedName>
    <definedName name="장성지">#REF!</definedName>
    <definedName name="장연식" localSheetId="8">#REF!</definedName>
    <definedName name="장연식" localSheetId="2">#REF!</definedName>
    <definedName name="장연식" localSheetId="1">#REF!</definedName>
    <definedName name="장연식">#REF!</definedName>
    <definedName name="장영진" hidden="1">{#N/A,#N/A,FALSE,"이태원철근"}</definedName>
    <definedName name="장영진바보축구" hidden="1">{#N/A,#N/A,FALSE,"이태원철근"}</definedName>
    <definedName name="장찬수" localSheetId="8">#REF!</definedName>
    <definedName name="장찬수" localSheetId="2">#REF!</definedName>
    <definedName name="장찬수" localSheetId="1">#REF!</definedName>
    <definedName name="장찬수">#REF!</definedName>
    <definedName name="장해남" localSheetId="8">#REF!</definedName>
    <definedName name="장해남" localSheetId="2">#REF!</definedName>
    <definedName name="장해남" localSheetId="1">#REF!</definedName>
    <definedName name="장해남">#REF!</definedName>
    <definedName name="재료비" localSheetId="8">#REF!</definedName>
    <definedName name="재료비" localSheetId="2">#REF!</definedName>
    <definedName name="재료비" localSheetId="1">#REF!</definedName>
    <definedName name="재료비">#REF!</definedName>
    <definedName name="재무비율" localSheetId="8">#REF!</definedName>
    <definedName name="재무비율" localSheetId="2">#REF!</definedName>
    <definedName name="재무비율" localSheetId="1">#REF!</definedName>
    <definedName name="재무비율">#REF!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정부" localSheetId="8">#REF!</definedName>
    <definedName name="재정부" localSheetId="2">#REF!</definedName>
    <definedName name="재정부" localSheetId="1">#REF!</definedName>
    <definedName name="재정부">#REF!</definedName>
    <definedName name="전">#N/A</definedName>
    <definedName name="전기" localSheetId="8">#REF!</definedName>
    <definedName name="전기" localSheetId="2">#REF!</definedName>
    <definedName name="전기" localSheetId="1">#REF!</definedName>
    <definedName name="전기">#REF!</definedName>
    <definedName name="전기환율" localSheetId="8">#REF!</definedName>
    <definedName name="전기환율" localSheetId="2">#REF!</definedName>
    <definedName name="전기환율" localSheetId="1">#REF!</definedName>
    <definedName name="전기환율">#REF!</definedName>
    <definedName name="전대진" localSheetId="8">#REF!</definedName>
    <definedName name="전대진" localSheetId="2">#REF!</definedName>
    <definedName name="전대진" localSheetId="1">#REF!</definedName>
    <definedName name="전대진">#REF!</definedName>
    <definedName name="전망" localSheetId="8">#REF!</definedName>
    <definedName name="전망" localSheetId="2">#REF!</definedName>
    <definedName name="전망" localSheetId="1">#REF!</definedName>
    <definedName name="전망">#REF!</definedName>
    <definedName name="전사" hidden="1">{#N/A,#N/A,FALSE,"지침";#N/A,#N/A,FALSE,"환경분석";#N/A,#N/A,FALSE,"Sheet16"}</definedName>
    <definedName name="전월" hidden="1">{#N/A,#N/A,FALSE,"손익표지";#N/A,#N/A,FALSE,"손익계산";#N/A,#N/A,FALSE,"일반관리비";#N/A,#N/A,FALSE,"영업외수익";#N/A,#N/A,FALSE,"영업외비용";#N/A,#N/A,FALSE,"매출액";#N/A,#N/A,FALSE,"요약손익";#N/A,#N/A,FALSE,"요약대차";#N/A,#N/A,FALSE,"매출채권현황";#N/A,#N/A,FALSE,"매출채권명세"}</definedName>
    <definedName name="전월실적누계" localSheetId="8">#REF!</definedName>
    <definedName name="전월실적누계" localSheetId="2">#REF!</definedName>
    <definedName name="전월실적누계" localSheetId="1">#REF!</definedName>
    <definedName name="전월실적누계">#REF!</definedName>
    <definedName name="전월예산누계" localSheetId="8">#REF!</definedName>
    <definedName name="전월예산누계" localSheetId="2">#REF!</definedName>
    <definedName name="전월예산누계" localSheetId="1">#REF!</definedName>
    <definedName name="전월예산누계">#REF!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화비A" localSheetId="8">#REF!</definedName>
    <definedName name="전화비A" localSheetId="2">#REF!</definedName>
    <definedName name="전화비A" localSheetId="1">#REF!</definedName>
    <definedName name="전화비A">#REF!</definedName>
    <definedName name="전화비B" localSheetId="8">#REF!</definedName>
    <definedName name="전화비B" localSheetId="2">#REF!</definedName>
    <definedName name="전화비B" localSheetId="1">#REF!</definedName>
    <definedName name="전화비B">#REF!</definedName>
    <definedName name="전화비C" localSheetId="8">#REF!</definedName>
    <definedName name="전화비C" localSheetId="2">#REF!</definedName>
    <definedName name="전화비C" localSheetId="1">#REF!</definedName>
    <definedName name="전화비C">#REF!</definedName>
    <definedName name="전화비D" localSheetId="8">#REF!</definedName>
    <definedName name="전화비D" localSheetId="2">#REF!</definedName>
    <definedName name="전화비D" localSheetId="1">#REF!</definedName>
    <definedName name="전화비D">#REF!</definedName>
    <definedName name="전화비E" localSheetId="8">#REF!</definedName>
    <definedName name="전화비E" localSheetId="2">#REF!</definedName>
    <definedName name="전화비E" localSheetId="1">#REF!</definedName>
    <definedName name="전화비E">#REF!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광식" localSheetId="8">#REF!</definedName>
    <definedName name="정광식" localSheetId="2">#REF!</definedName>
    <definedName name="정광식" localSheetId="1">#REF!</definedName>
    <definedName name="정광식">#REF!</definedName>
    <definedName name="정기" hidden="1">{#N/A,#N/A,FALSE,"손익표지";#N/A,#N/A,FALSE,"손익계산";#N/A,#N/A,FALSE,"일반관리비";#N/A,#N/A,FALSE,"영업외수익";#N/A,#N/A,FALSE,"영업외비용";#N/A,#N/A,FALSE,"매출액";#N/A,#N/A,FALSE,"요약손익";#N/A,#N/A,FALSE,"요약대차";#N/A,#N/A,FALSE,"매출채권현황";#N/A,#N/A,FALSE,"매출채권명세"}</definedName>
    <definedName name="정길영" localSheetId="8">#REF!</definedName>
    <definedName name="정길영" localSheetId="2">#REF!</definedName>
    <definedName name="정길영" localSheetId="1">#REF!</definedName>
    <definedName name="정길영">#REF!</definedName>
    <definedName name="정도종" localSheetId="8">#REF!</definedName>
    <definedName name="정도종" localSheetId="2">#REF!</definedName>
    <definedName name="정도종" localSheetId="1">#REF!</definedName>
    <definedName name="정도종">#REF!</definedName>
    <definedName name="정리" localSheetId="8">#REF!</definedName>
    <definedName name="정리" localSheetId="2">#REF!</definedName>
    <definedName name="정리" localSheetId="1">#REF!</definedName>
    <definedName name="정리">#REF!</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상우" localSheetId="8">#REF!</definedName>
    <definedName name="정상우" localSheetId="2">#REF!</definedName>
    <definedName name="정상우" localSheetId="1">#REF!</definedName>
    <definedName name="정상우">#REF!</definedName>
    <definedName name="정석용" localSheetId="8">#REF!</definedName>
    <definedName name="정석용" localSheetId="2">#REF!</definedName>
    <definedName name="정석용" localSheetId="1">#REF!</definedName>
    <definedName name="정석용">#REF!</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전무사업" localSheetId="8">#REF!</definedName>
    <definedName name="정전무사업" localSheetId="2">#REF!</definedName>
    <definedName name="정전무사업" localSheetId="1">#REF!</definedName>
    <definedName name="정전무사업">#REF!</definedName>
    <definedName name="정전무사업계획97" localSheetId="8">#REF!</definedName>
    <definedName name="정전무사업계획97" localSheetId="2">#REF!</definedName>
    <definedName name="정전무사업계획97" localSheetId="1">#REF!</definedName>
    <definedName name="정전무사업계획97">#REF!</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창희" localSheetId="8">#REF!</definedName>
    <definedName name="정창희" localSheetId="2">#REF!</definedName>
    <definedName name="정창희" localSheetId="1">#REF!</definedName>
    <definedName name="정창희">#REF!</definedName>
    <definedName name="정태승" localSheetId="8">#REF!</definedName>
    <definedName name="정태승" localSheetId="2">#REF!</definedName>
    <definedName name="정태승" localSheetId="1">#REF!</definedName>
    <definedName name="정태승">#REF!</definedName>
    <definedName name="정현철" localSheetId="8">#REF!</definedName>
    <definedName name="정현철" localSheetId="2">#REF!</definedName>
    <definedName name="정현철" localSheetId="1">#REF!</definedName>
    <definedName name="정현철">#REF!</definedName>
    <definedName name="제목" localSheetId="8">#REF!</definedName>
    <definedName name="제목" localSheetId="2">#REF!</definedName>
    <definedName name="제목" localSheetId="1">#REF!</definedName>
    <definedName name="제목">#REF!</definedName>
    <definedName name="제조원가1" localSheetId="8">#REF!</definedName>
    <definedName name="제조원가1" localSheetId="2">#REF!</definedName>
    <definedName name="제조원가1" localSheetId="1">#REF!</definedName>
    <definedName name="제조원가1">#REF!</definedName>
    <definedName name="제조원가3" localSheetId="8">#REF!</definedName>
    <definedName name="제조원가3" localSheetId="2">#REF!</definedName>
    <definedName name="제조원가3" localSheetId="1">#REF!</definedName>
    <definedName name="제조원가3">#REF!</definedName>
    <definedName name="제조원가율">"database+전체!$A$4:$W$825"</definedName>
    <definedName name="제조원가절감추진실적">{"'BSC(2001)'!$A$27:$G$32"}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8">#REF!</definedName>
    <definedName name="제품" localSheetId="2">#REF!</definedName>
    <definedName name="제품" localSheetId="1">#REF!</definedName>
    <definedName name="제품">#REF!</definedName>
    <definedName name="조견표1" hidden="1">{#N/A,#N/A,FALSE,"예상손익";#N/A,#N/A,FALSE,"관리분석";#N/A,#N/A,FALSE,"장비분석";#N/A,#N/A,FALSE,"준설분석";#N/A,#N/A,FALSE,"철구분석"}</definedName>
    <definedName name="조경연" localSheetId="8">#REF!</definedName>
    <definedName name="조경연" localSheetId="2">#REF!</definedName>
    <definedName name="조경연" localSheetId="1">#REF!</definedName>
    <definedName name="조경연">#REF!</definedName>
    <definedName name="조고호" localSheetId="8">#REF!</definedName>
    <definedName name="조고호" localSheetId="2">#REF!</definedName>
    <definedName name="조고호" localSheetId="1">#REF!</definedName>
    <definedName name="조고호">#REF!</definedName>
    <definedName name="조규식" localSheetId="8">#REF!</definedName>
    <definedName name="조규식" localSheetId="2">#REF!</definedName>
    <definedName name="조규식" localSheetId="1">#REF!</definedName>
    <definedName name="조규식">#REF!</definedName>
    <definedName name="조재석" localSheetId="8">#REF!</definedName>
    <definedName name="조재석" localSheetId="2">#REF!</definedName>
    <definedName name="조재석" localSheetId="1">#REF!</definedName>
    <definedName name="조재석">#REF!</definedName>
    <definedName name="조정" localSheetId="8">#REF!</definedName>
    <definedName name="조정" localSheetId="2">#REF!</definedName>
    <definedName name="조정" localSheetId="1">#REF!</definedName>
    <definedName name="조정">#REF!</definedName>
    <definedName name="조정TABL" localSheetId="8">#REF!</definedName>
    <definedName name="조정TABL" localSheetId="2">#REF!</definedName>
    <definedName name="조정TABL" localSheetId="1">#REF!</definedName>
    <definedName name="조정TABL">#REF!</definedName>
    <definedName name="조정국내" localSheetId="8">#REF!</definedName>
    <definedName name="조정국내" localSheetId="2">#REF!</definedName>
    <definedName name="조정국내" localSheetId="1">#REF!</definedName>
    <definedName name="조정국내">#REF!</definedName>
    <definedName name="조정국내1" localSheetId="8">#REF!</definedName>
    <definedName name="조정국내1" localSheetId="2">#REF!</definedName>
    <definedName name="조정국내1" localSheetId="1">#REF!</definedName>
    <definedName name="조정국내1">#REF!</definedName>
    <definedName name="조정국내2" localSheetId="8">#REF!</definedName>
    <definedName name="조정국내2" localSheetId="2">#REF!</definedName>
    <definedName name="조정국내2" localSheetId="1">#REF!</definedName>
    <definedName name="조정국내2">#REF!</definedName>
    <definedName name="조정급" localSheetId="8">#REF!</definedName>
    <definedName name="조정급" localSheetId="2">#REF!</definedName>
    <definedName name="조정급" localSheetId="1">#REF!</definedName>
    <definedName name="조정급">#REF!</definedName>
    <definedName name="조학래" localSheetId="8">#REF!</definedName>
    <definedName name="조학래" localSheetId="2">#REF!</definedName>
    <definedName name="조학래" localSheetId="1">#REF!</definedName>
    <definedName name="조학래">#REF!</definedName>
    <definedName name="조현국" localSheetId="8">#REF!</definedName>
    <definedName name="조현국" localSheetId="2">#REF!</definedName>
    <definedName name="조현국" localSheetId="1">#REF!</definedName>
    <definedName name="조현국">#REF!</definedName>
    <definedName name="종합" localSheetId="8">OFFSET(#REF!,MATCH(#REF!,#REF!,0)-1,2,1,1)</definedName>
    <definedName name="종합" localSheetId="2">OFFSET(#REF!,MATCH(#REF!,#REF!,0)-1,2,1,1)</definedName>
    <definedName name="종합" localSheetId="1">OFFSET(#REF!,MATCH(#REF!,#REF!,0)-1,2,1,1)</definedName>
    <definedName name="종합">OFFSET(#REF!,MATCH(#REF!,#REF!,0)-1,2,1,1)</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요" localSheetId="8">#REF!</definedName>
    <definedName name="주요" localSheetId="2">#REF!</definedName>
    <definedName name="주요" localSheetId="1">#REF!</definedName>
    <definedName name="주요">#REF!</definedName>
    <definedName name="주요개정">{"Book1","공동준비.xls"}</definedName>
    <definedName name="주요개정2">{"Book1","공동준비.xls"}</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이슈" localSheetId="8">#REF!</definedName>
    <definedName name="주요이슈" localSheetId="2">#REF!</definedName>
    <definedName name="주요이슈" localSheetId="1">#REF!</definedName>
    <definedName name="주요이슈">#REF!</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홍" localSheetId="8">#REF!</definedName>
    <definedName name="주재홍" localSheetId="2">#REF!</definedName>
    <definedName name="주재홍" localSheetId="1">#REF!</definedName>
    <definedName name="주재홍">#REF!</definedName>
    <definedName name="주제어동인원" hidden="1">{#N/A,#N/A,FALSE,"CCTV"}</definedName>
    <definedName name="주택" hidden="1">{#N/A,#N/A,FALSE,"지침";#N/A,#N/A,FALSE,"환경분석";#N/A,#N/A,FALSE,"Sheet16"}</definedName>
    <definedName name="주택매출" localSheetId="8">#REF!</definedName>
    <definedName name="주택매출" localSheetId="2">#REF!</definedName>
    <definedName name="주택매출" localSheetId="1">#REF!</definedName>
    <definedName name="주택매출">#REF!</definedName>
    <definedName name="주택사업본부" localSheetId="8">#REF!</definedName>
    <definedName name="주택사업본부" localSheetId="2">#REF!</definedName>
    <definedName name="주택사업본부" localSheetId="1">#REF!</definedName>
    <definedName name="주택사업본부">#REF!</definedName>
    <definedName name="주택원가" localSheetId="8">#REF!</definedName>
    <definedName name="주택원가" localSheetId="2">#REF!</definedName>
    <definedName name="주택원가" localSheetId="1">#REF!</definedName>
    <definedName name="주택원가">#REF!</definedName>
    <definedName name="주택최종" localSheetId="8">#REF!</definedName>
    <definedName name="주택최종" localSheetId="2">#REF!</definedName>
    <definedName name="주택최종" localSheetId="1">#REF!</definedName>
    <definedName name="주택최종">#REF!</definedName>
    <definedName name="준공식" localSheetId="8">#REF!</definedName>
    <definedName name="준공식" localSheetId="2">#REF!</definedName>
    <definedName name="준공식" localSheetId="1">#REF!</definedName>
    <definedName name="준공식">#REF!</definedName>
    <definedName name="준우" localSheetId="8">IF(#REF!&gt;#REF!,#REF! -#REF!,#REF! -#REF!)</definedName>
    <definedName name="준우" localSheetId="2">IF(#REF!&gt;#REF!,#REF! -#REF!,#REF! -#REF!)</definedName>
    <definedName name="준우" localSheetId="1">IF(#REF!&gt;#REF!,#REF! -#REF!,#REF! -#REF!)</definedName>
    <definedName name="준우">IF(#REF!&gt;#REF!,#REF! -#REF!,#REF! -#REF!)</definedName>
    <definedName name="중단공사" localSheetId="8">#REF!</definedName>
    <definedName name="중단공사" localSheetId="2">#REF!</definedName>
    <definedName name="중단공사" localSheetId="1">#REF!</definedName>
    <definedName name="중단공사">#REF!</definedName>
    <definedName name="中斷工事__小計" localSheetId="8">#REF!</definedName>
    <definedName name="中斷工事__小計" localSheetId="2">#REF!</definedName>
    <definedName name="中斷工事__小計" localSheetId="1">#REF!</definedName>
    <definedName name="中斷工事__小計">#REF!</definedName>
    <definedName name="중대가시설2">#N/A</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앙선8공구">{"Book1","공동준비.xls"}</definedName>
    <definedName name="중점">{"'BSC(2001)'!$A$27:$G$32"}</definedName>
    <definedName name="중점추">{"'BSC(2001)'!$A$27:$G$32"}</definedName>
    <definedName name="중점추진상">{"'BSC(2001)'!$A$27:$G$32"}</definedName>
    <definedName name="지" localSheetId="8">#REF!</definedName>
    <definedName name="지" localSheetId="2">#REF!</definedName>
    <definedName name="지" localSheetId="1">#REF!</definedName>
    <definedName name="지">#REF!</definedName>
    <definedName name="지급" localSheetId="8">#REF!</definedName>
    <definedName name="지급" localSheetId="2">#REF!</definedName>
    <definedName name="지급" localSheetId="1">#REF!</definedName>
    <definedName name="지급">#REF!</definedName>
    <definedName name="지급수수료" localSheetId="8">#REF!</definedName>
    <definedName name="지급수수료" localSheetId="2">#REF!</definedName>
    <definedName name="지급수수료" localSheetId="1">#REF!</definedName>
    <definedName name="지급수수료">#REF!</definedName>
    <definedName name="지급임차료" localSheetId="8">#REF!</definedName>
    <definedName name="지급임차료" localSheetId="2">#REF!</definedName>
    <definedName name="지급임차료" localSheetId="1">#REF!</definedName>
    <definedName name="지급임차료">#REF!</definedName>
    <definedName name="지시" localSheetId="8">#REF!</definedName>
    <definedName name="지시" localSheetId="2">#REF!</definedName>
    <definedName name="지시" localSheetId="1">#REF!</definedName>
    <definedName name="지시">#REF!</definedName>
    <definedName name="지역" localSheetId="8">#REF!</definedName>
    <definedName name="지역" localSheetId="2">#REF!</definedName>
    <definedName name="지역" localSheetId="1">#REF!</definedName>
    <definedName name="지역">#REF!</definedName>
    <definedName name="지출" localSheetId="8">#REF!</definedName>
    <definedName name="지출" localSheetId="2">#REF!</definedName>
    <definedName name="지출" localSheetId="1">#REF!</definedName>
    <definedName name="지출">#REF!</definedName>
    <definedName name="지출계획" localSheetId="8">#REF!</definedName>
    <definedName name="지출계획" localSheetId="2">#REF!</definedName>
    <definedName name="지출계획" localSheetId="1">#REF!</definedName>
    <definedName name="지출계획">#REF!</definedName>
    <definedName name="직급공정" localSheetId="8" hidden="1">#REF!</definedName>
    <definedName name="직급공정" localSheetId="2" hidden="1">#REF!</definedName>
    <definedName name="직급공정" localSheetId="1" hidden="1">#REF!</definedName>
    <definedName name="직급공정" hidden="1">#REF!</definedName>
    <definedName name="직급별3" hidden="1">{#N/A,#N/A,FALSE,"Sheet1"}</definedName>
    <definedName name="직매54P" hidden="1">{#N/A,#N/A,TRUE,"토적및재료집계";#N/A,#N/A,TRUE,"토적및재료집계";#N/A,#N/A,TRUE,"단위량"}</definedName>
    <definedName name="직무" localSheetId="8">#REF!</definedName>
    <definedName name="직무" localSheetId="2">#REF!</definedName>
    <definedName name="직무" localSheetId="1">#REF!</definedName>
    <definedName name="직무">#REF!</definedName>
    <definedName name="직운영점수" localSheetId="8">#REF!</definedName>
    <definedName name="직운영점수" localSheetId="2">#REF!</definedName>
    <definedName name="직운영점수" localSheetId="1">#REF!</definedName>
    <definedName name="직운영점수">#REF!</definedName>
    <definedName name="직운영칸" localSheetId="8">#REF!</definedName>
    <definedName name="직운영칸" localSheetId="2">#REF!</definedName>
    <definedName name="직운영칸" localSheetId="1">#REF!</definedName>
    <definedName name="직운영칸">#REF!</definedName>
    <definedName name="직원급여" localSheetId="8">#REF!</definedName>
    <definedName name="직원급여" localSheetId="2">#REF!</definedName>
    <definedName name="직원급여" localSheetId="1">#REF!</definedName>
    <definedName name="직원급여">#REF!</definedName>
    <definedName name="직위" localSheetId="8">#REF!</definedName>
    <definedName name="직위" localSheetId="2">#REF!</definedName>
    <definedName name="직위" localSheetId="1">#REF!</definedName>
    <definedName name="직위">#REF!</definedName>
    <definedName name="직접인원" hidden="1">{#N/A,#N/A,FALSE,"CCTV"}</definedName>
    <definedName name="직종" localSheetId="8">#REF!</definedName>
    <definedName name="직종" localSheetId="2">#REF!</definedName>
    <definedName name="직종" localSheetId="1">#REF!</definedName>
    <definedName name="직종">#REF!</definedName>
    <definedName name="직책" localSheetId="8">#REF!</definedName>
    <definedName name="직책" localSheetId="2">#REF!</definedName>
    <definedName name="직책" localSheetId="1">#REF!</definedName>
    <definedName name="직책">#REF!</definedName>
    <definedName name="직책수당" localSheetId="8">#REF!</definedName>
    <definedName name="직책수당" localSheetId="2">#REF!</definedName>
    <definedName name="직책수당" localSheetId="1">#REF!</definedName>
    <definedName name="직책수당">#REF!</definedName>
    <definedName name="진성의" localSheetId="8">#REF!</definedName>
    <definedName name="진성의" localSheetId="2">#REF!</definedName>
    <definedName name="진성의" localSheetId="1">#REF!</definedName>
    <definedName name="진성의">#REF!</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 localSheetId="8">#REF!</definedName>
    <definedName name="진행" localSheetId="2">#REF!</definedName>
    <definedName name="진행" localSheetId="1">#REF!</definedName>
    <definedName name="진행">#REF!</definedName>
    <definedName name="진행1" localSheetId="8">#REF!</definedName>
    <definedName name="진행1" localSheetId="2">#REF!</definedName>
    <definedName name="진행1" localSheetId="1">#REF!</definedName>
    <definedName name="진행1">#REF!</definedName>
    <definedName name="進行工事__小計" localSheetId="8">#REF!</definedName>
    <definedName name="進行工事__小計" localSheetId="2">#REF!</definedName>
    <definedName name="進行工事__小計" localSheetId="1">#REF!</definedName>
    <definedName name="進行工事__小計">#REF!</definedName>
    <definedName name="進行工事__小計1" localSheetId="8">#REF!</definedName>
    <definedName name="進行工事__小計1" localSheetId="2">#REF!</definedName>
    <definedName name="進行工事__小計1" localSheetId="1">#REF!</definedName>
    <definedName name="進行工事__小計1">#REF!</definedName>
    <definedName name="집계" localSheetId="8">#REF!</definedName>
    <definedName name="집계" localSheetId="2">#REF!</definedName>
    <definedName name="집계" localSheetId="1">#REF!</definedName>
    <definedName name="집계">#REF!</definedName>
    <definedName name="ㅊ" hidden="1">{#N/A,#N/A,FALSE,"손익표지";#N/A,#N/A,FALSE,"손익계산";#N/A,#N/A,FALSE,"일반관리비";#N/A,#N/A,FALSE,"영업외수익";#N/A,#N/A,FALSE,"영업외비용";#N/A,#N/A,FALSE,"매출액";#N/A,#N/A,FALSE,"요약손익";#N/A,#N/A,FALSE,"요약대차";#N/A,#N/A,FALSE,"매출채권현황";#N/A,#N/A,FALSE,"매출채권명세"}</definedName>
    <definedName name="ㅊ1055" localSheetId="8">#REF!</definedName>
    <definedName name="ㅊ1055" localSheetId="2">#REF!</definedName>
    <definedName name="ㅊ1055" localSheetId="1">#REF!</definedName>
    <definedName name="ㅊ1055">#REF!</definedName>
    <definedName name="ㅊㅊㅊㅊㅊ" hidden="1">{#N/A,#N/A,FALSE,"손익표지";#N/A,#N/A,FALSE,"손익계산";#N/A,#N/A,FALSE,"일반관리비";#N/A,#N/A,FALSE,"영업외수익";#N/A,#N/A,FALSE,"영업외비용";#N/A,#N/A,FALSE,"매출액";#N/A,#N/A,FALSE,"요약손익";#N/A,#N/A,FALSE,"요약대차";#N/A,#N/A,FALSE,"매출채권현황";#N/A,#N/A,FALSE,"매출채권명세"}</definedName>
    <definedName name="차고지비용" localSheetId="8">OFFSET(#REF!,MATCH(#REF!,#REF!,0)-1,3,1,1)</definedName>
    <definedName name="차고지비용" localSheetId="2">OFFSET(#REF!,MATCH(#REF!,#REF!,0)-1,3,1,1)</definedName>
    <definedName name="차고지비용" localSheetId="1">OFFSET(#REF!,MATCH(#REF!,#REF!,0)-1,3,1,1)</definedName>
    <definedName name="차고지비용">OFFSET(#REF!,MATCH(#REF!,#REF!,0)-1,3,1,1)</definedName>
    <definedName name="차량" localSheetId="8">#REF!</definedName>
    <definedName name="차량" localSheetId="2">#REF!</definedName>
    <definedName name="차량" localSheetId="1">#REF!</definedName>
    <definedName name="차량">#REF!</definedName>
    <definedName name="차량운반구" localSheetId="8">#REF!</definedName>
    <definedName name="차량운반구" localSheetId="2">#REF!</definedName>
    <definedName name="차량운반구" localSheetId="1">#REF!</definedName>
    <definedName name="차량운반구">#REF!</definedName>
    <definedName name="차량유지비" localSheetId="8">#REF!</definedName>
    <definedName name="차량유지비" localSheetId="2">#REF!</definedName>
    <definedName name="차량유지비" localSheetId="1">#REF!</definedName>
    <definedName name="차량유지비">#REF!</definedName>
    <definedName name="차명" localSheetId="8">OFFSET(#REF!,MATCH(#REF!,#REF!,0)-1,0,COUNTIF(#REF!,#REF!),1)</definedName>
    <definedName name="차명" localSheetId="2">OFFSET(#REF!,MATCH(#REF!,#REF!,0)-1,0,COUNTIF(#REF!,#REF!),1)</definedName>
    <definedName name="차명" localSheetId="1">OFFSET(#REF!,MATCH(#REF!,#REF!,0)-1,0,COUNTIF(#REF!,#REF!),1)</definedName>
    <definedName name="차명">OFFSET(#REF!,MATCH(#REF!,#REF!,0)-1,0,COUNTIF(#REF!,#REF!),1)</definedName>
    <definedName name="차입" localSheetId="8">#REF!</definedName>
    <definedName name="차입" localSheetId="2">#REF!</definedName>
    <definedName name="차입" localSheetId="1">#REF!</definedName>
    <definedName name="차입">#REF!</definedName>
    <definedName name="차입금계획" hidden="1">{#N/A,#N/A,FALSE,"손익표지";#N/A,#N/A,FALSE,"손익계산";#N/A,#N/A,FALSE,"일반관리비";#N/A,#N/A,FALSE,"영업외수익";#N/A,#N/A,FALSE,"영업외비용";#N/A,#N/A,FALSE,"매출액";#N/A,#N/A,FALSE,"요약손익";#N/A,#N/A,FALSE,"요약대차";#N/A,#N/A,FALSE,"매출채권현황";#N/A,#N/A,FALSE,"매출채권명세"}</definedName>
    <definedName name="차입금리" localSheetId="8">#REF!</definedName>
    <definedName name="차입금리" localSheetId="2">#REF!</definedName>
    <definedName name="차입금리" localSheetId="1">#REF!</definedName>
    <definedName name="차입금리">#REF!</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입처" localSheetId="8">#REF!</definedName>
    <definedName name="차입처" localSheetId="2">#REF!</definedName>
    <definedName name="차입처" localSheetId="1">#REF!</definedName>
    <definedName name="차입처">#REF!</definedName>
    <definedName name="차장" localSheetId="8">#REF!</definedName>
    <definedName name="차장" localSheetId="2">#REF!</definedName>
    <definedName name="차장" localSheetId="1">#REF!</definedName>
    <definedName name="차장">#REF!</definedName>
    <definedName name="차ㅓㅇ" localSheetId="8">#REF!</definedName>
    <definedName name="차ㅓㅇ" localSheetId="2">#REF!</definedName>
    <definedName name="차ㅓㅇ" localSheetId="1">#REF!</definedName>
    <definedName name="차ㅓㅇ">#REF!</definedName>
    <definedName name="착공식" localSheetId="8">#REF!</definedName>
    <definedName name="착공식" localSheetId="2">#REF!</definedName>
    <definedName name="착공식" localSheetId="1">#REF!</definedName>
    <definedName name="착공식">#REF!</definedName>
    <definedName name="참고자료" hidden="1">{#VALUE!,#N/A,FALSE,0;#N/A,#N/A,FALSE,0;#N/A,#N/A,FALSE,0;#N/A,#N/A,FALSE,0}</definedName>
    <definedName name="책임" localSheetId="8">OFFSET(#REF!,MATCH(#REF!,#REF!,0)-1,1,1,1)</definedName>
    <definedName name="책임" localSheetId="2">OFFSET(#REF!,MATCH(#REF!,#REF!,0)-1,1,1,1)</definedName>
    <definedName name="책임" localSheetId="1">OFFSET(#REF!,MATCH(#REF!,#REF!,0)-1,1,1,1)</definedName>
    <definedName name="책임">OFFSET(#REF!,MATCH(#REF!,#REF!,0)-1,1,1,1)</definedName>
    <definedName name="처" localSheetId="8">#REF!</definedName>
    <definedName name="처" localSheetId="2">#REF!</definedName>
    <definedName name="처" localSheetId="1">#REF!</definedName>
    <definedName name="처">#REF!</definedName>
    <definedName name="철구사업본부" localSheetId="8">#REF!</definedName>
    <definedName name="철구사업본부" localSheetId="2">#REF!</definedName>
    <definedName name="철구사업본부" localSheetId="1">#REF!</definedName>
    <definedName name="철구사업본부">#REF!</definedName>
    <definedName name="철도청" hidden="1">{#N/A,#N/A,FALSE,"손익표지";#N/A,#N/A,FALSE,"손익계산";#N/A,#N/A,FALSE,"일반관리비";#N/A,#N/A,FALSE,"영업외수익";#N/A,#N/A,FALSE,"영업외비용";#N/A,#N/A,FALSE,"매출액";#N/A,#N/A,FALSE,"요약손익";#N/A,#N/A,FALSE,"요약대차";#N/A,#N/A,FALSE,"매출채권현황";#N/A,#N/A,FALSE,"매출채권명세"}</definedName>
    <definedName name="첫장" hidden="1">{#N/A,#N/A,TRUE,"총괄"}</definedName>
    <definedName name="淸算工事__小計" localSheetId="8">#REF!</definedName>
    <definedName name="淸算工事__小計" localSheetId="2">#REF!</definedName>
    <definedName name="淸算工事__小計" localSheetId="1">#REF!</definedName>
    <definedName name="淸算工事__小計">#REF!</definedName>
    <definedName name="청상과부1" localSheetId="8">#REF!</definedName>
    <definedName name="청상과부1" localSheetId="2">#REF!</definedName>
    <definedName name="청상과부1" localSheetId="1">#REF!</definedName>
    <definedName name="청상과부1">#REF!</definedName>
    <definedName name="초임1" hidden="1">{#N/A,"평상기적용",FALSE,"입장료";#N/A,#N/A,FALSE,"매출총괄";#N/A,#N/A,FALSE,"월별손익"}</definedName>
    <definedName name="총" localSheetId="8">#REF!</definedName>
    <definedName name="총" localSheetId="2">#REF!</definedName>
    <definedName name="총" localSheetId="1">#REF!</definedName>
    <definedName name="총">#REF!</definedName>
    <definedName name="총갑지" localSheetId="8" hidden="1">#REF!</definedName>
    <definedName name="총갑지" localSheetId="2" hidden="1">#REF!</definedName>
    <definedName name="총갑지" localSheetId="1" hidden="1">#REF!</definedName>
    <definedName name="총갑지" hidden="1">#REF!</definedName>
    <definedName name="총괄" localSheetId="8" hidden="1">#REF!</definedName>
    <definedName name="총괄" localSheetId="2" hidden="1">#REF!</definedName>
    <definedName name="총괄" localSheetId="1" hidden="1">#REF!</definedName>
    <definedName name="총괄" hidden="1">#REF!</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촤" hidden="1">{#N/A,#N/A,FALSE,"이태원철근"}</definedName>
    <definedName name="최건진행" localSheetId="8">#REF!</definedName>
    <definedName name="최건진행" localSheetId="2">#REF!</definedName>
    <definedName name="최건진행" localSheetId="1">#REF!</definedName>
    <definedName name="최건진행">#REF!</definedName>
    <definedName name="최건청산" localSheetId="8">#REF!</definedName>
    <definedName name="최건청산" localSheetId="2">#REF!</definedName>
    <definedName name="최건청산" localSheetId="1">#REF!</definedName>
    <definedName name="최건청산">#REF!</definedName>
    <definedName name="최건청산2" localSheetId="8">#REF!</definedName>
    <definedName name="최건청산2" localSheetId="2">#REF!</definedName>
    <definedName name="최건청산2" localSheetId="1">#REF!</definedName>
    <definedName name="최건청산2">#REF!</definedName>
    <definedName name="최경호" localSheetId="8">#REF!</definedName>
    <definedName name="최경호" localSheetId="2">#REF!</definedName>
    <definedName name="최경호" localSheetId="1">#REF!</definedName>
    <definedName name="최경호">#REF!</definedName>
    <definedName name="최동남" localSheetId="8">#REF!</definedName>
    <definedName name="최동남" localSheetId="2">#REF!</definedName>
    <definedName name="최동남" localSheetId="1">#REF!</definedName>
    <definedName name="최동남">#REF!</definedName>
    <definedName name="최병길" localSheetId="8">#REF!</definedName>
    <definedName name="최병길" localSheetId="2">#REF!</definedName>
    <definedName name="최병길" localSheetId="1">#REF!</definedName>
    <definedName name="최병길">#REF!</definedName>
    <definedName name="최성배" localSheetId="8">#REF!</definedName>
    <definedName name="최성배" localSheetId="2">#REF!</definedName>
    <definedName name="최성배" localSheetId="1">#REF!</definedName>
    <definedName name="최성배">#REF!</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균" localSheetId="8">#REF!</definedName>
    <definedName name="최영균" localSheetId="2">#REF!</definedName>
    <definedName name="최영균" localSheetId="1">#REF!</definedName>
    <definedName name="최영균">#REF!</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대비표">#N/A</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이" hidden="1">{#VALUE!,#N/A,FALSE,0;#N/A,#N/A,FALSE,0;#N/A,#N/A,FALSE,0;#N/A,#N/A,FALSE,0}</definedName>
    <definedName name="추정사업계획" localSheetId="8">#REF!</definedName>
    <definedName name="추정사업계획" localSheetId="2">#REF!</definedName>
    <definedName name="추정사업계획" localSheetId="1">#REF!</definedName>
    <definedName name="추정사업계획">#REF!</definedName>
    <definedName name="추정손익"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진" localSheetId="8">#REF!</definedName>
    <definedName name="추진" localSheetId="2">#REF!</definedName>
    <definedName name="추진" localSheetId="1">#REF!</definedName>
    <definedName name="추진">#REF!</definedName>
    <definedName name="추진현황" localSheetId="8">#REF!</definedName>
    <definedName name="추진현황" localSheetId="2">#REF!</definedName>
    <definedName name="추진현황" localSheetId="1">#REF!</definedName>
    <definedName name="추진현황">#REF!</definedName>
    <definedName name="추진효과">{"'BSC(2001)'!$A$27:$G$32"}</definedName>
    <definedName name="출납" localSheetId="8">#REF!</definedName>
    <definedName name="출납" localSheetId="2">#REF!</definedName>
    <definedName name="출납" localSheetId="1">#REF!</definedName>
    <definedName name="출납">#REF!</definedName>
    <definedName name="출판" hidden="1">{#N/A,#N/A,FALSE,"지침";#N/A,#N/A,FALSE,"환경분석";#N/A,#N/A,FALSE,"Sheet16"}</definedName>
    <definedName name="출판C" localSheetId="8">#REF!</definedName>
    <definedName name="출판C" localSheetId="2">#REF!</definedName>
    <definedName name="출판C" localSheetId="1">#REF!</definedName>
    <definedName name="출판C">#REF!</definedName>
    <definedName name="출판CF" localSheetId="8">#REF!</definedName>
    <definedName name="출판CF" localSheetId="2">#REF!</definedName>
    <definedName name="출판CF" localSheetId="1">#REF!</definedName>
    <definedName name="출판CF">#REF!</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원" localSheetId="8">#REF!</definedName>
    <definedName name="충원" localSheetId="2">#REF!</definedName>
    <definedName name="충원" localSheetId="1">#REF!</definedName>
    <definedName name="충원">#REF!</definedName>
    <definedName name="츄" hidden="1">{#N/A,#N/A,FALSE,"Sheet1"}</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ㅊ" hidden="1">{#N/A,#N/A,FALSE,"Sheet1"}</definedName>
    <definedName name="칷__?____?" localSheetId="8">#REF!</definedName>
    <definedName name="칷__?____?" localSheetId="2">#REF!</definedName>
    <definedName name="칷__?____?" localSheetId="1">#REF!</definedName>
    <definedName name="칷__?____?">#REF!</definedName>
    <definedName name="캐쉬" hidden="1">{#N/A,#N/A,FALSE,"지침";#N/A,#N/A,FALSE,"환경분석";#N/A,#N/A,FALSE,"Sheet16"}</definedName>
    <definedName name="코스재료비" localSheetId="8">#REF!</definedName>
    <definedName name="코스재료비" localSheetId="2">#REF!</definedName>
    <definedName name="코스재료비" localSheetId="1">#REF!</definedName>
    <definedName name="코스재료비">#REF!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테이너손료" localSheetId="8">#REF!</definedName>
    <definedName name="콘테이너손료" localSheetId="2">#REF!</definedName>
    <definedName name="콘테이너손료" localSheetId="1">#REF!</definedName>
    <definedName name="콘테이너손료">#REF!</definedName>
    <definedName name="클_레_임">#N/A</definedName>
    <definedName name="ㅌ"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타당성" localSheetId="8">#REF!</definedName>
    <definedName name="타당성" localSheetId="2">#REF!</definedName>
    <definedName name="타당성" localSheetId="1">#REF!</definedName>
    <definedName name="타당성">#REF!</definedName>
    <definedName name="타이어" localSheetId="8">#REF!</definedName>
    <definedName name="타이어" localSheetId="2">#REF!</definedName>
    <definedName name="타이어" localSheetId="1">#REF!</definedName>
    <definedName name="타이어">#REF!</definedName>
    <definedName name="템플리트모듈1" localSheetId="8">BlankMacro1</definedName>
    <definedName name="템플리트모듈1" localSheetId="2">BlankMacro1</definedName>
    <definedName name="템플리트모듈1" localSheetId="1">BlankMacro1</definedName>
    <definedName name="템플리트모듈1">BlankMacro1</definedName>
    <definedName name="템플리트모듈2" localSheetId="8">BlankMacro1</definedName>
    <definedName name="템플리트모듈2" localSheetId="2">BlankMacro1</definedName>
    <definedName name="템플리트모듈2" localSheetId="1">BlankMacro1</definedName>
    <definedName name="템플리트모듈2">BlankMacro1</definedName>
    <definedName name="템플리트모듈3" localSheetId="8">BlankMacro1</definedName>
    <definedName name="템플리트모듈3" localSheetId="2">BlankMacro1</definedName>
    <definedName name="템플리트모듈3" localSheetId="1">BlankMacro1</definedName>
    <definedName name="템플리트모듈3">BlankMacro1</definedName>
    <definedName name="템플리트모듈4" localSheetId="8">BlankMacro1</definedName>
    <definedName name="템플리트모듈4" localSheetId="2">BlankMacro1</definedName>
    <definedName name="템플리트모듈4" localSheetId="1">BlankMacro1</definedName>
    <definedName name="템플리트모듈4">BlankMacro1</definedName>
    <definedName name="템플리트모듈5" localSheetId="8">BlankMacro1</definedName>
    <definedName name="템플리트모듈5" localSheetId="2">BlankMacro1</definedName>
    <definedName name="템플리트모듈5" localSheetId="1">BlankMacro1</definedName>
    <definedName name="템플리트모듈5">BlankMacro1</definedName>
    <definedName name="템플리트모듈6" localSheetId="8">BlankMacro1</definedName>
    <definedName name="템플리트모듈6" localSheetId="2">BlankMacro1</definedName>
    <definedName name="템플리트모듈6" localSheetId="1">BlankMacro1</definedName>
    <definedName name="템플리트모듈6">BlankMacro1</definedName>
    <definedName name="토">#N/A</definedName>
    <definedName name="토공" localSheetId="8">#REF!</definedName>
    <definedName name="토공" localSheetId="2">#REF!</definedName>
    <definedName name="토공" localSheetId="1">#REF!</definedName>
    <definedName name="토공">#REF!</definedName>
    <definedName name="토공량" hidden="1">{#N/A,#N/A,FALSE,"기안지";#N/A,#N/A,FALSE,"통신지"}</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토목p" localSheetId="8">#REF!</definedName>
    <definedName name="토목p" localSheetId="2">#REF!</definedName>
    <definedName name="토목p" localSheetId="1">#REF!</definedName>
    <definedName name="토목p">#REF!</definedName>
    <definedName name="토목공사" hidden="1">{#N/A,#N/A,FALSE,"이태원철근"}</definedName>
    <definedName name="토목설계" hidden="1">{#N/A,#N/A,FALSE,"골재소요량";#N/A,#N/A,FALSE,"골재소요량"}</definedName>
    <definedName name="토목이월" localSheetId="8">#REF!</definedName>
    <definedName name="토목이월" localSheetId="2">#REF!</definedName>
    <definedName name="토목이월" localSheetId="1">#REF!</definedName>
    <definedName name="토목이월">#REF!</definedName>
    <definedName name="토목이월1" localSheetId="8">#REF!</definedName>
    <definedName name="토목이월1" localSheetId="2">#REF!</definedName>
    <definedName name="토목이월1" localSheetId="1">#REF!</definedName>
    <definedName name="토목이월1">#REF!</definedName>
    <definedName name="토요" localSheetId="8">#REF!</definedName>
    <definedName name="토요" localSheetId="2">#REF!</definedName>
    <definedName name="토요" localSheetId="1">#REF!</definedName>
    <definedName name="토요">#REF!</definedName>
    <definedName name="토요2" localSheetId="8">#REF!</definedName>
    <definedName name="토요2" localSheetId="2">#REF!</definedName>
    <definedName name="토요2" localSheetId="1">#REF!</definedName>
    <definedName name="토요2">#REF!</definedName>
    <definedName name="토지" localSheetId="8">#REF!</definedName>
    <definedName name="토지" localSheetId="2">#REF!</definedName>
    <definedName name="토지" localSheetId="1">#REF!</definedName>
    <definedName name="토지">#REF!</definedName>
    <definedName name="통근" localSheetId="8">#REF!</definedName>
    <definedName name="통근" localSheetId="2">#REF!</definedName>
    <definedName name="통근" localSheetId="1">#REF!</definedName>
    <definedName name="통근">#REF!</definedName>
    <definedName name="통신" localSheetId="8">#REF!</definedName>
    <definedName name="통신" localSheetId="2">#REF!</definedName>
    <definedName name="통신" localSheetId="1">#REF!</definedName>
    <definedName name="통신">#REF!</definedName>
    <definedName name="통신비" localSheetId="8">#REF!</definedName>
    <definedName name="통신비" localSheetId="2">#REF!</definedName>
    <definedName name="통신비" localSheetId="1">#REF!</definedName>
    <definedName name="통신비">#REF!</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투" localSheetId="8" hidden="1">#REF!</definedName>
    <definedName name="투" localSheetId="2" hidden="1">#REF!</definedName>
    <definedName name="투" localSheetId="1" hidden="1">#REF!</definedName>
    <definedName name="투" hidden="1">#REF!</definedName>
    <definedName name="투입" localSheetId="8">#REF!</definedName>
    <definedName name="투입" localSheetId="2">#REF!</definedName>
    <definedName name="투입" localSheetId="1">#REF!</definedName>
    <definedName name="투입">#REF!</definedName>
    <definedName name="투자계획" localSheetId="8">#REF!</definedName>
    <definedName name="투자계획" localSheetId="2">#REF!</definedName>
    <definedName name="투자계획" localSheetId="1">#REF!</definedName>
    <definedName name="투자계획">#REF!</definedName>
    <definedName name="투자타당성분석" localSheetId="8">#REF!</definedName>
    <definedName name="투자타당성분석" localSheetId="2">#REF!</definedName>
    <definedName name="투자타당성분석" localSheetId="1">#REF!</definedName>
    <definedName name="투자타당성분석">#REF!</definedName>
    <definedName name="투찰" hidden="1">{#N/A,#N/A,FALSE,"단가표지"}</definedName>
    <definedName name="튜" hidden="1">{#N/A,#N/A,FALSE,"Sheet1"}</definedName>
    <definedName name="특소세" localSheetId="8">INDEX(#REF!,MATCH(#REF!,#REF!,0))</definedName>
    <definedName name="특소세" localSheetId="2">INDEX(#REF!,MATCH(#REF!,#REF!,0))</definedName>
    <definedName name="특소세" localSheetId="1">INDEX(#REF!,MATCH(#REF!,#REF!,0))</definedName>
    <definedName name="특소세">INDEX(#REF!,MATCH(#REF!,#REF!,0))</definedName>
    <definedName name="특소세2" localSheetId="8">INDEX(#REF!,MATCH(#REF!,#REF!,0))</definedName>
    <definedName name="특소세2" localSheetId="2">INDEX(#REF!,MATCH(#REF!,#REF!,0))</definedName>
    <definedName name="특소세2" localSheetId="1">INDEX(#REF!,MATCH(#REF!,#REF!,0))</definedName>
    <definedName name="특소세2">INDEX(#REF!,MATCH(#REF!,#REF!,0))</definedName>
    <definedName name="팀" localSheetId="8">#REF!</definedName>
    <definedName name="팀" localSheetId="2">#REF!</definedName>
    <definedName name="팀" localSheetId="1">#REF!</definedName>
    <definedName name="팀">#REF!</definedName>
    <definedName name="팀명" localSheetId="8">#REF!</definedName>
    <definedName name="팀명" localSheetId="2">#REF!</definedName>
    <definedName name="팀명" localSheetId="1">#REF!</definedName>
    <definedName name="팀명">#REF!</definedName>
    <definedName name="ㅍㅍ" localSheetId="8" hidden="1">#REF!</definedName>
    <definedName name="ㅍㅍ" localSheetId="2" hidden="1">#REF!</definedName>
    <definedName name="ㅍㅍ" localSheetId="1" hidden="1">#REF!</definedName>
    <definedName name="ㅍㅍ" hidden="1">#REF!</definedName>
    <definedName name="ㅍㅍㅍ">#N/A</definedName>
    <definedName name="파생" hidden="1">{#N/A,#N/A,FALSE,"Sheet1"}</definedName>
    <definedName name="파트넘버" localSheetId="8">#REF!</definedName>
    <definedName name="파트넘버" localSheetId="2">#REF!</definedName>
    <definedName name="파트넘버" localSheetId="1">#REF!</definedName>
    <definedName name="파트넘버">#REF!</definedName>
    <definedName name="판" localSheetId="8">#REF!</definedName>
    <definedName name="판" localSheetId="2">#REF!</definedName>
    <definedName name="판" localSheetId="1">#REF!</definedName>
    <definedName name="판">#REF!</definedName>
    <definedName name="판관비">#N/A</definedName>
    <definedName name="판관비누계" hidden="1">{#N/A,#N/A,FALSE,"Sheet1"}</definedName>
    <definedName name="판관비현황비교2" hidden="1">{#N/A,#N/A,FALSE,"Sheet1"}</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균" hidden="1">{#N/A,#N/A,FALSE,"손익표지";#N/A,#N/A,FALSE,"손익계산";#N/A,#N/A,FALSE,"일반관리비";#N/A,#N/A,FALSE,"영업외수익";#N/A,#N/A,FALSE,"영업외비용";#N/A,#N/A,FALSE,"매출액";#N/A,#N/A,FALSE,"요약손익";#N/A,#N/A,FALSE,"요약대차";#N/A,#N/A,FALSE,"매출채권현황";#N/A,#N/A,FALSE,"매출채권명세"}</definedName>
    <definedName name="평균율" localSheetId="8">#REF!</definedName>
    <definedName name="평균율" localSheetId="2">#REF!</definedName>
    <definedName name="평균율" localSheetId="1">#REF!</definedName>
    <definedName name="평균율">#REF!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 localSheetId="8">#REF!</definedName>
    <definedName name="포장공" localSheetId="2">#REF!</definedName>
    <definedName name="포장공" localSheetId="1">#REF!</definedName>
    <definedName name="포장공">#REF!</definedName>
    <definedName name="표" hidden="1">{#N/A,#N/A,FALSE,"손익표지";#N/A,#N/A,FALSE,"손익계산";#N/A,#N/A,FALSE,"일반관리비";#N/A,#N/A,FALSE,"영업외수익";#N/A,#N/A,FALSE,"영업외비용";#N/A,#N/A,FALSE,"매출액";#N/A,#N/A,FALSE,"요약손익";#N/A,#N/A,FALSE,"요약대차";#N/A,#N/A,FALSE,"매출채권현황";#N/A,#N/A,FALSE,"매출채권명세"}</definedName>
    <definedName name="표제2" localSheetId="8">#REF!</definedName>
    <definedName name="표제2" localSheetId="2">#REF!</definedName>
    <definedName name="표제2" localSheetId="1">#REF!</definedName>
    <definedName name="표제2">#REF!</definedName>
    <definedName name="표종류" localSheetId="8">#REF!</definedName>
    <definedName name="표종류" localSheetId="2">#REF!</definedName>
    <definedName name="표종류" localSheetId="1">#REF!</definedName>
    <definedName name="표종류">#REF!</definedName>
    <definedName name="표준운" hidden="1">{#N/A,#N/A,FALSE,"손익표지";#N/A,#N/A,FALSE,"손익계산";#N/A,#N/A,FALSE,"일반관리비";#N/A,#N/A,FALSE,"영업외수익";#N/A,#N/A,FALSE,"영업외비용";#N/A,#N/A,FALSE,"매출액";#N/A,#N/A,FALSE,"요약손익";#N/A,#N/A,FALSE,"요약대차";#N/A,#N/A,FALSE,"매출채권현황";#N/A,#N/A,FALSE,"매출채권명세"}</definedName>
    <definedName name="표지" hidden="1">{#N/A,#N/A,FALSE,"손익표지";#N/A,#N/A,FALSE,"손익계산";#N/A,#N/A,FALSE,"일반관리비";#N/A,#N/A,FALSE,"영업외수익";#N/A,#N/A,FALSE,"영업외비용";#N/A,#N/A,FALSE,"매출액";#N/A,#N/A,FALSE,"요약손익";#N/A,#N/A,FALSE,"요약대차";#N/A,#N/A,FALSE,"매출채권현황";#N/A,#N/A,FALSE,"매출채권명세"}</definedName>
    <definedName name="표지1">[0]!표지1</definedName>
    <definedName name="품_______">#N/A</definedName>
    <definedName name="플">#N/A</definedName>
    <definedName name="플랜" localSheetId="8">#REF!</definedName>
    <definedName name="플랜" localSheetId="2">#REF!</definedName>
    <definedName name="플랜" localSheetId="1">#REF!</definedName>
    <definedName name="플랜">#REF!</definedName>
    <definedName name="플랜11" localSheetId="8">#REF!</definedName>
    <definedName name="플랜11" localSheetId="2">#REF!</definedName>
    <definedName name="플랜11" localSheetId="1">#REF!</definedName>
    <definedName name="플랜11">#REF!</definedName>
    <definedName name="플랜트" localSheetId="8">#REF!</definedName>
    <definedName name="플랜트" localSheetId="2">#REF!</definedName>
    <definedName name="플랜트" localSheetId="1">#REF!</definedName>
    <definedName name="플랜트">#REF!</definedName>
    <definedName name="피디" localSheetId="8">#REF!</definedName>
    <definedName name="피디" localSheetId="2">#REF!</definedName>
    <definedName name="피디" localSheetId="1">#REF!</definedName>
    <definedName name="피디">#REF!</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ㅇㄴㄱㅎㄴㅁㄳㅎ" localSheetId="8">BlankMacro1</definedName>
    <definedName name="ㅎㅇㄴㄱㅎㄴㅁㄳㅎ" localSheetId="2">BlankMacro1</definedName>
    <definedName name="ㅎㅇㄴㄱㅎㄴㅁㄳㅎ" localSheetId="1">BlankMacro1</definedName>
    <definedName name="ㅎㅇㄴㄱㅎㄴㅁㄳㅎ">BlankMacro1</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ㅇㅎ" localSheetId="8">BlankMacro1</definedName>
    <definedName name="ㅎㅇㅎ" localSheetId="2">BlankMacro1</definedName>
    <definedName name="ㅎㅇㅎ" localSheetId="1">BlankMacro1</definedName>
    <definedName name="ㅎㅇㅎ">BlankMacro1</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#N/A</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8">#REF!</definedName>
    <definedName name="ㅎㅎㅎㅎ" localSheetId="2">#REF!</definedName>
    <definedName name="ㅎㅎㅎㅎ" localSheetId="1">#REF!</definedName>
    <definedName name="ㅎㅎㅎㅎ">#REF!</definedName>
    <definedName name="하도대상" hidden="1">{#N/A,#N/A,FALSE,"골재소요량";#N/A,#N/A,FALSE,"골재소요량"}</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한도수" localSheetId="8">#REF!</definedName>
    <definedName name="한도수" localSheetId="2">#REF!</definedName>
    <definedName name="한도수" localSheetId="1">#REF!</definedName>
    <definedName name="한도수">#REF!</definedName>
    <definedName name="한민현" localSheetId="8">#REF!</definedName>
    <definedName name="한민현" localSheetId="2">#REF!</definedName>
    <definedName name="한민현" localSheetId="1">#REF!</definedName>
    <definedName name="한민현">#REF!</definedName>
    <definedName name="한이수" localSheetId="8">#REF!</definedName>
    <definedName name="한이수" localSheetId="2">#REF!</definedName>
    <definedName name="한이수" localSheetId="1">#REF!</definedName>
    <definedName name="한이수">#REF!</definedName>
    <definedName name="한정웅" localSheetId="8">#REF!</definedName>
    <definedName name="한정웅" localSheetId="2">#REF!</definedName>
    <definedName name="한정웅" localSheetId="1">#REF!</definedName>
    <definedName name="한정웅">#REF!</definedName>
    <definedName name="한창수" localSheetId="8">#REF!</definedName>
    <definedName name="한창수" localSheetId="2">#REF!</definedName>
    <definedName name="한창수" localSheetId="1">#REF!</definedName>
    <definedName name="한창수">#REF!</definedName>
    <definedName name="한화" hidden="1">{#N/A,"평상기적용",FALSE,"입장료";#N/A,#N/A,FALSE,"매출총괄";#N/A,#N/A,FALSE,"월별손익"}</definedName>
    <definedName name="함돈훈" localSheetId="8">#REF!</definedName>
    <definedName name="함돈훈" localSheetId="2">#REF!</definedName>
    <definedName name="함돈훈" localSheetId="1">#REF!</definedName>
    <definedName name="함돈훈">#REF!</definedName>
    <definedName name="合____計">#N/A</definedName>
    <definedName name="합산PL2">[0]!합산PL2</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해외">#N/A</definedName>
    <definedName name="해외1" localSheetId="8">#REF!</definedName>
    <definedName name="해외1" localSheetId="2">#REF!</definedName>
    <definedName name="해외1" localSheetId="1">#REF!</definedName>
    <definedName name="해외1">#REF!</definedName>
    <definedName name="행사" localSheetId="8">#REF!</definedName>
    <definedName name="행사" localSheetId="2">#REF!</definedName>
    <definedName name="행사" localSheetId="1">#REF!</definedName>
    <definedName name="행사">#REF!</definedName>
    <definedName name="행사비" localSheetId="8">#REF!</definedName>
    <definedName name="행사비" localSheetId="2">#REF!</definedName>
    <definedName name="행사비" localSheetId="1">#REF!</definedName>
    <definedName name="행사비">#REF!</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현금" localSheetId="8">#REF!</definedName>
    <definedName name="현금" localSheetId="2">#REF!</definedName>
    <definedName name="현금" localSheetId="1">#REF!</definedName>
    <definedName name="현금">#REF!</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동실" localSheetId="8">#REF!</definedName>
    <definedName name="현동실" localSheetId="2">#REF!</definedName>
    <definedName name="현동실" localSheetId="1">#REF!</definedName>
    <definedName name="현동실">#REF!</definedName>
    <definedName name="현상" localSheetId="8">#REF!</definedName>
    <definedName name="현상" localSheetId="2">#REF!</definedName>
    <definedName name="현상" localSheetId="1">#REF!</definedName>
    <definedName name="현상">#REF!</definedName>
    <definedName name="현상분석" localSheetId="8">#REF!</definedName>
    <definedName name="현상분석" localSheetId="2">#REF!</definedName>
    <definedName name="현상분석" localSheetId="1">#REF!</definedName>
    <definedName name="현상분석">#REF!</definedName>
    <definedName name="현승호" localSheetId="8">#REF!</definedName>
    <definedName name="현승호" localSheetId="2">#REF!</definedName>
    <definedName name="현승호" localSheetId="1">#REF!</definedName>
    <definedName name="현승호">#REF!</definedName>
    <definedName name="현장" localSheetId="8">#REF!</definedName>
    <definedName name="현장" localSheetId="2">#REF!</definedName>
    <definedName name="현장" localSheetId="1">#REF!</definedName>
    <definedName name="현장">#REF!</definedName>
    <definedName name="현재" localSheetId="8">#REF!</definedName>
    <definedName name="현재" localSheetId="2">#REF!</definedName>
    <definedName name="현재" localSheetId="1">#REF!</definedName>
    <definedName name="현재">#REF!</definedName>
    <definedName name="현재일" localSheetId="8">#REF!</definedName>
    <definedName name="현재일" localSheetId="2">#REF!</definedName>
    <definedName name="현재일" localSheetId="1">#REF!</definedName>
    <definedName name="현재일">#REF!</definedName>
    <definedName name="현지" localSheetId="8">#REF!</definedName>
    <definedName name="현지" localSheetId="2">#REF!</definedName>
    <definedName name="현지" localSheetId="1">#REF!</definedName>
    <definedName name="현지">#REF!</definedName>
    <definedName name="현황ㅇㅇ" hidden="1">{#N/A,#N/A,FALSE,"손익표지";#N/A,#N/A,FALSE,"손익계산";#N/A,#N/A,FALSE,"일반관리비";#N/A,#N/A,FALSE,"영업외수익";#N/A,#N/A,FALSE,"영업외비용";#N/A,#N/A,FALSE,"매출액";#N/A,#N/A,FALSE,"요약손익";#N/A,#N/A,FALSE,"요약대차";#N/A,#N/A,FALSE,"매출채권현황";#N/A,#N/A,FALSE,"매출채권명세"}</definedName>
    <definedName name="호" hidden="1">{#N/A,#N/A,FALSE,"손익표지";#N/A,#N/A,FALSE,"손익계산";#N/A,#N/A,FALSE,"일반관리비";#N/A,#N/A,FALSE,"영업외수익";#N/A,#N/A,FALSE,"영업외비용";#N/A,#N/A,FALSE,"매출액";#N/A,#N/A,FALSE,"요약손익";#N/A,#N/A,FALSE,"요약대차";#N/A,#N/A,FALSE,"매출채권현황";#N/A,#N/A,FALSE,"매출채권명세"}</definedName>
    <definedName name="호길" localSheetId="8">#REF!</definedName>
    <definedName name="호길" localSheetId="2">#REF!</definedName>
    <definedName name="호길" localSheetId="1">#REF!</definedName>
    <definedName name="호길">#REF!</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화순" localSheetId="8">#REF!</definedName>
    <definedName name="화순" localSheetId="2">#REF!</definedName>
    <definedName name="화순" localSheetId="1">#REF!</definedName>
    <definedName name="화순">#REF!</definedName>
    <definedName name="환율">1200.4</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황동진" localSheetId="8">#REF!</definedName>
    <definedName name="황동진" localSheetId="2">#REF!</definedName>
    <definedName name="황동진" localSheetId="1">#REF!</definedName>
    <definedName name="황동진">#REF!</definedName>
    <definedName name="황인태" localSheetId="8">#REF!</definedName>
    <definedName name="황인태" localSheetId="2">#REF!</definedName>
    <definedName name="황인태" localSheetId="1">#REF!</definedName>
    <definedName name="황인태">#REF!</definedName>
    <definedName name="회계" localSheetId="8">#REF!</definedName>
    <definedName name="회계" localSheetId="2">#REF!</definedName>
    <definedName name="회계" localSheetId="1">#REF!</definedName>
    <definedName name="회계">#REF!</definedName>
    <definedName name="회사개요" localSheetId="8">#REF!</definedName>
    <definedName name="회사개요" localSheetId="2">#REF!</definedName>
    <definedName name="회사개요" localSheetId="1">#REF!</definedName>
    <definedName name="회사개요">#REF!</definedName>
    <definedName name="회식대" localSheetId="8">#REF!</definedName>
    <definedName name="회식대" localSheetId="2">#REF!</definedName>
    <definedName name="회식대" localSheetId="1">#REF!</definedName>
    <definedName name="회식대">#REF!</definedName>
    <definedName name="회의비" localSheetId="8">#REF!</definedName>
    <definedName name="회의비" localSheetId="2">#REF!</definedName>
    <definedName name="회의비" localSheetId="1">#REF!</definedName>
    <definedName name="회의비">#REF!</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휘발유">1220</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흄관" hidden="1">{#N/A,#N/A,FALSE,"기안지";#N/A,#N/A,FALSE,"통신지"}</definedName>
    <definedName name="ㅏ"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ㅏ" localSheetId="8">#REF!</definedName>
    <definedName name="ㅏㅏㅏ" localSheetId="2">#REF!</definedName>
    <definedName name="ㅏㅏㅏ" localSheetId="1">#REF!</definedName>
    <definedName name="ㅏㅏㅏ">#REF!</definedName>
    <definedName name="ㅏㅏㅏㅏ" hidden="1">{#N/A,#N/A,FALSE,"손익표지";#N/A,#N/A,FALSE,"손익계산";#N/A,#N/A,FALSE,"일반관리비";#N/A,#N/A,FALSE,"영업외수익";#N/A,#N/A,FALSE,"영업외비용";#N/A,#N/A,FALSE,"매출액";#N/A,#N/A,FALSE,"요약손익";#N/A,#N/A,FALSE,"요약대차";#N/A,#N/A,FALSE,"매출채권현황";#N/A,#N/A,FALSE,"매출채권명세"}</definedName>
    <definedName name="ㅏㅏㅏㅏㅏ">#N/A</definedName>
    <definedName name="ㅐㅐㅐ" hidden="1">{#N/A,#N/A,FALSE,"지침";#N/A,#N/A,FALSE,"환경분석";#N/A,#N/A,FALSE,"Sheet16"}</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ㅓ"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ㅎ" hidden="1">{#N/A,#N/A,FALSE,"Sheet1"}</definedName>
    <definedName name="ㅓㅓ" hidden="1">{#N/A,#N/A,FALSE,"손익표지";#N/A,#N/A,FALSE,"손익계산";#N/A,#N/A,FALSE,"일반관리비";#N/A,#N/A,FALSE,"영업외수익";#N/A,#N/A,FALSE,"영업외비용";#N/A,#N/A,FALSE,"매출액";#N/A,#N/A,FALSE,"요약손익";#N/A,#N/A,FALSE,"요약대차";#N/A,#N/A,FALSE,"매출채권현황";#N/A,#N/A,FALSE,"매출채권명세"}</definedName>
    <definedName name="ㅓㅓㅓㅓㅓ">#N/A</definedName>
    <definedName name="ㅓㅓㅗ라ㅓㄴ오라ㅓㅁㄴ오라넘오람ㄴ엄ㄴㅇㅇㄴㅁㅁㄴㅇㅇㄴㄴㅇㅁ">#N/A</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ㅔ" hidden="1">{#N/A,#N/A,FALSE,"손익표지";#N/A,#N/A,FALSE,"손익계산";#N/A,#N/A,FALSE,"일반관리비";#N/A,#N/A,FALSE,"영업외수익";#N/A,#N/A,FALSE,"영업외비용";#N/A,#N/A,FALSE,"매출액";#N/A,#N/A,FALSE,"요약손익";#N/A,#N/A,FALSE,"요약대차";#N/A,#N/A,FALSE,"매출채권현황";#N/A,#N/A,FALSE,"매출채권명세"}</definedName>
    <definedName name="ㅕ" hidden="1">{#N/A,#N/A,FALSE,"손익표지";#N/A,#N/A,FALSE,"손익계산";#N/A,#N/A,FALSE,"일반관리비";#N/A,#N/A,FALSE,"영업외수익";#N/A,#N/A,FALSE,"영업외비용";#N/A,#N/A,FALSE,"매출액";#N/A,#N/A,FALSE,"요약손익";#N/A,#N/A,FALSE,"요약대차";#N/A,#N/A,FALSE,"매출채권현황";#N/A,#N/A,FALSE,"매출채권명세"}</definedName>
    <definedName name="ㅕㅛ" hidden="1">{#N/A,#N/A,FALSE,"Sheet1"}</definedName>
    <definedName name="ㅗ"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ㅎ" hidden="1">{#N/A,#N/A,FALSE,"Sheet1"}</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닌" hidden="1">{#N/A,#N/A,FALSE,"손익표지";#N/A,#N/A,FALSE,"손익계산";#N/A,#N/A,FALSE,"일반관리비";#N/A,#N/A,FALSE,"영업외수익";#N/A,#N/A,FALSE,"영업외비용";#N/A,#N/A,FALSE,"매출액";#N/A,#N/A,FALSE,"요약손익";#N/A,#N/A,FALSE,"요약대차";#N/A,#N/A,FALSE,"매출채권현황";#N/A,#N/A,FALSE,"매출채권명세"}</definedName>
    <definedName name="ㅗㅗ" hidden="1">{#N/A,#N/A,TRUE,"토적및재료집계";#N/A,#N/A,TRUE,"토적및재료집계";#N/A,#N/A,TRUE,"단위량"}</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ㅗ" localSheetId="8" hidden="1">#REF!</definedName>
    <definedName name="ㅗㅗㅗㅗ" localSheetId="2" hidden="1">#REF!</definedName>
    <definedName name="ㅗㅗㅗㅗ" localSheetId="1" hidden="1">#REF!</definedName>
    <definedName name="ㅗㅗㅗㅗ"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ㅕㅕㅕ">#N/A</definedName>
    <definedName name="ㅛㅗ허" hidden="1">{#N/A,#N/A,FALSE,"손익표지";#N/A,#N/A,FALSE,"손익계산";#N/A,#N/A,FALSE,"일반관리비";#N/A,#N/A,FALSE,"영업외수익";#N/A,#N/A,FALSE,"영업외비용";#N/A,#N/A,FALSE,"매출액";#N/A,#N/A,FALSE,"요약손익";#N/A,#N/A,FALSE,"요약대차";#N/A,#N/A,FALSE,"매출채권현황";#N/A,#N/A,FALSE,"매출채권명세"}</definedName>
    <definedName name="ㅜㅗㅛ" hidden="1">{#N/A,#N/A,FALSE,"Sheet1"}</definedName>
    <definedName name="ㅜㅜㅜ">#N/A</definedName>
    <definedName name="ㅜㅜㅜㅜㅜㅜㅜㅜㅜ" hidden="1">{#N/A,#N/A,FALSE,"Sheet1"}</definedName>
    <definedName name="ㅠ" hidden="1">{#N/A,#N/A,FALSE,"손익표지";#N/A,#N/A,FALSE,"손익계산";#N/A,#N/A,FALSE,"일반관리비";#N/A,#N/A,FALSE,"영업외수익";#N/A,#N/A,FALSE,"영업외비용";#N/A,#N/A,FALSE,"매출액";#N/A,#N/A,FALSE,"요약손익";#N/A,#N/A,FALSE,"요약대차";#N/A,#N/A,FALSE,"매출채권현황";#N/A,#N/A,FALSE,"매출채권명세"}</definedName>
    <definedName name="ㅠㅑㅜ" localSheetId="8" hidden="1">#REF!</definedName>
    <definedName name="ㅠㅑㅜ" localSheetId="2" hidden="1">#REF!</definedName>
    <definedName name="ㅠㅑㅜ" localSheetId="1" hidden="1">#REF!</definedName>
    <definedName name="ㅠㅑㅜ" hidden="1">#REF!</definedName>
    <definedName name="ㅠㅜㅠㅜㅜㅜ">#N/A</definedName>
    <definedName name="ㅠㅠㅠ" hidden="1">{#N/A,#N/A,FALSE,"지침";#N/A,#N/A,FALSE,"환경분석";#N/A,#N/A,FALSE,"Sheet16"}</definedName>
    <definedName name="ㅠㅠㅠㅠㅠㅓㅐ" localSheetId="8">BlankMacro1</definedName>
    <definedName name="ㅠㅠㅠㅠㅠㅓㅐ" localSheetId="2">BlankMacro1</definedName>
    <definedName name="ㅠㅠㅠㅠㅠㅓㅐ" localSheetId="1">BlankMacro1</definedName>
    <definedName name="ㅠㅠㅠㅠㅠㅓㅐ">BlankMacro1</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hidden="1">{#N/A,#N/A,FALSE,"Sheet1"}</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ㅏ" hidden="1">{#N/A,#N/A,FALSE,"Sheet1"}</definedName>
    <definedName name="ㅣㅣ" localSheetId="8">#REF!</definedName>
    <definedName name="ㅣㅣ" localSheetId="2">#REF!</definedName>
    <definedName name="ㅣㅣ" localSheetId="1">#REF!</definedName>
    <definedName name="ㅣㅣ">#REF!</definedName>
    <definedName name="ㅣㅣㅣㅣㅣㅣㅣㅣㅣㅣㅣ" hidden="1">{#N/A,#N/A,FALSE,"Sheet1"}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4" i="26" l="1"/>
  <c r="H125" i="25" l="1"/>
  <c r="H126" i="25"/>
  <c r="H127" i="25" l="1"/>
  <c r="J8" i="33"/>
  <c r="J29" i="33"/>
  <c r="J3" i="33" l="1"/>
  <c r="X28" i="33" l="1"/>
  <c r="X31" i="33"/>
  <c r="X32" i="33"/>
  <c r="X33" i="33"/>
  <c r="X34" i="33"/>
  <c r="X35" i="33"/>
  <c r="X36" i="33"/>
  <c r="X37" i="33"/>
  <c r="X38" i="33"/>
  <c r="X39" i="33"/>
  <c r="X40" i="33"/>
  <c r="X41" i="33"/>
  <c r="X42" i="33"/>
  <c r="X43" i="33"/>
  <c r="X44" i="33"/>
  <c r="X45" i="33"/>
  <c r="X46" i="33"/>
  <c r="X47" i="33"/>
  <c r="X48" i="33"/>
  <c r="X49" i="33"/>
  <c r="J69" i="33"/>
  <c r="K69" i="33"/>
  <c r="L69" i="33"/>
  <c r="M69" i="33"/>
  <c r="N69" i="33"/>
  <c r="O69" i="33"/>
  <c r="P69" i="33"/>
  <c r="I50" i="33" l="1"/>
  <c r="I29" i="33"/>
  <c r="I8" i="33"/>
  <c r="S52" i="33" l="1"/>
  <c r="U52" i="33"/>
  <c r="V52" i="33"/>
  <c r="S53" i="33"/>
  <c r="T53" i="33"/>
  <c r="U53" i="33"/>
  <c r="V53" i="33"/>
  <c r="S54" i="33"/>
  <c r="T54" i="33"/>
  <c r="U54" i="33"/>
  <c r="V54" i="33"/>
  <c r="V51" i="33"/>
  <c r="U51" i="33"/>
  <c r="S51" i="33"/>
  <c r="S46" i="33"/>
  <c r="H142" i="25" l="1"/>
  <c r="H143" i="25" s="1"/>
  <c r="I142" i="25"/>
  <c r="I143" i="25" s="1"/>
  <c r="J142" i="25"/>
  <c r="J143" i="25" s="1"/>
  <c r="K142" i="25"/>
  <c r="K143" i="25" s="1"/>
  <c r="L142" i="25"/>
  <c r="L143" i="25" s="1"/>
  <c r="M142" i="25"/>
  <c r="M143" i="25" s="1"/>
  <c r="N142" i="25"/>
  <c r="N143" i="25" s="1"/>
  <c r="G124" i="26"/>
  <c r="H133" i="25"/>
  <c r="I133" i="25"/>
  <c r="J133" i="25"/>
  <c r="K133" i="25"/>
  <c r="L133" i="25"/>
  <c r="M133" i="25"/>
  <c r="N133" i="25"/>
  <c r="G133" i="25"/>
  <c r="G142" i="25"/>
  <c r="W55" i="33"/>
  <c r="G126" i="25"/>
  <c r="G127" i="25" s="1"/>
  <c r="G125" i="25"/>
  <c r="A28" i="33"/>
  <c r="I69" i="33"/>
  <c r="I65" i="33"/>
  <c r="R28" i="33"/>
  <c r="Q28" i="33"/>
  <c r="Q49" i="33"/>
  <c r="R49" i="33"/>
  <c r="K29" i="33"/>
  <c r="L29" i="33"/>
  <c r="M29" i="33"/>
  <c r="N29" i="33"/>
  <c r="O29" i="33"/>
  <c r="P29" i="33"/>
  <c r="K8" i="33"/>
  <c r="L8" i="33"/>
  <c r="M8" i="33"/>
  <c r="N8" i="33"/>
  <c r="O8" i="33"/>
  <c r="P8" i="33"/>
  <c r="A49" i="33"/>
  <c r="R69" i="33" l="1"/>
  <c r="Q69" i="33"/>
  <c r="G134" i="25"/>
  <c r="W54" i="33"/>
  <c r="W52" i="33"/>
  <c r="W53" i="33"/>
  <c r="W51" i="33"/>
  <c r="W50" i="33" s="1"/>
  <c r="W42" i="33"/>
  <c r="W44" i="33"/>
  <c r="W46" i="33"/>
  <c r="W28" i="33"/>
  <c r="AE28" i="33" s="1"/>
  <c r="W49" i="33"/>
  <c r="M19" i="28"/>
  <c r="AE49" i="33" l="1"/>
  <c r="W69" i="33"/>
  <c r="L19" i="28"/>
  <c r="AE69" i="33" l="1"/>
  <c r="H29" i="33"/>
  <c r="H3" i="33" l="1"/>
  <c r="H8" i="33"/>
  <c r="E67" i="33" l="1"/>
  <c r="H63" i="33"/>
  <c r="F63" i="33"/>
  <c r="G63" i="33"/>
  <c r="I63" i="33"/>
  <c r="J63" i="33"/>
  <c r="K63" i="33"/>
  <c r="L63" i="33"/>
  <c r="M63" i="33"/>
  <c r="N63" i="33"/>
  <c r="O63" i="33"/>
  <c r="P63" i="33"/>
  <c r="E63" i="33"/>
  <c r="G65" i="33"/>
  <c r="H50" i="33"/>
  <c r="G17" i="28" l="1"/>
  <c r="K16" i="28" l="1"/>
  <c r="U16" i="28" s="1"/>
  <c r="W16" i="28" s="1"/>
  <c r="K17" i="28"/>
  <c r="U17" i="28" s="1"/>
  <c r="W17" i="28" s="1"/>
  <c r="K18" i="28"/>
  <c r="U18" i="28" s="1"/>
  <c r="K15" i="28"/>
  <c r="U15" i="28" s="1"/>
  <c r="W15" i="28" s="1"/>
  <c r="J19" i="28"/>
  <c r="F142" i="25"/>
  <c r="F143" i="25" s="1"/>
  <c r="G143" i="25"/>
  <c r="E142" i="25"/>
  <c r="E143" i="25" s="1"/>
  <c r="K19" i="28" l="1"/>
  <c r="U19" i="28"/>
  <c r="W18" i="28"/>
  <c r="W19" i="28" s="1"/>
  <c r="G29" i="33" l="1"/>
  <c r="U48" i="33"/>
  <c r="T48" i="33"/>
  <c r="U50" i="33" l="1"/>
  <c r="Q24" i="33"/>
  <c r="G59" i="33" l="1"/>
  <c r="G8" i="33"/>
  <c r="G3" i="33" l="1"/>
  <c r="G50" i="33" l="1"/>
  <c r="G4" i="33" s="1"/>
  <c r="A52" i="33"/>
  <c r="A53" i="33"/>
  <c r="A54" i="33"/>
  <c r="A51" i="33"/>
  <c r="A31" i="33"/>
  <c r="A32" i="33"/>
  <c r="A33" i="33"/>
  <c r="A34" i="33"/>
  <c r="A35" i="33"/>
  <c r="A36" i="33"/>
  <c r="A37" i="33"/>
  <c r="A38" i="33"/>
  <c r="A39" i="33"/>
  <c r="A40" i="33"/>
  <c r="A41" i="33"/>
  <c r="A42" i="33"/>
  <c r="A43" i="33"/>
  <c r="A44" i="33"/>
  <c r="A45" i="33"/>
  <c r="A46" i="33"/>
  <c r="A47" i="33"/>
  <c r="A48" i="33"/>
  <c r="A30" i="33"/>
  <c r="A13" i="33"/>
  <c r="A14" i="33"/>
  <c r="A15" i="33"/>
  <c r="A16" i="33"/>
  <c r="A17" i="33"/>
  <c r="A18" i="33"/>
  <c r="A19" i="33"/>
  <c r="A20" i="33"/>
  <c r="A21" i="33"/>
  <c r="A22" i="33"/>
  <c r="A23" i="33"/>
  <c r="A24" i="33"/>
  <c r="A25" i="33"/>
  <c r="A26" i="33"/>
  <c r="A27" i="33"/>
  <c r="A12" i="33"/>
  <c r="E8" i="33" l="1"/>
  <c r="F8" i="33"/>
  <c r="F29" i="33"/>
  <c r="E5" i="25" l="1"/>
  <c r="F5" i="25"/>
  <c r="G5" i="25"/>
  <c r="H5" i="25"/>
  <c r="I5" i="25"/>
  <c r="J5" i="25"/>
  <c r="K5" i="25"/>
  <c r="L5" i="25"/>
  <c r="M5" i="25"/>
  <c r="N5" i="25"/>
  <c r="E6" i="25"/>
  <c r="E7" i="25" s="1"/>
  <c r="F6" i="25"/>
  <c r="G6" i="25"/>
  <c r="G7" i="25" s="1"/>
  <c r="H6" i="25"/>
  <c r="H7" i="25" s="1"/>
  <c r="I6" i="25"/>
  <c r="I7" i="25" s="1"/>
  <c r="J6" i="25"/>
  <c r="J7" i="25" s="1"/>
  <c r="K6" i="25"/>
  <c r="K7" i="25" s="1"/>
  <c r="L6" i="25"/>
  <c r="L7" i="25" s="1"/>
  <c r="M6" i="25"/>
  <c r="M7" i="25" s="1"/>
  <c r="N6" i="25"/>
  <c r="N7" i="25" s="1"/>
  <c r="E11" i="25"/>
  <c r="F11" i="25"/>
  <c r="G11" i="25"/>
  <c r="H11" i="25"/>
  <c r="I11" i="25"/>
  <c r="J11" i="25"/>
  <c r="K11" i="25"/>
  <c r="L11" i="25"/>
  <c r="M11" i="25"/>
  <c r="N11" i="25"/>
  <c r="E12" i="25"/>
  <c r="F12" i="25"/>
  <c r="G12" i="25"/>
  <c r="H12" i="25"/>
  <c r="I12" i="25"/>
  <c r="J12" i="25"/>
  <c r="K12" i="25"/>
  <c r="L12" i="25"/>
  <c r="M12" i="25"/>
  <c r="N12" i="25"/>
  <c r="E17" i="25"/>
  <c r="F17" i="25"/>
  <c r="G17" i="25"/>
  <c r="H17" i="25"/>
  <c r="I17" i="25"/>
  <c r="J17" i="25"/>
  <c r="K17" i="25"/>
  <c r="L17" i="25"/>
  <c r="M17" i="25"/>
  <c r="N17" i="25"/>
  <c r="E18" i="25"/>
  <c r="E19" i="25" s="1"/>
  <c r="F18" i="25"/>
  <c r="F19" i="25" s="1"/>
  <c r="G18" i="25"/>
  <c r="G19" i="25" s="1"/>
  <c r="H18" i="25"/>
  <c r="H19" i="25" s="1"/>
  <c r="I18" i="25"/>
  <c r="I19" i="25" s="1"/>
  <c r="J18" i="25"/>
  <c r="J19" i="25" s="1"/>
  <c r="K18" i="25"/>
  <c r="K19" i="25" s="1"/>
  <c r="L18" i="25"/>
  <c r="L19" i="25" s="1"/>
  <c r="M18" i="25"/>
  <c r="M19" i="25" s="1"/>
  <c r="N18" i="25"/>
  <c r="N19" i="25" s="1"/>
  <c r="E23" i="25"/>
  <c r="F23" i="25"/>
  <c r="G23" i="25"/>
  <c r="H23" i="25"/>
  <c r="I23" i="25"/>
  <c r="J23" i="25"/>
  <c r="K23" i="25"/>
  <c r="L23" i="25"/>
  <c r="M23" i="25"/>
  <c r="N23" i="25"/>
  <c r="E24" i="25"/>
  <c r="E25" i="25" s="1"/>
  <c r="F24" i="25"/>
  <c r="F25" i="25" s="1"/>
  <c r="G24" i="25"/>
  <c r="G25" i="25" s="1"/>
  <c r="H24" i="25"/>
  <c r="H25" i="25" s="1"/>
  <c r="I24" i="25"/>
  <c r="I25" i="25" s="1"/>
  <c r="J24" i="25"/>
  <c r="J25" i="25" s="1"/>
  <c r="K24" i="25"/>
  <c r="K25" i="25" s="1"/>
  <c r="L24" i="25"/>
  <c r="L25" i="25" s="1"/>
  <c r="M24" i="25"/>
  <c r="M25" i="25" s="1"/>
  <c r="N24" i="25"/>
  <c r="E29" i="25"/>
  <c r="F29" i="25"/>
  <c r="G29" i="25"/>
  <c r="H29" i="25"/>
  <c r="I29" i="25"/>
  <c r="J29" i="25"/>
  <c r="K29" i="25"/>
  <c r="L29" i="25"/>
  <c r="M29" i="25"/>
  <c r="N29" i="25"/>
  <c r="E30" i="25"/>
  <c r="E31" i="25" s="1"/>
  <c r="F30" i="25"/>
  <c r="F31" i="25" s="1"/>
  <c r="G30" i="25"/>
  <c r="G31" i="25" s="1"/>
  <c r="H30" i="25"/>
  <c r="H31" i="25" s="1"/>
  <c r="I30" i="25"/>
  <c r="I31" i="25" s="1"/>
  <c r="J30" i="25"/>
  <c r="K30" i="25"/>
  <c r="K31" i="25" s="1"/>
  <c r="L30" i="25"/>
  <c r="L31" i="25" s="1"/>
  <c r="M30" i="25"/>
  <c r="M31" i="25" s="1"/>
  <c r="N30" i="25"/>
  <c r="N31" i="25" s="1"/>
  <c r="E35" i="25"/>
  <c r="F35" i="25"/>
  <c r="G35" i="25"/>
  <c r="H35" i="25"/>
  <c r="I35" i="25"/>
  <c r="J35" i="25"/>
  <c r="K35" i="25"/>
  <c r="L35" i="25"/>
  <c r="M35" i="25"/>
  <c r="N35" i="25"/>
  <c r="E36" i="25"/>
  <c r="E37" i="25" s="1"/>
  <c r="F36" i="25"/>
  <c r="F37" i="25" s="1"/>
  <c r="G36" i="25"/>
  <c r="G37" i="25" s="1"/>
  <c r="H36" i="25"/>
  <c r="H37" i="25" s="1"/>
  <c r="I36" i="25"/>
  <c r="I37" i="25" s="1"/>
  <c r="J36" i="25"/>
  <c r="J37" i="25" s="1"/>
  <c r="K36" i="25"/>
  <c r="K37" i="25" s="1"/>
  <c r="L36" i="25"/>
  <c r="L37" i="25" s="1"/>
  <c r="M36" i="25"/>
  <c r="M37" i="25" s="1"/>
  <c r="N36" i="25"/>
  <c r="N37" i="25" s="1"/>
  <c r="E41" i="25"/>
  <c r="F41" i="25"/>
  <c r="G41" i="25"/>
  <c r="H41" i="25"/>
  <c r="I41" i="25"/>
  <c r="J41" i="25"/>
  <c r="K41" i="25"/>
  <c r="L41" i="25"/>
  <c r="M41" i="25"/>
  <c r="N41" i="25"/>
  <c r="E42" i="25"/>
  <c r="E43" i="25" s="1"/>
  <c r="F42" i="25"/>
  <c r="G42" i="25"/>
  <c r="G43" i="25" s="1"/>
  <c r="H42" i="25"/>
  <c r="I42" i="25"/>
  <c r="I43" i="25" s="1"/>
  <c r="J42" i="25"/>
  <c r="J43" i="25" s="1"/>
  <c r="K42" i="25"/>
  <c r="L42" i="25"/>
  <c r="L43" i="25" s="1"/>
  <c r="M42" i="25"/>
  <c r="M43" i="25" s="1"/>
  <c r="N42" i="25"/>
  <c r="N43" i="25" s="1"/>
  <c r="E47" i="25"/>
  <c r="F47" i="25"/>
  <c r="G47" i="25"/>
  <c r="H47" i="25"/>
  <c r="I47" i="25"/>
  <c r="J47" i="25"/>
  <c r="K47" i="25"/>
  <c r="L47" i="25"/>
  <c r="M47" i="25"/>
  <c r="N47" i="25"/>
  <c r="E48" i="25"/>
  <c r="E49" i="25" s="1"/>
  <c r="F48" i="25"/>
  <c r="F49" i="25" s="1"/>
  <c r="G48" i="25"/>
  <c r="G49" i="25" s="1"/>
  <c r="H48" i="25"/>
  <c r="H49" i="25" s="1"/>
  <c r="I48" i="25"/>
  <c r="J48" i="25"/>
  <c r="J49" i="25" s="1"/>
  <c r="K48" i="25"/>
  <c r="K49" i="25" s="1"/>
  <c r="L48" i="25"/>
  <c r="L49" i="25" s="1"/>
  <c r="M48" i="25"/>
  <c r="M49" i="25" s="1"/>
  <c r="N48" i="25"/>
  <c r="N49" i="25" s="1"/>
  <c r="E53" i="25"/>
  <c r="F53" i="25"/>
  <c r="G53" i="25"/>
  <c r="H53" i="25"/>
  <c r="I53" i="25"/>
  <c r="J53" i="25"/>
  <c r="K53" i="25"/>
  <c r="L53" i="25"/>
  <c r="M53" i="25"/>
  <c r="N53" i="25"/>
  <c r="E54" i="25"/>
  <c r="E55" i="25" s="1"/>
  <c r="F54" i="25"/>
  <c r="F55" i="25" s="1"/>
  <c r="G54" i="25"/>
  <c r="G55" i="25" s="1"/>
  <c r="H54" i="25"/>
  <c r="H55" i="25" s="1"/>
  <c r="I54" i="25"/>
  <c r="I55" i="25" s="1"/>
  <c r="J54" i="25"/>
  <c r="J55" i="25" s="1"/>
  <c r="K54" i="25"/>
  <c r="K55" i="25" s="1"/>
  <c r="L54" i="25"/>
  <c r="L55" i="25" s="1"/>
  <c r="M54" i="25"/>
  <c r="M55" i="25" s="1"/>
  <c r="N54" i="25"/>
  <c r="N55" i="25" s="1"/>
  <c r="E59" i="25"/>
  <c r="F59" i="25"/>
  <c r="G59" i="25"/>
  <c r="H59" i="25"/>
  <c r="I59" i="25"/>
  <c r="J59" i="25"/>
  <c r="K59" i="25"/>
  <c r="L59" i="25"/>
  <c r="M59" i="25"/>
  <c r="N59" i="25"/>
  <c r="E60" i="25"/>
  <c r="E61" i="25" s="1"/>
  <c r="F60" i="25"/>
  <c r="F61" i="25" s="1"/>
  <c r="G60" i="25"/>
  <c r="G61" i="25" s="1"/>
  <c r="H60" i="25"/>
  <c r="H61" i="25" s="1"/>
  <c r="I60" i="25"/>
  <c r="I61" i="25" s="1"/>
  <c r="J60" i="25"/>
  <c r="J61" i="25" s="1"/>
  <c r="K60" i="25"/>
  <c r="K61" i="25" s="1"/>
  <c r="L60" i="25"/>
  <c r="L61" i="25" s="1"/>
  <c r="M60" i="25"/>
  <c r="M61" i="25" s="1"/>
  <c r="N60" i="25"/>
  <c r="N61" i="25" s="1"/>
  <c r="E71" i="25"/>
  <c r="F71" i="25"/>
  <c r="G71" i="25"/>
  <c r="H71" i="25"/>
  <c r="I71" i="25"/>
  <c r="J71" i="25"/>
  <c r="K71" i="25"/>
  <c r="L71" i="25"/>
  <c r="M71" i="25"/>
  <c r="N71" i="25"/>
  <c r="E72" i="25"/>
  <c r="E73" i="25" s="1"/>
  <c r="F72" i="25"/>
  <c r="F73" i="25" s="1"/>
  <c r="G72" i="25"/>
  <c r="G73" i="25" s="1"/>
  <c r="H72" i="25"/>
  <c r="H73" i="25" s="1"/>
  <c r="I72" i="25"/>
  <c r="I73" i="25" s="1"/>
  <c r="J72" i="25"/>
  <c r="J73" i="25" s="1"/>
  <c r="K72" i="25"/>
  <c r="K73" i="25" s="1"/>
  <c r="L72" i="25"/>
  <c r="L73" i="25" s="1"/>
  <c r="M72" i="25"/>
  <c r="M73" i="25" s="1"/>
  <c r="N72" i="25"/>
  <c r="N73" i="25" s="1"/>
  <c r="E77" i="25"/>
  <c r="F77" i="25"/>
  <c r="G77" i="25"/>
  <c r="H77" i="25"/>
  <c r="I77" i="25"/>
  <c r="J77" i="25"/>
  <c r="K77" i="25"/>
  <c r="L77" i="25"/>
  <c r="M77" i="25"/>
  <c r="N77" i="25"/>
  <c r="E78" i="25"/>
  <c r="E79" i="25" s="1"/>
  <c r="F78" i="25"/>
  <c r="F79" i="25" s="1"/>
  <c r="G78" i="25"/>
  <c r="G79" i="25" s="1"/>
  <c r="H78" i="25"/>
  <c r="H79" i="25" s="1"/>
  <c r="I78" i="25"/>
  <c r="J78" i="25"/>
  <c r="J79" i="25" s="1"/>
  <c r="K78" i="25"/>
  <c r="K79" i="25" s="1"/>
  <c r="L78" i="25"/>
  <c r="L79" i="25" s="1"/>
  <c r="M78" i="25"/>
  <c r="M79" i="25" s="1"/>
  <c r="N78" i="25"/>
  <c r="N79" i="25" s="1"/>
  <c r="E83" i="25"/>
  <c r="F83" i="25"/>
  <c r="G83" i="25"/>
  <c r="H83" i="25"/>
  <c r="I83" i="25"/>
  <c r="J83" i="25"/>
  <c r="K83" i="25"/>
  <c r="L83" i="25"/>
  <c r="M83" i="25"/>
  <c r="N83" i="25"/>
  <c r="E84" i="25"/>
  <c r="E85" i="25" s="1"/>
  <c r="F84" i="25"/>
  <c r="F85" i="25" s="1"/>
  <c r="G84" i="25"/>
  <c r="G85" i="25" s="1"/>
  <c r="H84" i="25"/>
  <c r="I84" i="25"/>
  <c r="I85" i="25" s="1"/>
  <c r="J84" i="25"/>
  <c r="J85" i="25" s="1"/>
  <c r="K84" i="25"/>
  <c r="K85" i="25" s="1"/>
  <c r="L84" i="25"/>
  <c r="L85" i="25" s="1"/>
  <c r="M84" i="25"/>
  <c r="M85" i="25" s="1"/>
  <c r="N84" i="25"/>
  <c r="N85" i="25" s="1"/>
  <c r="H85" i="25"/>
  <c r="E95" i="25"/>
  <c r="F95" i="25"/>
  <c r="G95" i="25"/>
  <c r="H95" i="25"/>
  <c r="I95" i="25"/>
  <c r="J95" i="25"/>
  <c r="K95" i="25"/>
  <c r="L95" i="25"/>
  <c r="M95" i="25"/>
  <c r="N95" i="25"/>
  <c r="E96" i="25"/>
  <c r="E97" i="25" s="1"/>
  <c r="F96" i="25"/>
  <c r="F97" i="25" s="1"/>
  <c r="G96" i="25"/>
  <c r="G97" i="25" s="1"/>
  <c r="H96" i="25"/>
  <c r="H97" i="25" s="1"/>
  <c r="I96" i="25"/>
  <c r="I97" i="25" s="1"/>
  <c r="J96" i="25"/>
  <c r="J97" i="25" s="1"/>
  <c r="K96" i="25"/>
  <c r="K97" i="25" s="1"/>
  <c r="L96" i="25"/>
  <c r="L97" i="25" s="1"/>
  <c r="M96" i="25"/>
  <c r="N96" i="25"/>
  <c r="N97" i="25" s="1"/>
  <c r="E101" i="25"/>
  <c r="F101" i="25"/>
  <c r="G101" i="25"/>
  <c r="H101" i="25"/>
  <c r="I101" i="25"/>
  <c r="J101" i="25"/>
  <c r="K101" i="25"/>
  <c r="L101" i="25"/>
  <c r="M101" i="25"/>
  <c r="N101" i="25"/>
  <c r="E102" i="25"/>
  <c r="E103" i="25" s="1"/>
  <c r="F102" i="25"/>
  <c r="F103" i="25" s="1"/>
  <c r="G102" i="25"/>
  <c r="G103" i="25" s="1"/>
  <c r="H102" i="25"/>
  <c r="H103" i="25" s="1"/>
  <c r="I102" i="25"/>
  <c r="I103" i="25" s="1"/>
  <c r="J102" i="25"/>
  <c r="J103" i="25" s="1"/>
  <c r="K102" i="25"/>
  <c r="K103" i="25" s="1"/>
  <c r="L102" i="25"/>
  <c r="L103" i="25" s="1"/>
  <c r="M102" i="25"/>
  <c r="M103" i="25" s="1"/>
  <c r="N102" i="25"/>
  <c r="N103" i="25" s="1"/>
  <c r="E107" i="25"/>
  <c r="F107" i="25"/>
  <c r="G107" i="25"/>
  <c r="H107" i="25"/>
  <c r="I107" i="25"/>
  <c r="J107" i="25"/>
  <c r="K107" i="25"/>
  <c r="L107" i="25"/>
  <c r="M107" i="25"/>
  <c r="N107" i="25"/>
  <c r="E108" i="25"/>
  <c r="E109" i="25" s="1"/>
  <c r="F108" i="25"/>
  <c r="F109" i="25" s="1"/>
  <c r="G108" i="25"/>
  <c r="G109" i="25" s="1"/>
  <c r="H108" i="25"/>
  <c r="H109" i="25" s="1"/>
  <c r="I108" i="25"/>
  <c r="I109" i="25" s="1"/>
  <c r="J108" i="25"/>
  <c r="J109" i="25" s="1"/>
  <c r="K108" i="25"/>
  <c r="K109" i="25" s="1"/>
  <c r="L108" i="25"/>
  <c r="L109" i="25" s="1"/>
  <c r="M108" i="25"/>
  <c r="M109" i="25" s="1"/>
  <c r="N108" i="25"/>
  <c r="N109" i="25" s="1"/>
  <c r="E113" i="25"/>
  <c r="F113" i="25"/>
  <c r="G113" i="25"/>
  <c r="H113" i="25"/>
  <c r="I113" i="25"/>
  <c r="J113" i="25"/>
  <c r="K113" i="25"/>
  <c r="L113" i="25"/>
  <c r="M113" i="25"/>
  <c r="N113" i="25"/>
  <c r="E114" i="25"/>
  <c r="E115" i="25" s="1"/>
  <c r="F114" i="25"/>
  <c r="F115" i="25" s="1"/>
  <c r="G114" i="25"/>
  <c r="G115" i="25" s="1"/>
  <c r="H114" i="25"/>
  <c r="H115" i="25" s="1"/>
  <c r="I114" i="25"/>
  <c r="I115" i="25" s="1"/>
  <c r="J114" i="25"/>
  <c r="J115" i="25" s="1"/>
  <c r="K114" i="25"/>
  <c r="K115" i="25" s="1"/>
  <c r="L114" i="25"/>
  <c r="L115" i="25" s="1"/>
  <c r="M114" i="25"/>
  <c r="M115" i="25" s="1"/>
  <c r="N114" i="25"/>
  <c r="N115" i="25" s="1"/>
  <c r="E119" i="25"/>
  <c r="F119" i="25"/>
  <c r="G119" i="25"/>
  <c r="H119" i="25"/>
  <c r="I119" i="25"/>
  <c r="J119" i="25"/>
  <c r="K119" i="25"/>
  <c r="L119" i="25"/>
  <c r="M119" i="25"/>
  <c r="N119" i="25"/>
  <c r="E120" i="25"/>
  <c r="E121" i="25" s="1"/>
  <c r="F120" i="25"/>
  <c r="F121" i="25" s="1"/>
  <c r="G120" i="25"/>
  <c r="G121" i="25" s="1"/>
  <c r="H120" i="25"/>
  <c r="H121" i="25" s="1"/>
  <c r="I120" i="25"/>
  <c r="I121" i="25" s="1"/>
  <c r="J120" i="25"/>
  <c r="J121" i="25" s="1"/>
  <c r="K120" i="25"/>
  <c r="K121" i="25" s="1"/>
  <c r="L120" i="25"/>
  <c r="L121" i="25" s="1"/>
  <c r="M120" i="25"/>
  <c r="M121" i="25" s="1"/>
  <c r="N120" i="25"/>
  <c r="N121" i="25" s="1"/>
  <c r="E133" i="25"/>
  <c r="F133" i="25"/>
  <c r="J138" i="25" l="1"/>
  <c r="J132" i="25"/>
  <c r="J15" i="25" s="1"/>
  <c r="I138" i="25"/>
  <c r="I132" i="25"/>
  <c r="I15" i="25" s="1"/>
  <c r="G139" i="25"/>
  <c r="H139" i="25"/>
  <c r="H138" i="25"/>
  <c r="H132" i="25"/>
  <c r="G132" i="25"/>
  <c r="G129" i="25" s="1"/>
  <c r="G138" i="25"/>
  <c r="N139" i="25"/>
  <c r="M139" i="25"/>
  <c r="M138" i="25"/>
  <c r="M132" i="25"/>
  <c r="K139" i="25"/>
  <c r="N13" i="25"/>
  <c r="N132" i="25"/>
  <c r="N75" i="25" s="1"/>
  <c r="N138" i="25"/>
  <c r="L138" i="25"/>
  <c r="L132" i="25"/>
  <c r="L15" i="25" s="1"/>
  <c r="J139" i="25"/>
  <c r="L139" i="25"/>
  <c r="K132" i="25"/>
  <c r="K75" i="25" s="1"/>
  <c r="K138" i="25"/>
  <c r="I139" i="25"/>
  <c r="I13" i="25"/>
  <c r="G13" i="25"/>
  <c r="G141" i="25" s="1"/>
  <c r="E139" i="25"/>
  <c r="H13" i="25"/>
  <c r="E138" i="25"/>
  <c r="E132" i="25"/>
  <c r="E15" i="25" s="1"/>
  <c r="M13" i="25"/>
  <c r="M141" i="25" s="1"/>
  <c r="K13" i="25"/>
  <c r="F139" i="25"/>
  <c r="F13" i="25"/>
  <c r="F138" i="25"/>
  <c r="M45" i="25"/>
  <c r="J31" i="25"/>
  <c r="I49" i="25"/>
  <c r="E13" i="25"/>
  <c r="E141" i="25" s="1"/>
  <c r="F7" i="25"/>
  <c r="M97" i="25"/>
  <c r="I79" i="25"/>
  <c r="F132" i="25"/>
  <c r="F45" i="25" s="1"/>
  <c r="K43" i="25"/>
  <c r="F43" i="25"/>
  <c r="J13" i="25"/>
  <c r="N25" i="25"/>
  <c r="L13" i="25"/>
  <c r="L141" i="25" s="1"/>
  <c r="H43" i="25"/>
  <c r="Q46" i="33"/>
  <c r="Q44" i="33"/>
  <c r="H63" i="25" l="1"/>
  <c r="H129" i="25"/>
  <c r="H15" i="25"/>
  <c r="H136" i="25" s="1"/>
  <c r="J141" i="25"/>
  <c r="K63" i="25"/>
  <c r="G15" i="25"/>
  <c r="K141" i="25"/>
  <c r="H141" i="25"/>
  <c r="K99" i="25"/>
  <c r="K45" i="25"/>
  <c r="K81" i="25"/>
  <c r="N141" i="25"/>
  <c r="I141" i="25"/>
  <c r="K15" i="25"/>
  <c r="F75" i="25"/>
  <c r="F15" i="25"/>
  <c r="H75" i="25"/>
  <c r="H81" i="25"/>
  <c r="E63" i="25"/>
  <c r="G45" i="25"/>
  <c r="F141" i="25"/>
  <c r="M81" i="25"/>
  <c r="G75" i="25"/>
  <c r="H45" i="25"/>
  <c r="G99" i="25"/>
  <c r="M15" i="25"/>
  <c r="M99" i="25"/>
  <c r="I45" i="25"/>
  <c r="H99" i="25"/>
  <c r="M75" i="25"/>
  <c r="I75" i="25"/>
  <c r="I63" i="25"/>
  <c r="I81" i="25"/>
  <c r="I99" i="25"/>
  <c r="E81" i="25"/>
  <c r="E75" i="25"/>
  <c r="E45" i="25"/>
  <c r="N45" i="25"/>
  <c r="N15" i="25"/>
  <c r="N99" i="25"/>
  <c r="G81" i="25"/>
  <c r="M63" i="25"/>
  <c r="G63" i="25"/>
  <c r="N81" i="25"/>
  <c r="N63" i="25"/>
  <c r="L75" i="25"/>
  <c r="J75" i="25"/>
  <c r="J45" i="25"/>
  <c r="J81" i="25"/>
  <c r="J63" i="25"/>
  <c r="J136" i="25" s="1"/>
  <c r="J99" i="25"/>
  <c r="E99" i="25"/>
  <c r="L63" i="25"/>
  <c r="F63" i="25"/>
  <c r="F99" i="25"/>
  <c r="L99" i="25"/>
  <c r="L45" i="25"/>
  <c r="L81" i="25"/>
  <c r="D142" i="25"/>
  <c r="I136" i="25" l="1"/>
  <c r="L136" i="25"/>
  <c r="G136" i="25"/>
  <c r="N136" i="25"/>
  <c r="M136" i="25"/>
  <c r="K136" i="25"/>
  <c r="F136" i="25"/>
  <c r="E136" i="25"/>
  <c r="F3" i="33" l="1"/>
  <c r="D143" i="25"/>
  <c r="F52" i="33"/>
  <c r="T52" i="33" s="1"/>
  <c r="F51" i="33"/>
  <c r="T51" i="33" s="1"/>
  <c r="F50" i="33" l="1"/>
  <c r="F4" i="33" s="1"/>
  <c r="E29" i="33"/>
  <c r="E50" i="33"/>
  <c r="C76" i="26" l="1"/>
  <c r="D46" i="26"/>
  <c r="E46" i="26"/>
  <c r="F46" i="26"/>
  <c r="G46" i="26"/>
  <c r="H46" i="26"/>
  <c r="I46" i="26"/>
  <c r="J46" i="26"/>
  <c r="K46" i="26"/>
  <c r="L46" i="26"/>
  <c r="M46" i="26"/>
  <c r="N46" i="26"/>
  <c r="C46" i="26"/>
  <c r="C48" i="25" l="1"/>
  <c r="C47" i="25"/>
  <c r="D133" i="25"/>
  <c r="C133" i="25"/>
  <c r="C102" i="25"/>
  <c r="C101" i="25"/>
  <c r="C96" i="25"/>
  <c r="C84" i="25"/>
  <c r="C83" i="25"/>
  <c r="C78" i="25"/>
  <c r="C77" i="25"/>
  <c r="C60" i="25"/>
  <c r="C72" i="25"/>
  <c r="C54" i="25"/>
  <c r="C38" i="25"/>
  <c r="C142" i="25" s="1"/>
  <c r="C11" i="25" l="1"/>
  <c r="C42" i="25" l="1"/>
  <c r="X51" i="33" l="1"/>
  <c r="Y51" i="33"/>
  <c r="Z51" i="33"/>
  <c r="AA51" i="33"/>
  <c r="AB51" i="33"/>
  <c r="AC51" i="33"/>
  <c r="AD51" i="33"/>
  <c r="X52" i="33"/>
  <c r="Y52" i="33"/>
  <c r="Z52" i="33"/>
  <c r="AA52" i="33"/>
  <c r="AB52" i="33"/>
  <c r="AC52" i="33"/>
  <c r="AD52" i="33"/>
  <c r="X53" i="33"/>
  <c r="Y53" i="33"/>
  <c r="Z53" i="33"/>
  <c r="AA53" i="33"/>
  <c r="AB53" i="33"/>
  <c r="AC53" i="33"/>
  <c r="AD53" i="33"/>
  <c r="X54" i="33"/>
  <c r="Y54" i="33"/>
  <c r="Z54" i="33"/>
  <c r="AA54" i="33"/>
  <c r="AB54" i="33"/>
  <c r="AC54" i="33"/>
  <c r="AD54" i="33"/>
  <c r="Q26" i="33"/>
  <c r="Q25" i="33"/>
  <c r="Q9" i="33"/>
  <c r="Q31" i="33"/>
  <c r="Q32" i="33"/>
  <c r="Q33" i="33"/>
  <c r="Q34" i="33"/>
  <c r="Q35" i="33"/>
  <c r="Q36" i="33"/>
  <c r="Q37" i="33"/>
  <c r="Q38" i="33"/>
  <c r="Q39" i="33"/>
  <c r="Q40" i="33"/>
  <c r="Q41" i="33"/>
  <c r="Q42" i="33"/>
  <c r="Q43" i="33"/>
  <c r="Q45" i="33"/>
  <c r="Q47" i="33"/>
  <c r="Q48" i="33"/>
  <c r="Q30" i="33"/>
  <c r="F57" i="33"/>
  <c r="G57" i="33"/>
  <c r="H57" i="33"/>
  <c r="I57" i="33"/>
  <c r="J57" i="33"/>
  <c r="K57" i="33"/>
  <c r="L57" i="33"/>
  <c r="M57" i="33"/>
  <c r="N57" i="33"/>
  <c r="O57" i="33"/>
  <c r="P57" i="33"/>
  <c r="F59" i="33"/>
  <c r="H59" i="33"/>
  <c r="I59" i="33"/>
  <c r="J59" i="33"/>
  <c r="K59" i="33"/>
  <c r="L59" i="33"/>
  <c r="M59" i="33"/>
  <c r="N59" i="33"/>
  <c r="O59" i="33"/>
  <c r="P59" i="33"/>
  <c r="F61" i="33"/>
  <c r="G61" i="33"/>
  <c r="H61" i="33"/>
  <c r="I61" i="33"/>
  <c r="J61" i="33"/>
  <c r="K61" i="33"/>
  <c r="L61" i="33"/>
  <c r="M61" i="33"/>
  <c r="N61" i="33"/>
  <c r="O61" i="33"/>
  <c r="P61" i="33"/>
  <c r="F65" i="33"/>
  <c r="H65" i="33"/>
  <c r="J65" i="33"/>
  <c r="K65" i="33"/>
  <c r="L65" i="33"/>
  <c r="M65" i="33"/>
  <c r="N65" i="33"/>
  <c r="O65" i="33"/>
  <c r="P65" i="33"/>
  <c r="F67" i="33"/>
  <c r="G67" i="33"/>
  <c r="H67" i="33"/>
  <c r="I67" i="33"/>
  <c r="J67" i="33"/>
  <c r="K67" i="33"/>
  <c r="L67" i="33"/>
  <c r="M67" i="33"/>
  <c r="N67" i="33"/>
  <c r="O67" i="33"/>
  <c r="P67" i="33"/>
  <c r="E65" i="33"/>
  <c r="E61" i="33"/>
  <c r="E59" i="33"/>
  <c r="Q52" i="33"/>
  <c r="R52" i="33" s="1"/>
  <c r="Q53" i="33"/>
  <c r="R53" i="33" s="1"/>
  <c r="Q54" i="33"/>
  <c r="R54" i="33" s="1"/>
  <c r="Q51" i="33"/>
  <c r="J50" i="33"/>
  <c r="K50" i="33"/>
  <c r="L50" i="33"/>
  <c r="M50" i="33"/>
  <c r="N50" i="33"/>
  <c r="O50" i="33"/>
  <c r="P50" i="33"/>
  <c r="J4" i="33" l="1"/>
  <c r="AF50" i="33"/>
  <c r="Q29" i="33"/>
  <c r="Q50" i="33"/>
  <c r="AG50" i="33" s="1"/>
  <c r="X50" i="33"/>
  <c r="T50" i="33"/>
  <c r="AC50" i="33"/>
  <c r="AB50" i="33"/>
  <c r="AE51" i="33"/>
  <c r="V50" i="33"/>
  <c r="AE54" i="33"/>
  <c r="AD50" i="33"/>
  <c r="AA50" i="33"/>
  <c r="Z50" i="33"/>
  <c r="Y50" i="33"/>
  <c r="S50" i="33"/>
  <c r="AE52" i="33"/>
  <c r="AE53" i="33"/>
  <c r="R51" i="33"/>
  <c r="R50" i="33" s="1"/>
  <c r="AE50" i="33" l="1"/>
  <c r="E57" i="33" l="1"/>
  <c r="S10" i="33"/>
  <c r="S11" i="33"/>
  <c r="S12" i="33"/>
  <c r="S13" i="33"/>
  <c r="S14" i="33"/>
  <c r="S15" i="33"/>
  <c r="S16" i="33"/>
  <c r="S17" i="33"/>
  <c r="S18" i="33"/>
  <c r="S19" i="33"/>
  <c r="S20" i="33"/>
  <c r="S21" i="33"/>
  <c r="S22" i="33"/>
  <c r="S23" i="33"/>
  <c r="S24" i="33"/>
  <c r="S25" i="33"/>
  <c r="S26" i="33"/>
  <c r="S27" i="33"/>
  <c r="S9" i="33"/>
  <c r="S31" i="33"/>
  <c r="S32" i="33"/>
  <c r="S33" i="33"/>
  <c r="S34" i="33"/>
  <c r="S35" i="33"/>
  <c r="S36" i="33"/>
  <c r="S37" i="33"/>
  <c r="S38" i="33"/>
  <c r="S39" i="33"/>
  <c r="S40" i="33"/>
  <c r="S41" i="33"/>
  <c r="S42" i="33"/>
  <c r="S43" i="33"/>
  <c r="S44" i="33"/>
  <c r="S67" i="33" s="1"/>
  <c r="S45" i="33"/>
  <c r="S47" i="33"/>
  <c r="S48" i="33"/>
  <c r="S57" i="33" l="1"/>
  <c r="S8" i="33"/>
  <c r="S65" i="33"/>
  <c r="S63" i="33"/>
  <c r="S61" i="33"/>
  <c r="S59" i="33"/>
  <c r="N118" i="26"/>
  <c r="M118" i="26"/>
  <c r="L118" i="26"/>
  <c r="K118" i="26"/>
  <c r="J118" i="26"/>
  <c r="I118" i="26"/>
  <c r="H118" i="26"/>
  <c r="G118" i="26"/>
  <c r="F118" i="26"/>
  <c r="E118" i="26"/>
  <c r="D118" i="26"/>
  <c r="C118" i="26"/>
  <c r="N112" i="26"/>
  <c r="M112" i="26"/>
  <c r="L112" i="26"/>
  <c r="K112" i="26"/>
  <c r="J112" i="26"/>
  <c r="I112" i="26"/>
  <c r="H112" i="26"/>
  <c r="G112" i="26"/>
  <c r="F112" i="26"/>
  <c r="E112" i="26"/>
  <c r="D112" i="26"/>
  <c r="C112" i="26"/>
  <c r="N106" i="26"/>
  <c r="M106" i="26"/>
  <c r="L106" i="26"/>
  <c r="K106" i="26"/>
  <c r="J106" i="26"/>
  <c r="I106" i="26"/>
  <c r="H106" i="26"/>
  <c r="G106" i="26"/>
  <c r="F106" i="26"/>
  <c r="E106" i="26"/>
  <c r="D106" i="26"/>
  <c r="C106" i="26"/>
  <c r="N100" i="26"/>
  <c r="M100" i="26"/>
  <c r="L100" i="26"/>
  <c r="K100" i="26"/>
  <c r="J100" i="26"/>
  <c r="I100" i="26"/>
  <c r="H100" i="26"/>
  <c r="G100" i="26"/>
  <c r="F100" i="26"/>
  <c r="E100" i="26"/>
  <c r="D100" i="26"/>
  <c r="C100" i="26"/>
  <c r="C94" i="26"/>
  <c r="D94" i="26"/>
  <c r="C88" i="26"/>
  <c r="D88" i="26"/>
  <c r="D119" i="25"/>
  <c r="D120" i="25"/>
  <c r="D121" i="25" s="1"/>
  <c r="C120" i="25"/>
  <c r="C121" i="25" s="1"/>
  <c r="C119" i="25"/>
  <c r="D113" i="25"/>
  <c r="D114" i="25"/>
  <c r="D115" i="25" s="1"/>
  <c r="C114" i="25"/>
  <c r="C115" i="25" s="1"/>
  <c r="C113" i="25"/>
  <c r="O124" i="25"/>
  <c r="O123" i="25"/>
  <c r="O122" i="25"/>
  <c r="O118" i="25"/>
  <c r="O117" i="25"/>
  <c r="O116" i="25"/>
  <c r="D107" i="25"/>
  <c r="D108" i="25"/>
  <c r="D109" i="25" s="1"/>
  <c r="C108" i="25"/>
  <c r="C109" i="25" s="1"/>
  <c r="C107" i="25"/>
  <c r="D101" i="25"/>
  <c r="D102" i="25"/>
  <c r="D103" i="25" s="1"/>
  <c r="C103" i="25"/>
  <c r="D95" i="25"/>
  <c r="D96" i="25"/>
  <c r="D97" i="25" s="1"/>
  <c r="C97" i="25"/>
  <c r="C95" i="25"/>
  <c r="D83" i="25"/>
  <c r="D84" i="25"/>
  <c r="C85" i="25"/>
  <c r="D77" i="25"/>
  <c r="D78" i="25"/>
  <c r="C79" i="25"/>
  <c r="D71" i="25"/>
  <c r="D72" i="25"/>
  <c r="C71" i="25"/>
  <c r="D59" i="25"/>
  <c r="D60" i="25"/>
  <c r="C59" i="25"/>
  <c r="D53" i="25"/>
  <c r="D54" i="25"/>
  <c r="D55" i="25" s="1"/>
  <c r="C55" i="25"/>
  <c r="C53" i="25"/>
  <c r="D47" i="25"/>
  <c r="D48" i="25"/>
  <c r="C49" i="25"/>
  <c r="D41" i="25"/>
  <c r="D42" i="25"/>
  <c r="D43" i="25" s="1"/>
  <c r="C41" i="25"/>
  <c r="D35" i="25"/>
  <c r="D36" i="25"/>
  <c r="D37" i="25" s="1"/>
  <c r="C36" i="25"/>
  <c r="C37" i="25" s="1"/>
  <c r="C35" i="25"/>
  <c r="D29" i="25"/>
  <c r="D30" i="25"/>
  <c r="D31" i="25" s="1"/>
  <c r="C30" i="25"/>
  <c r="C31" i="25" s="1"/>
  <c r="C29" i="25"/>
  <c r="D23" i="25"/>
  <c r="D24" i="25"/>
  <c r="C24" i="25"/>
  <c r="C23" i="25"/>
  <c r="D17" i="25"/>
  <c r="D18" i="25"/>
  <c r="C18" i="25"/>
  <c r="C19" i="25" s="1"/>
  <c r="C17" i="25"/>
  <c r="D11" i="25"/>
  <c r="D12" i="25"/>
  <c r="C12" i="25"/>
  <c r="D5" i="25"/>
  <c r="D6" i="25"/>
  <c r="C6" i="25"/>
  <c r="C5" i="25"/>
  <c r="D128" i="26"/>
  <c r="D125" i="26" s="1"/>
  <c r="E128" i="26"/>
  <c r="F128" i="26"/>
  <c r="F125" i="26" s="1"/>
  <c r="G128" i="26"/>
  <c r="H128" i="26"/>
  <c r="I128" i="26"/>
  <c r="I125" i="26" s="1"/>
  <c r="J128" i="26"/>
  <c r="J125" i="26" s="1"/>
  <c r="K128" i="26"/>
  <c r="K125" i="26" s="1"/>
  <c r="L128" i="26"/>
  <c r="L125" i="26" s="1"/>
  <c r="M128" i="26"/>
  <c r="M125" i="26" s="1"/>
  <c r="N128" i="26"/>
  <c r="N125" i="26" s="1"/>
  <c r="C128" i="26"/>
  <c r="N94" i="26"/>
  <c r="M94" i="26"/>
  <c r="L94" i="26"/>
  <c r="K94" i="26"/>
  <c r="J94" i="26"/>
  <c r="I94" i="26"/>
  <c r="H94" i="26"/>
  <c r="G94" i="26"/>
  <c r="F94" i="26"/>
  <c r="E94" i="26"/>
  <c r="N88" i="26"/>
  <c r="M88" i="26"/>
  <c r="L88" i="26"/>
  <c r="K88" i="26"/>
  <c r="J88" i="26"/>
  <c r="I88" i="26"/>
  <c r="H88" i="26"/>
  <c r="G88" i="26"/>
  <c r="F88" i="26"/>
  <c r="E88" i="26"/>
  <c r="N82" i="26"/>
  <c r="M82" i="26"/>
  <c r="L82" i="26"/>
  <c r="K82" i="26"/>
  <c r="J82" i="26"/>
  <c r="I82" i="26"/>
  <c r="H82" i="26"/>
  <c r="G82" i="26"/>
  <c r="F82" i="26"/>
  <c r="E82" i="26"/>
  <c r="D82" i="26"/>
  <c r="C82" i="26"/>
  <c r="I76" i="26"/>
  <c r="H76" i="26"/>
  <c r="G76" i="26"/>
  <c r="F76" i="26"/>
  <c r="E76" i="26"/>
  <c r="D76" i="26"/>
  <c r="N70" i="26"/>
  <c r="M70" i="26"/>
  <c r="L70" i="26"/>
  <c r="K70" i="26"/>
  <c r="J70" i="26"/>
  <c r="I70" i="26"/>
  <c r="H70" i="26"/>
  <c r="G70" i="26"/>
  <c r="F70" i="26"/>
  <c r="E70" i="26"/>
  <c r="D70" i="26"/>
  <c r="C70" i="26"/>
  <c r="E64" i="26"/>
  <c r="D64" i="26"/>
  <c r="C64" i="26"/>
  <c r="N58" i="26"/>
  <c r="M58" i="26"/>
  <c r="L58" i="26"/>
  <c r="K58" i="26"/>
  <c r="J58" i="26"/>
  <c r="I58" i="26"/>
  <c r="H58" i="26"/>
  <c r="G58" i="26"/>
  <c r="F58" i="26"/>
  <c r="E58" i="26"/>
  <c r="D58" i="26"/>
  <c r="C58" i="26"/>
  <c r="N52" i="26"/>
  <c r="M52" i="26"/>
  <c r="L52" i="26"/>
  <c r="K52" i="26"/>
  <c r="J52" i="26"/>
  <c r="I52" i="26"/>
  <c r="H52" i="26"/>
  <c r="G52" i="26"/>
  <c r="F52" i="26"/>
  <c r="E52" i="26"/>
  <c r="D52" i="26"/>
  <c r="C52" i="26"/>
  <c r="N40" i="26"/>
  <c r="M40" i="26"/>
  <c r="L40" i="26"/>
  <c r="K40" i="26"/>
  <c r="J40" i="26"/>
  <c r="I40" i="26"/>
  <c r="H40" i="26"/>
  <c r="G40" i="26"/>
  <c r="F40" i="26"/>
  <c r="E40" i="26"/>
  <c r="D40" i="26"/>
  <c r="C40" i="26"/>
  <c r="N34" i="26"/>
  <c r="M34" i="26"/>
  <c r="L34" i="26"/>
  <c r="K34" i="26"/>
  <c r="J34" i="26"/>
  <c r="I34" i="26"/>
  <c r="H34" i="26"/>
  <c r="G34" i="26"/>
  <c r="F34" i="26"/>
  <c r="E34" i="26"/>
  <c r="D34" i="26"/>
  <c r="C34" i="26"/>
  <c r="N28" i="26"/>
  <c r="M28" i="26"/>
  <c r="L28" i="26"/>
  <c r="K28" i="26"/>
  <c r="J28" i="26"/>
  <c r="I28" i="26"/>
  <c r="H28" i="26"/>
  <c r="G28" i="26"/>
  <c r="F28" i="26"/>
  <c r="E28" i="26"/>
  <c r="D28" i="26"/>
  <c r="C28" i="26"/>
  <c r="N22" i="26"/>
  <c r="M22" i="26"/>
  <c r="L22" i="26"/>
  <c r="K22" i="26"/>
  <c r="J22" i="26"/>
  <c r="I22" i="26"/>
  <c r="H22" i="26"/>
  <c r="G22" i="26"/>
  <c r="F22" i="26"/>
  <c r="E22" i="26"/>
  <c r="D22" i="26"/>
  <c r="C22" i="26"/>
  <c r="E16" i="26"/>
  <c r="D16" i="26"/>
  <c r="C16" i="26"/>
  <c r="N10" i="26"/>
  <c r="M10" i="26"/>
  <c r="L10" i="26"/>
  <c r="K10" i="26"/>
  <c r="J10" i="26"/>
  <c r="I10" i="26"/>
  <c r="H10" i="26"/>
  <c r="G10" i="26"/>
  <c r="F10" i="26"/>
  <c r="E10" i="26"/>
  <c r="D10" i="26"/>
  <c r="C10" i="26"/>
  <c r="C143" i="25"/>
  <c r="O131" i="25"/>
  <c r="O112" i="25"/>
  <c r="O111" i="25"/>
  <c r="O110" i="25"/>
  <c r="O106" i="25"/>
  <c r="O105" i="25"/>
  <c r="O104" i="25"/>
  <c r="O100" i="25"/>
  <c r="O98" i="25"/>
  <c r="O94" i="25"/>
  <c r="O93" i="25"/>
  <c r="O92" i="25"/>
  <c r="O91" i="25"/>
  <c r="O90" i="25"/>
  <c r="O89" i="25"/>
  <c r="O88" i="25"/>
  <c r="O87" i="25"/>
  <c r="O86" i="25"/>
  <c r="J76" i="26"/>
  <c r="O80" i="25"/>
  <c r="O76" i="25"/>
  <c r="O74" i="25"/>
  <c r="O70" i="25"/>
  <c r="O69" i="25"/>
  <c r="O68" i="25"/>
  <c r="O67" i="25"/>
  <c r="O66" i="25"/>
  <c r="O65" i="25"/>
  <c r="F64" i="26"/>
  <c r="O62" i="25"/>
  <c r="O58" i="25"/>
  <c r="O57" i="25"/>
  <c r="O56" i="25"/>
  <c r="O52" i="25"/>
  <c r="O51" i="25"/>
  <c r="O50" i="25"/>
  <c r="O46" i="25"/>
  <c r="O44" i="25"/>
  <c r="O40" i="25"/>
  <c r="O39" i="25"/>
  <c r="O38" i="25"/>
  <c r="O34" i="25"/>
  <c r="O33" i="25"/>
  <c r="O32" i="25"/>
  <c r="O28" i="25"/>
  <c r="O27" i="25"/>
  <c r="O26" i="25"/>
  <c r="O22" i="25"/>
  <c r="O21" i="25"/>
  <c r="O20" i="25"/>
  <c r="O14" i="25"/>
  <c r="O10" i="25"/>
  <c r="O9" i="25"/>
  <c r="O8" i="25"/>
  <c r="H125" i="26" l="1"/>
  <c r="H122" i="26"/>
  <c r="H119" i="26"/>
  <c r="H121" i="26"/>
  <c r="H120" i="26"/>
  <c r="H123" i="26"/>
  <c r="O142" i="25"/>
  <c r="O143" i="25" s="1"/>
  <c r="G125" i="26"/>
  <c r="G122" i="26"/>
  <c r="G120" i="26"/>
  <c r="G121" i="26"/>
  <c r="G119" i="26"/>
  <c r="G123" i="26"/>
  <c r="E127" i="26"/>
  <c r="M8" i="26"/>
  <c r="D127" i="26"/>
  <c r="C127" i="26"/>
  <c r="E125" i="26"/>
  <c r="E15" i="26"/>
  <c r="F69" i="26"/>
  <c r="E69" i="26"/>
  <c r="C139" i="25"/>
  <c r="C132" i="25"/>
  <c r="C15" i="25" s="1"/>
  <c r="C138" i="25"/>
  <c r="D139" i="25"/>
  <c r="D132" i="25"/>
  <c r="D63" i="25" s="1"/>
  <c r="D63" i="26" s="1"/>
  <c r="D138" i="25"/>
  <c r="J44" i="26"/>
  <c r="J43" i="26"/>
  <c r="J42" i="26"/>
  <c r="J41" i="26"/>
  <c r="I44" i="26"/>
  <c r="I42" i="26"/>
  <c r="I41" i="26"/>
  <c r="H44" i="26"/>
  <c r="H43" i="26"/>
  <c r="H42" i="26"/>
  <c r="H41" i="26"/>
  <c r="G87" i="26"/>
  <c r="G43" i="26"/>
  <c r="G42" i="26"/>
  <c r="G41" i="26"/>
  <c r="G44" i="26"/>
  <c r="F81" i="26"/>
  <c r="F42" i="26"/>
  <c r="F44" i="26"/>
  <c r="F41" i="26"/>
  <c r="F43" i="26"/>
  <c r="E87" i="26"/>
  <c r="E41" i="26"/>
  <c r="E42" i="26"/>
  <c r="E44" i="26"/>
  <c r="D41" i="26"/>
  <c r="D44" i="26"/>
  <c r="D42" i="26"/>
  <c r="D43" i="26"/>
  <c r="C87" i="26"/>
  <c r="C41" i="26"/>
  <c r="C44" i="26"/>
  <c r="C42" i="26"/>
  <c r="N44" i="26"/>
  <c r="N43" i="26"/>
  <c r="N42" i="26"/>
  <c r="N41" i="26"/>
  <c r="K44" i="26"/>
  <c r="K42" i="26"/>
  <c r="K43" i="26"/>
  <c r="K41" i="26"/>
  <c r="M117" i="26"/>
  <c r="M44" i="26"/>
  <c r="M43" i="26"/>
  <c r="M42" i="26"/>
  <c r="M41" i="26"/>
  <c r="L43" i="26"/>
  <c r="L44" i="26"/>
  <c r="L42" i="26"/>
  <c r="L41" i="26"/>
  <c r="L76" i="26"/>
  <c r="E98" i="26"/>
  <c r="E99" i="26"/>
  <c r="E104" i="26"/>
  <c r="N96" i="26"/>
  <c r="M95" i="26"/>
  <c r="N103" i="26"/>
  <c r="M101" i="26"/>
  <c r="H108" i="26"/>
  <c r="G107" i="26"/>
  <c r="H114" i="26"/>
  <c r="G113" i="26"/>
  <c r="E105" i="26"/>
  <c r="E110" i="26"/>
  <c r="E111" i="26"/>
  <c r="E116" i="26"/>
  <c r="E117" i="26"/>
  <c r="D86" i="26"/>
  <c r="M97" i="26"/>
  <c r="L95" i="26"/>
  <c r="M103" i="26"/>
  <c r="L101" i="26"/>
  <c r="G109" i="26"/>
  <c r="F107" i="26"/>
  <c r="G114" i="26"/>
  <c r="F113" i="26"/>
  <c r="C86" i="26"/>
  <c r="F98" i="26"/>
  <c r="F99" i="26"/>
  <c r="F104" i="26"/>
  <c r="F105" i="26"/>
  <c r="F110" i="26"/>
  <c r="F111" i="26"/>
  <c r="F116" i="26"/>
  <c r="F117" i="26"/>
  <c r="L97" i="26"/>
  <c r="K95" i="26"/>
  <c r="L103" i="26"/>
  <c r="K101" i="26"/>
  <c r="F108" i="26"/>
  <c r="E107" i="26"/>
  <c r="F115" i="26"/>
  <c r="E113" i="26"/>
  <c r="D85" i="26"/>
  <c r="G98" i="26"/>
  <c r="G99" i="26"/>
  <c r="G104" i="26"/>
  <c r="G105" i="26"/>
  <c r="G110" i="26"/>
  <c r="G111" i="26"/>
  <c r="G116" i="26"/>
  <c r="G117" i="26"/>
  <c r="K97" i="26"/>
  <c r="J95" i="26"/>
  <c r="K103" i="26"/>
  <c r="J101" i="26"/>
  <c r="E108" i="26"/>
  <c r="D107" i="26"/>
  <c r="E115" i="26"/>
  <c r="D113" i="26"/>
  <c r="C85" i="26"/>
  <c r="H98" i="26"/>
  <c r="H99" i="26"/>
  <c r="H104" i="26"/>
  <c r="H105" i="26"/>
  <c r="H110" i="26"/>
  <c r="H111" i="26"/>
  <c r="H116" i="26"/>
  <c r="H117" i="26"/>
  <c r="J97" i="26"/>
  <c r="I95" i="26"/>
  <c r="J103" i="26"/>
  <c r="I101" i="26"/>
  <c r="C107" i="26"/>
  <c r="D109" i="26"/>
  <c r="C113" i="26"/>
  <c r="D115" i="26"/>
  <c r="D84" i="26"/>
  <c r="I98" i="26"/>
  <c r="I99" i="26"/>
  <c r="I104" i="26"/>
  <c r="I105" i="26"/>
  <c r="I110" i="26"/>
  <c r="I111" i="26"/>
  <c r="I116" i="26"/>
  <c r="I117" i="26"/>
  <c r="I97" i="26"/>
  <c r="H95" i="26"/>
  <c r="I103" i="26"/>
  <c r="H101" i="26"/>
  <c r="C109" i="26"/>
  <c r="N107" i="26"/>
  <c r="C115" i="26"/>
  <c r="N113" i="26"/>
  <c r="C84" i="26"/>
  <c r="J98" i="26"/>
  <c r="J99" i="26"/>
  <c r="J104" i="26"/>
  <c r="J105" i="26"/>
  <c r="J110" i="26"/>
  <c r="J111" i="26"/>
  <c r="J116" i="26"/>
  <c r="J117" i="26"/>
  <c r="H97" i="26"/>
  <c r="G95" i="26"/>
  <c r="H103" i="26"/>
  <c r="G101" i="26"/>
  <c r="N108" i="26"/>
  <c r="M107" i="26"/>
  <c r="N114" i="26"/>
  <c r="M113" i="26"/>
  <c r="K98" i="26"/>
  <c r="K99" i="26"/>
  <c r="K104" i="26"/>
  <c r="K105" i="26"/>
  <c r="K110" i="26"/>
  <c r="K111" i="26"/>
  <c r="K116" i="26"/>
  <c r="K117" i="26"/>
  <c r="G97" i="26"/>
  <c r="F95" i="26"/>
  <c r="G103" i="26"/>
  <c r="F101" i="26"/>
  <c r="M109" i="26"/>
  <c r="L107" i="26"/>
  <c r="M115" i="26"/>
  <c r="L113" i="26"/>
  <c r="L98" i="26"/>
  <c r="L99" i="26"/>
  <c r="L104" i="26"/>
  <c r="L105" i="26"/>
  <c r="L110" i="26"/>
  <c r="L111" i="26"/>
  <c r="L116" i="26"/>
  <c r="L117" i="26"/>
  <c r="F97" i="26"/>
  <c r="E95" i="26"/>
  <c r="F103" i="26"/>
  <c r="E101" i="26"/>
  <c r="L108" i="26"/>
  <c r="K107" i="26"/>
  <c r="L115" i="26"/>
  <c r="K113" i="26"/>
  <c r="D92" i="26"/>
  <c r="M98" i="26"/>
  <c r="M99" i="26"/>
  <c r="M104" i="26"/>
  <c r="M105" i="26"/>
  <c r="M110" i="26"/>
  <c r="M111" i="26"/>
  <c r="M116" i="26"/>
  <c r="D89" i="26"/>
  <c r="E97" i="26"/>
  <c r="D95" i="26"/>
  <c r="E103" i="26"/>
  <c r="D101" i="26"/>
  <c r="K109" i="26"/>
  <c r="J107" i="26"/>
  <c r="K115" i="26"/>
  <c r="J113" i="26"/>
  <c r="C92" i="26"/>
  <c r="N98" i="26"/>
  <c r="N99" i="26"/>
  <c r="N104" i="26"/>
  <c r="N105" i="26"/>
  <c r="N110" i="26"/>
  <c r="N111" i="26"/>
  <c r="N116" i="26"/>
  <c r="N117" i="26"/>
  <c r="C89" i="26"/>
  <c r="D91" i="26"/>
  <c r="C95" i="26"/>
  <c r="D97" i="26"/>
  <c r="C101" i="26"/>
  <c r="D103" i="26"/>
  <c r="J108" i="26"/>
  <c r="I107" i="26"/>
  <c r="J114" i="26"/>
  <c r="I113" i="26"/>
  <c r="D87" i="26"/>
  <c r="C98" i="26"/>
  <c r="C99" i="26"/>
  <c r="C104" i="26"/>
  <c r="C105" i="26"/>
  <c r="O106" i="26"/>
  <c r="C110" i="26"/>
  <c r="C111" i="26"/>
  <c r="O112" i="26"/>
  <c r="C116" i="26"/>
  <c r="C117" i="26"/>
  <c r="O118" i="26"/>
  <c r="C91" i="26"/>
  <c r="C97" i="26"/>
  <c r="N95" i="26"/>
  <c r="C103" i="26"/>
  <c r="N101" i="26"/>
  <c r="I108" i="26"/>
  <c r="H107" i="26"/>
  <c r="I114" i="26"/>
  <c r="H113" i="26"/>
  <c r="D98" i="26"/>
  <c r="D99" i="26"/>
  <c r="D104" i="26"/>
  <c r="D105" i="26"/>
  <c r="D110" i="26"/>
  <c r="D111" i="26"/>
  <c r="D116" i="26"/>
  <c r="D117" i="26"/>
  <c r="D108" i="26"/>
  <c r="J109" i="26"/>
  <c r="H109" i="26"/>
  <c r="I115" i="26"/>
  <c r="J115" i="26"/>
  <c r="H115" i="26"/>
  <c r="G115" i="26"/>
  <c r="D96" i="26"/>
  <c r="C102" i="26"/>
  <c r="D102" i="26"/>
  <c r="C114" i="26"/>
  <c r="L109" i="26"/>
  <c r="D114" i="26"/>
  <c r="E114" i="26"/>
  <c r="I109" i="26"/>
  <c r="C96" i="26"/>
  <c r="C108" i="26"/>
  <c r="F109" i="26"/>
  <c r="F96" i="26"/>
  <c r="F102" i="26"/>
  <c r="F114" i="26"/>
  <c r="E109" i="26"/>
  <c r="G96" i="26"/>
  <c r="G102" i="26"/>
  <c r="G108" i="26"/>
  <c r="H96" i="26"/>
  <c r="H102" i="26"/>
  <c r="N115" i="26"/>
  <c r="I96" i="26"/>
  <c r="I102" i="26"/>
  <c r="E96" i="26"/>
  <c r="E102" i="26"/>
  <c r="J96" i="26"/>
  <c r="J102" i="26"/>
  <c r="D90" i="26"/>
  <c r="K96" i="26"/>
  <c r="K102" i="26"/>
  <c r="K108" i="26"/>
  <c r="K114" i="26"/>
  <c r="C90" i="26"/>
  <c r="L96" i="26"/>
  <c r="L102" i="26"/>
  <c r="L114" i="26"/>
  <c r="N109" i="26"/>
  <c r="M96" i="26"/>
  <c r="M102" i="26"/>
  <c r="M108" i="26"/>
  <c r="M114" i="26"/>
  <c r="N102" i="26"/>
  <c r="D57" i="26"/>
  <c r="E26" i="26"/>
  <c r="E8" i="26"/>
  <c r="E65" i="26"/>
  <c r="D50" i="26"/>
  <c r="D9" i="26"/>
  <c r="D38" i="26"/>
  <c r="D68" i="26"/>
  <c r="E56" i="26"/>
  <c r="E74" i="26"/>
  <c r="E80" i="26"/>
  <c r="F27" i="26"/>
  <c r="O119" i="25"/>
  <c r="O120" i="25"/>
  <c r="D26" i="26"/>
  <c r="D62" i="26"/>
  <c r="D74" i="26"/>
  <c r="G50" i="26"/>
  <c r="D32" i="26"/>
  <c r="O113" i="25"/>
  <c r="N32" i="26"/>
  <c r="D47" i="26"/>
  <c r="O114" i="25"/>
  <c r="D8" i="26"/>
  <c r="D39" i="26"/>
  <c r="D80" i="26"/>
  <c r="D14" i="26"/>
  <c r="D81" i="26"/>
  <c r="D56" i="26"/>
  <c r="G14" i="26"/>
  <c r="D21" i="26"/>
  <c r="M83" i="26"/>
  <c r="D20" i="26"/>
  <c r="H14" i="26"/>
  <c r="H21" i="26"/>
  <c r="N56" i="26"/>
  <c r="N83" i="26"/>
  <c r="H26" i="26"/>
  <c r="D51" i="26"/>
  <c r="D27" i="26"/>
  <c r="D33" i="26"/>
  <c r="G26" i="26"/>
  <c r="M56" i="26"/>
  <c r="N8" i="26"/>
  <c r="H27" i="26"/>
  <c r="M27" i="26"/>
  <c r="M74" i="26"/>
  <c r="N85" i="26"/>
  <c r="H9" i="26"/>
  <c r="M21" i="26"/>
  <c r="M38" i="26"/>
  <c r="H51" i="26"/>
  <c r="H80" i="26"/>
  <c r="N38" i="26"/>
  <c r="M51" i="26"/>
  <c r="N68" i="26"/>
  <c r="K32" i="26"/>
  <c r="H38" i="26"/>
  <c r="H84" i="26"/>
  <c r="N20" i="26"/>
  <c r="N27" i="26"/>
  <c r="H50" i="26"/>
  <c r="L84" i="26"/>
  <c r="N86" i="26"/>
  <c r="N51" i="26"/>
  <c r="H32" i="26"/>
  <c r="H62" i="26"/>
  <c r="N62" i="26"/>
  <c r="H68" i="26"/>
  <c r="H33" i="26"/>
  <c r="M9" i="26"/>
  <c r="N21" i="26"/>
  <c r="H39" i="26"/>
  <c r="N50" i="26"/>
  <c r="N84" i="26"/>
  <c r="N92" i="26"/>
  <c r="K35" i="26"/>
  <c r="O107" i="25"/>
  <c r="N9" i="26"/>
  <c r="M32" i="26"/>
  <c r="N39" i="26"/>
  <c r="H56" i="26"/>
  <c r="H74" i="26"/>
  <c r="H85" i="26"/>
  <c r="N87" i="26"/>
  <c r="M14" i="26"/>
  <c r="M136" i="26" s="1"/>
  <c r="M137" i="26" s="1"/>
  <c r="H20" i="26"/>
  <c r="M26" i="26"/>
  <c r="M33" i="26"/>
  <c r="H57" i="26"/>
  <c r="M80" i="26"/>
  <c r="N14" i="26"/>
  <c r="N136" i="26" s="1"/>
  <c r="N137" i="26" s="1"/>
  <c r="L20" i="26"/>
  <c r="N26" i="26"/>
  <c r="N33" i="26"/>
  <c r="N57" i="26"/>
  <c r="N80" i="26"/>
  <c r="H8" i="26"/>
  <c r="M20" i="26"/>
  <c r="K57" i="26"/>
  <c r="I89" i="26"/>
  <c r="K21" i="26"/>
  <c r="M57" i="26"/>
  <c r="K27" i="26"/>
  <c r="K39" i="26"/>
  <c r="M84" i="26"/>
  <c r="H78" i="26"/>
  <c r="K33" i="26"/>
  <c r="M39" i="26"/>
  <c r="M50" i="26"/>
  <c r="K14" i="26"/>
  <c r="K136" i="26" s="1"/>
  <c r="K137" i="26" s="1"/>
  <c r="M62" i="26"/>
  <c r="M85" i="26"/>
  <c r="K8" i="26"/>
  <c r="K9" i="26"/>
  <c r="K20" i="26"/>
  <c r="I51" i="26"/>
  <c r="K56" i="26"/>
  <c r="M68" i="26"/>
  <c r="M86" i="26"/>
  <c r="K26" i="26"/>
  <c r="K38" i="26"/>
  <c r="M81" i="26"/>
  <c r="M87" i="26"/>
  <c r="E39" i="26"/>
  <c r="K51" i="26"/>
  <c r="I56" i="26"/>
  <c r="J33" i="26"/>
  <c r="J8" i="26"/>
  <c r="E14" i="26"/>
  <c r="E62" i="26"/>
  <c r="J74" i="26"/>
  <c r="E21" i="26"/>
  <c r="E32" i="26"/>
  <c r="J39" i="26"/>
  <c r="E50" i="26"/>
  <c r="L56" i="26"/>
  <c r="J89" i="26"/>
  <c r="I62" i="26"/>
  <c r="J14" i="26"/>
  <c r="J136" i="26" s="1"/>
  <c r="J137" i="26" s="1"/>
  <c r="I21" i="26"/>
  <c r="E66" i="26"/>
  <c r="E81" i="26"/>
  <c r="E27" i="26"/>
  <c r="L32" i="26"/>
  <c r="E38" i="26"/>
  <c r="K50" i="26"/>
  <c r="G81" i="26"/>
  <c r="E86" i="26"/>
  <c r="D6" i="26"/>
  <c r="D12" i="26"/>
  <c r="D18" i="26"/>
  <c r="D24" i="26"/>
  <c r="D55" i="26"/>
  <c r="E9" i="26"/>
  <c r="E20" i="26"/>
  <c r="L21" i="26"/>
  <c r="E57" i="26"/>
  <c r="E68" i="26"/>
  <c r="J86" i="26"/>
  <c r="E90" i="26"/>
  <c r="I38" i="26"/>
  <c r="G57" i="26"/>
  <c r="J20" i="26"/>
  <c r="L9" i="26"/>
  <c r="L27" i="26"/>
  <c r="E33" i="26"/>
  <c r="E51" i="26"/>
  <c r="E84" i="26"/>
  <c r="G77" i="26"/>
  <c r="G8" i="26"/>
  <c r="I9" i="26"/>
  <c r="I27" i="26"/>
  <c r="I32" i="26"/>
  <c r="L38" i="26"/>
  <c r="J51" i="26"/>
  <c r="H81" i="26"/>
  <c r="J90" i="26"/>
  <c r="G7" i="26"/>
  <c r="F5" i="26"/>
  <c r="G12" i="26"/>
  <c r="F11" i="26"/>
  <c r="G18" i="26"/>
  <c r="G25" i="26"/>
  <c r="G31" i="26"/>
  <c r="G37" i="26"/>
  <c r="G49" i="26"/>
  <c r="G54" i="26"/>
  <c r="G61" i="26"/>
  <c r="G67" i="26"/>
  <c r="G73" i="26"/>
  <c r="J9" i="26"/>
  <c r="L14" i="26"/>
  <c r="L136" i="26" s="1"/>
  <c r="L137" i="26" s="1"/>
  <c r="G21" i="26"/>
  <c r="I26" i="26"/>
  <c r="J27" i="26"/>
  <c r="J32" i="26"/>
  <c r="L33" i="26"/>
  <c r="I50" i="26"/>
  <c r="G56" i="26"/>
  <c r="I57" i="26"/>
  <c r="I81" i="26"/>
  <c r="I92" i="26"/>
  <c r="I8" i="26"/>
  <c r="J26" i="26"/>
  <c r="J50" i="26"/>
  <c r="L51" i="26"/>
  <c r="J57" i="26"/>
  <c r="J81" i="26"/>
  <c r="G85" i="26"/>
  <c r="J87" i="26"/>
  <c r="G20" i="26"/>
  <c r="J21" i="26"/>
  <c r="L26" i="26"/>
  <c r="L50" i="26"/>
  <c r="J56" i="26"/>
  <c r="L57" i="26"/>
  <c r="G83" i="26"/>
  <c r="I85" i="26"/>
  <c r="G68" i="26"/>
  <c r="L8" i="26"/>
  <c r="I20" i="26"/>
  <c r="G39" i="26"/>
  <c r="G80" i="26"/>
  <c r="G38" i="26"/>
  <c r="I39" i="26"/>
  <c r="L7" i="26"/>
  <c r="L12" i="26"/>
  <c r="L19" i="26"/>
  <c r="L25" i="26"/>
  <c r="L31" i="26"/>
  <c r="L37" i="26"/>
  <c r="L48" i="26"/>
  <c r="L54" i="26"/>
  <c r="G33" i="26"/>
  <c r="G84" i="26"/>
  <c r="G86" i="26"/>
  <c r="G51" i="26"/>
  <c r="G62" i="26"/>
  <c r="G74" i="26"/>
  <c r="G9" i="26"/>
  <c r="I14" i="26"/>
  <c r="I136" i="26" s="1"/>
  <c r="I137" i="26" s="1"/>
  <c r="G27" i="26"/>
  <c r="G32" i="26"/>
  <c r="I33" i="26"/>
  <c r="J38" i="26"/>
  <c r="L39" i="26"/>
  <c r="I84" i="26"/>
  <c r="L86" i="26"/>
  <c r="F26" i="26"/>
  <c r="F62" i="26"/>
  <c r="I68" i="26"/>
  <c r="I80" i="26"/>
  <c r="H83" i="26"/>
  <c r="F85" i="26"/>
  <c r="F92" i="26"/>
  <c r="F6" i="26"/>
  <c r="E5" i="26"/>
  <c r="F12" i="26"/>
  <c r="F18" i="26"/>
  <c r="E17" i="26"/>
  <c r="F25" i="26"/>
  <c r="E23" i="26"/>
  <c r="F31" i="26"/>
  <c r="E29" i="26"/>
  <c r="F36" i="26"/>
  <c r="E35" i="26"/>
  <c r="F49" i="26"/>
  <c r="E47" i="26"/>
  <c r="F54" i="26"/>
  <c r="E53" i="26"/>
  <c r="F61" i="26"/>
  <c r="E59" i="26"/>
  <c r="F66" i="26"/>
  <c r="F73" i="26"/>
  <c r="E71" i="26"/>
  <c r="G79" i="26"/>
  <c r="F21" i="26"/>
  <c r="F57" i="26"/>
  <c r="J68" i="26"/>
  <c r="N74" i="26"/>
  <c r="I83" i="26"/>
  <c r="G92" i="26"/>
  <c r="E6" i="26"/>
  <c r="D5" i="26"/>
  <c r="E12" i="26"/>
  <c r="D11" i="26"/>
  <c r="E19" i="26"/>
  <c r="D17" i="26"/>
  <c r="E24" i="26"/>
  <c r="D23" i="26"/>
  <c r="E31" i="26"/>
  <c r="D29" i="26"/>
  <c r="E37" i="26"/>
  <c r="D35" i="26"/>
  <c r="E49" i="26"/>
  <c r="E54" i="26"/>
  <c r="D53" i="26"/>
  <c r="E61" i="26"/>
  <c r="D59" i="26"/>
  <c r="D65" i="26"/>
  <c r="E72" i="26"/>
  <c r="D71" i="26"/>
  <c r="F79" i="26"/>
  <c r="E77" i="26"/>
  <c r="K91" i="26"/>
  <c r="F20" i="26"/>
  <c r="F56" i="26"/>
  <c r="H92" i="26"/>
  <c r="D60" i="26"/>
  <c r="D66" i="26"/>
  <c r="D72" i="26"/>
  <c r="E78" i="26"/>
  <c r="J91" i="26"/>
  <c r="F29" i="26"/>
  <c r="F59" i="26"/>
  <c r="F39" i="26"/>
  <c r="N5" i="26"/>
  <c r="N11" i="26"/>
  <c r="N17" i="26"/>
  <c r="N23" i="26"/>
  <c r="N29" i="26"/>
  <c r="N35" i="26"/>
  <c r="N53" i="26"/>
  <c r="N59" i="26"/>
  <c r="N65" i="26"/>
  <c r="D78" i="26"/>
  <c r="I91" i="26"/>
  <c r="H89" i="26"/>
  <c r="F33" i="26"/>
  <c r="F38" i="26"/>
  <c r="J62" i="26"/>
  <c r="F72" i="26"/>
  <c r="J85" i="26"/>
  <c r="H87" i="26"/>
  <c r="J92" i="26"/>
  <c r="N7" i="26"/>
  <c r="M5" i="26"/>
  <c r="M11" i="26"/>
  <c r="N19" i="26"/>
  <c r="M17" i="26"/>
  <c r="N25" i="26"/>
  <c r="M23" i="26"/>
  <c r="N31" i="26"/>
  <c r="M29" i="26"/>
  <c r="N37" i="26"/>
  <c r="M35" i="26"/>
  <c r="N49" i="26"/>
  <c r="M47" i="26"/>
  <c r="N54" i="26"/>
  <c r="M53" i="26"/>
  <c r="N61" i="26"/>
  <c r="N66" i="26"/>
  <c r="M65" i="26"/>
  <c r="N73" i="26"/>
  <c r="M71" i="26"/>
  <c r="E79" i="26"/>
  <c r="N77" i="26"/>
  <c r="H91" i="26"/>
  <c r="G89" i="26"/>
  <c r="F32" i="26"/>
  <c r="O46" i="26"/>
  <c r="F77" i="26"/>
  <c r="F84" i="26"/>
  <c r="I87" i="26"/>
  <c r="M92" i="26"/>
  <c r="M6" i="26"/>
  <c r="L5" i="26"/>
  <c r="L11" i="26"/>
  <c r="M19" i="26"/>
  <c r="L17" i="26"/>
  <c r="M25" i="26"/>
  <c r="L23" i="26"/>
  <c r="M31" i="26"/>
  <c r="L29" i="26"/>
  <c r="M37" i="26"/>
  <c r="L35" i="26"/>
  <c r="M49" i="26"/>
  <c r="L47" i="26"/>
  <c r="M54" i="26"/>
  <c r="L53" i="26"/>
  <c r="M60" i="26"/>
  <c r="L59" i="26"/>
  <c r="M67" i="26"/>
  <c r="M73" i="26"/>
  <c r="L71" i="26"/>
  <c r="G91" i="26"/>
  <c r="F89" i="26"/>
  <c r="F17" i="26"/>
  <c r="F14" i="26"/>
  <c r="G66" i="26"/>
  <c r="K5" i="26"/>
  <c r="K11" i="26"/>
  <c r="K17" i="26"/>
  <c r="K29" i="26"/>
  <c r="K47" i="26"/>
  <c r="K53" i="26"/>
  <c r="K59" i="26"/>
  <c r="K65" i="26"/>
  <c r="K71" i="26"/>
  <c r="M79" i="26"/>
  <c r="F91" i="26"/>
  <c r="F53" i="26"/>
  <c r="F71" i="26"/>
  <c r="F9" i="26"/>
  <c r="F74" i="26"/>
  <c r="K7" i="26"/>
  <c r="J5" i="26"/>
  <c r="K12" i="26"/>
  <c r="J11" i="26"/>
  <c r="K19" i="26"/>
  <c r="J17" i="26"/>
  <c r="K25" i="26"/>
  <c r="J23" i="26"/>
  <c r="K31" i="26"/>
  <c r="J29" i="26"/>
  <c r="K37" i="26"/>
  <c r="J35" i="26"/>
  <c r="K49" i="26"/>
  <c r="J47" i="26"/>
  <c r="K55" i="26"/>
  <c r="J53" i="26"/>
  <c r="J59" i="26"/>
  <c r="J65" i="26"/>
  <c r="J71" i="26"/>
  <c r="F23" i="26"/>
  <c r="F47" i="26"/>
  <c r="F8" i="26"/>
  <c r="F86" i="26"/>
  <c r="J7" i="26"/>
  <c r="I5" i="26"/>
  <c r="J13" i="26"/>
  <c r="I11" i="26"/>
  <c r="J19" i="26"/>
  <c r="I17" i="26"/>
  <c r="J25" i="26"/>
  <c r="I23" i="26"/>
  <c r="J30" i="26"/>
  <c r="J37" i="26"/>
  <c r="I35" i="26"/>
  <c r="J49" i="26"/>
  <c r="I47" i="26"/>
  <c r="J54" i="26"/>
  <c r="I53" i="26"/>
  <c r="J61" i="26"/>
  <c r="I59" i="26"/>
  <c r="J66" i="26"/>
  <c r="I65" i="26"/>
  <c r="J73" i="26"/>
  <c r="I71" i="26"/>
  <c r="K79" i="26"/>
  <c r="J77" i="26"/>
  <c r="F65" i="26"/>
  <c r="F51" i="26"/>
  <c r="F68" i="26"/>
  <c r="F80" i="26"/>
  <c r="I6" i="26"/>
  <c r="H5" i="26"/>
  <c r="I12" i="26"/>
  <c r="H11" i="26"/>
  <c r="I19" i="26"/>
  <c r="H17" i="26"/>
  <c r="I25" i="26"/>
  <c r="H23" i="26"/>
  <c r="I31" i="26"/>
  <c r="H29" i="26"/>
  <c r="I36" i="26"/>
  <c r="H35" i="26"/>
  <c r="I49" i="26"/>
  <c r="H47" i="26"/>
  <c r="I54" i="26"/>
  <c r="I60" i="26"/>
  <c r="H59" i="26"/>
  <c r="I66" i="26"/>
  <c r="H65" i="26"/>
  <c r="I73" i="26"/>
  <c r="H71" i="26"/>
  <c r="J79" i="26"/>
  <c r="I77" i="26"/>
  <c r="N89" i="26"/>
  <c r="F35" i="26"/>
  <c r="G55" i="26"/>
  <c r="F50" i="26"/>
  <c r="I74" i="26"/>
  <c r="N81" i="26"/>
  <c r="I86" i="26"/>
  <c r="F90" i="26"/>
  <c r="H6" i="26"/>
  <c r="H12" i="26"/>
  <c r="G11" i="26"/>
  <c r="H19" i="26"/>
  <c r="G17" i="26"/>
  <c r="H25" i="26"/>
  <c r="G23" i="26"/>
  <c r="H31" i="26"/>
  <c r="G29" i="26"/>
  <c r="H37" i="26"/>
  <c r="G35" i="26"/>
  <c r="H48" i="26"/>
  <c r="G47" i="26"/>
  <c r="H54" i="26"/>
  <c r="G53" i="26"/>
  <c r="H61" i="26"/>
  <c r="G59" i="26"/>
  <c r="H66" i="26"/>
  <c r="G65" i="26"/>
  <c r="H73" i="26"/>
  <c r="G71" i="26"/>
  <c r="I78" i="26"/>
  <c r="N91" i="26"/>
  <c r="O109" i="25"/>
  <c r="O101" i="25"/>
  <c r="G90" i="26"/>
  <c r="I90" i="26"/>
  <c r="O95" i="25"/>
  <c r="D77" i="26"/>
  <c r="L36" i="26"/>
  <c r="N97" i="26"/>
  <c r="M90" i="26"/>
  <c r="N90" i="26"/>
  <c r="L72" i="26"/>
  <c r="M72" i="26"/>
  <c r="N72" i="26"/>
  <c r="O96" i="25"/>
  <c r="M89" i="26"/>
  <c r="I7" i="26"/>
  <c r="J6" i="26"/>
  <c r="I18" i="26"/>
  <c r="J12" i="26"/>
  <c r="J18" i="26"/>
  <c r="J24" i="26"/>
  <c r="J78" i="26"/>
  <c r="I72" i="26"/>
  <c r="J72" i="26"/>
  <c r="I67" i="26"/>
  <c r="F67" i="26"/>
  <c r="H72" i="26"/>
  <c r="H67" i="26"/>
  <c r="K78" i="26"/>
  <c r="O83" i="25"/>
  <c r="K60" i="26"/>
  <c r="H30" i="26"/>
  <c r="K30" i="26"/>
  <c r="K6" i="26"/>
  <c r="H79" i="26"/>
  <c r="N67" i="26"/>
  <c r="N60" i="26"/>
  <c r="G72" i="26"/>
  <c r="M77" i="26"/>
  <c r="N30" i="26"/>
  <c r="E48" i="26"/>
  <c r="M78" i="26"/>
  <c r="E73" i="26"/>
  <c r="N48" i="26"/>
  <c r="N78" i="26"/>
  <c r="N24" i="26"/>
  <c r="N36" i="26"/>
  <c r="E55" i="26"/>
  <c r="N55" i="26"/>
  <c r="I79" i="26"/>
  <c r="E60" i="26"/>
  <c r="D85" i="25"/>
  <c r="O84" i="25"/>
  <c r="M66" i="26"/>
  <c r="M55" i="26"/>
  <c r="M30" i="26"/>
  <c r="M36" i="26"/>
  <c r="M48" i="26"/>
  <c r="O77" i="25"/>
  <c r="N71" i="26"/>
  <c r="H55" i="26"/>
  <c r="H49" i="26"/>
  <c r="I55" i="26"/>
  <c r="L66" i="26"/>
  <c r="O71" i="25"/>
  <c r="D30" i="26"/>
  <c r="I61" i="26"/>
  <c r="J67" i="26"/>
  <c r="F55" i="26"/>
  <c r="D79" i="25"/>
  <c r="D73" i="26" s="1"/>
  <c r="O78" i="25"/>
  <c r="F48" i="26"/>
  <c r="G60" i="26"/>
  <c r="O59" i="25"/>
  <c r="J60" i="26"/>
  <c r="O53" i="25"/>
  <c r="I30" i="26"/>
  <c r="L55" i="26"/>
  <c r="K18" i="26"/>
  <c r="J55" i="26"/>
  <c r="K54" i="26"/>
  <c r="J48" i="26"/>
  <c r="H53" i="26"/>
  <c r="G24" i="26"/>
  <c r="K48" i="26"/>
  <c r="F37" i="26"/>
  <c r="M59" i="26"/>
  <c r="O47" i="25"/>
  <c r="E18" i="26"/>
  <c r="E30" i="26"/>
  <c r="H60" i="26"/>
  <c r="D61" i="25"/>
  <c r="D61" i="26" s="1"/>
  <c r="M61" i="26"/>
  <c r="L60" i="26"/>
  <c r="F60" i="26"/>
  <c r="N47" i="26"/>
  <c r="I24" i="26"/>
  <c r="O35" i="25"/>
  <c r="H18" i="26"/>
  <c r="H7" i="26"/>
  <c r="O48" i="25"/>
  <c r="D54" i="26"/>
  <c r="M24" i="26"/>
  <c r="L18" i="26"/>
  <c r="D48" i="26"/>
  <c r="O41" i="25"/>
  <c r="G36" i="26"/>
  <c r="I43" i="26"/>
  <c r="H24" i="26"/>
  <c r="G48" i="26"/>
  <c r="D49" i="25"/>
  <c r="I48" i="26"/>
  <c r="L49" i="26"/>
  <c r="E43" i="26"/>
  <c r="O24" i="25"/>
  <c r="E25" i="26"/>
  <c r="O36" i="25"/>
  <c r="M12" i="26"/>
  <c r="F24" i="26"/>
  <c r="I37" i="26"/>
  <c r="N6" i="26"/>
  <c r="N12" i="26"/>
  <c r="M18" i="26"/>
  <c r="F30" i="26"/>
  <c r="C43" i="25"/>
  <c r="C43" i="26" s="1"/>
  <c r="G6" i="26"/>
  <c r="J36" i="26"/>
  <c r="O29" i="25"/>
  <c r="G30" i="26"/>
  <c r="M7" i="26"/>
  <c r="K24" i="26"/>
  <c r="O23" i="25"/>
  <c r="N18" i="26"/>
  <c r="L30" i="26"/>
  <c r="D19" i="25"/>
  <c r="D19" i="26" s="1"/>
  <c r="L24" i="26"/>
  <c r="J31" i="26"/>
  <c r="E11" i="26"/>
  <c r="K23" i="26"/>
  <c r="C25" i="25"/>
  <c r="C25" i="26" s="1"/>
  <c r="I29" i="26"/>
  <c r="D36" i="26"/>
  <c r="O17" i="25"/>
  <c r="G19" i="26"/>
  <c r="F7" i="26"/>
  <c r="F19" i="26"/>
  <c r="D37" i="26"/>
  <c r="E36" i="26"/>
  <c r="H36" i="26"/>
  <c r="K36" i="26"/>
  <c r="D31" i="26"/>
  <c r="O30" i="25"/>
  <c r="D25" i="25"/>
  <c r="D25" i="26" s="1"/>
  <c r="O18" i="25"/>
  <c r="O6" i="25"/>
  <c r="O5" i="25"/>
  <c r="G5" i="26"/>
  <c r="D7" i="25"/>
  <c r="D7" i="26" s="1"/>
  <c r="L6" i="26"/>
  <c r="E7" i="26"/>
  <c r="O28" i="26"/>
  <c r="K76" i="26"/>
  <c r="O88" i="26"/>
  <c r="O100" i="26"/>
  <c r="O34" i="26"/>
  <c r="O82" i="26"/>
  <c r="O52" i="26"/>
  <c r="O58" i="26"/>
  <c r="O70" i="26"/>
  <c r="O22" i="26"/>
  <c r="O94" i="26"/>
  <c r="E91" i="26"/>
  <c r="F16" i="26"/>
  <c r="F127" i="26" s="1"/>
  <c r="O10" i="26"/>
  <c r="O40" i="26"/>
  <c r="N79" i="26"/>
  <c r="F78" i="26"/>
  <c r="J80" i="26"/>
  <c r="E83" i="26"/>
  <c r="F87" i="26"/>
  <c r="H90" i="26"/>
  <c r="G78" i="26"/>
  <c r="F83" i="26"/>
  <c r="J84" i="26"/>
  <c r="E89" i="26"/>
  <c r="E92" i="26"/>
  <c r="H77" i="26"/>
  <c r="J83" i="26"/>
  <c r="E85" i="26"/>
  <c r="H86" i="26"/>
  <c r="L65" i="26"/>
  <c r="K83" i="26"/>
  <c r="K62" i="26"/>
  <c r="L83" i="26"/>
  <c r="K61" i="26"/>
  <c r="L62" i="26"/>
  <c r="K74" i="26"/>
  <c r="K81" i="26"/>
  <c r="K87" i="26"/>
  <c r="L61" i="26"/>
  <c r="K73" i="26"/>
  <c r="L74" i="26"/>
  <c r="K80" i="26"/>
  <c r="L81" i="26"/>
  <c r="K72" i="26"/>
  <c r="L73" i="26"/>
  <c r="L80" i="26"/>
  <c r="L92" i="26"/>
  <c r="K68" i="26"/>
  <c r="K77" i="26"/>
  <c r="L78" i="26"/>
  <c r="K85" i="26"/>
  <c r="L91" i="26"/>
  <c r="L68" i="26"/>
  <c r="L77" i="26"/>
  <c r="M91" i="26"/>
  <c r="K66" i="26"/>
  <c r="L67" i="26"/>
  <c r="K90" i="26"/>
  <c r="C17" i="26"/>
  <c r="C18" i="26"/>
  <c r="C19" i="26"/>
  <c r="C20" i="26"/>
  <c r="C21" i="26"/>
  <c r="C23" i="26"/>
  <c r="C26" i="26"/>
  <c r="C27" i="26"/>
  <c r="C29" i="26"/>
  <c r="C30" i="26"/>
  <c r="C31" i="26"/>
  <c r="C32" i="26"/>
  <c r="C33" i="26"/>
  <c r="C35" i="26"/>
  <c r="C36" i="26"/>
  <c r="C37" i="26"/>
  <c r="C38" i="26"/>
  <c r="C39" i="26"/>
  <c r="C47" i="26"/>
  <c r="C48" i="26"/>
  <c r="C49" i="26"/>
  <c r="C50" i="26"/>
  <c r="C51" i="26"/>
  <c r="C24" i="26"/>
  <c r="C80" i="26"/>
  <c r="C81" i="26"/>
  <c r="C5" i="26"/>
  <c r="C6" i="26"/>
  <c r="C8" i="26"/>
  <c r="C9" i="26"/>
  <c r="C11" i="26"/>
  <c r="C12" i="26"/>
  <c r="C14" i="26"/>
  <c r="C65" i="26"/>
  <c r="C66" i="26"/>
  <c r="C68" i="26"/>
  <c r="C71" i="26"/>
  <c r="C72" i="26"/>
  <c r="C73" i="26"/>
  <c r="C74" i="26"/>
  <c r="C77" i="26"/>
  <c r="C78" i="26"/>
  <c r="C79" i="26"/>
  <c r="C125" i="26"/>
  <c r="C53" i="26"/>
  <c r="C54" i="26"/>
  <c r="C55" i="26"/>
  <c r="C56" i="26"/>
  <c r="C57" i="26"/>
  <c r="C59" i="26"/>
  <c r="C60" i="26"/>
  <c r="C62" i="26"/>
  <c r="K92" i="26"/>
  <c r="K89" i="26"/>
  <c r="L90" i="26"/>
  <c r="L89" i="26"/>
  <c r="K86" i="26"/>
  <c r="L87" i="26"/>
  <c r="L79" i="26"/>
  <c r="K84" i="26"/>
  <c r="L85" i="26"/>
  <c r="M76" i="26"/>
  <c r="O97" i="25"/>
  <c r="C7" i="25"/>
  <c r="O42" i="25"/>
  <c r="O54" i="25"/>
  <c r="K67" i="26"/>
  <c r="G64" i="26"/>
  <c r="O72" i="25"/>
  <c r="O11" i="25"/>
  <c r="C73" i="25"/>
  <c r="C67" i="26" s="1"/>
  <c r="O12" i="25"/>
  <c r="D73" i="25"/>
  <c r="D67" i="26" s="1"/>
  <c r="C13" i="25"/>
  <c r="O60" i="25"/>
  <c r="E67" i="26"/>
  <c r="D13" i="25"/>
  <c r="C61" i="25"/>
  <c r="O102" i="25"/>
  <c r="O108" i="25"/>
  <c r="H136" i="26" l="1"/>
  <c r="H137" i="26" s="1"/>
  <c r="O138" i="25"/>
  <c r="K133" i="26"/>
  <c r="L133" i="26"/>
  <c r="O139" i="25"/>
  <c r="N132" i="26"/>
  <c r="N133" i="26"/>
  <c r="H132" i="26"/>
  <c r="M132" i="26"/>
  <c r="H133" i="26"/>
  <c r="I132" i="26"/>
  <c r="M133" i="26"/>
  <c r="J133" i="26"/>
  <c r="J132" i="26"/>
  <c r="I133" i="26"/>
  <c r="K132" i="26"/>
  <c r="G132" i="26"/>
  <c r="G126" i="26"/>
  <c r="J135" i="26"/>
  <c r="L132" i="26"/>
  <c r="G133" i="26"/>
  <c r="G136" i="26"/>
  <c r="G137" i="26" s="1"/>
  <c r="C136" i="26"/>
  <c r="C137" i="26" s="1"/>
  <c r="F136" i="26"/>
  <c r="F137" i="26" s="1"/>
  <c r="F133" i="26"/>
  <c r="F132" i="26"/>
  <c r="E136" i="26"/>
  <c r="E137" i="26" s="1"/>
  <c r="D136" i="26"/>
  <c r="D137" i="26" s="1"/>
  <c r="J126" i="26"/>
  <c r="N126" i="26"/>
  <c r="L126" i="26"/>
  <c r="K13" i="26"/>
  <c r="K135" i="26" s="1"/>
  <c r="E133" i="26"/>
  <c r="I126" i="26"/>
  <c r="D141" i="25"/>
  <c r="H126" i="26"/>
  <c r="E126" i="26"/>
  <c r="C132" i="26"/>
  <c r="M126" i="26"/>
  <c r="N13" i="26"/>
  <c r="N135" i="26" s="1"/>
  <c r="C133" i="26"/>
  <c r="G13" i="26"/>
  <c r="G135" i="26" s="1"/>
  <c r="F126" i="26"/>
  <c r="K126" i="26"/>
  <c r="C13" i="26"/>
  <c r="C141" i="25"/>
  <c r="C126" i="26"/>
  <c r="E132" i="26"/>
  <c r="E13" i="26"/>
  <c r="E135" i="26" s="1"/>
  <c r="D133" i="26"/>
  <c r="D126" i="26"/>
  <c r="D132" i="26"/>
  <c r="D13" i="26"/>
  <c r="C99" i="25"/>
  <c r="C93" i="26" s="1"/>
  <c r="C81" i="25"/>
  <c r="C75" i="26" s="1"/>
  <c r="C75" i="25"/>
  <c r="C69" i="26" s="1"/>
  <c r="G16" i="26"/>
  <c r="G127" i="26" s="1"/>
  <c r="G45" i="26"/>
  <c r="H16" i="26"/>
  <c r="O105" i="26"/>
  <c r="O107" i="26"/>
  <c r="O110" i="26"/>
  <c r="O101" i="26"/>
  <c r="O103" i="26"/>
  <c r="O104" i="26"/>
  <c r="O113" i="26"/>
  <c r="O117" i="26"/>
  <c r="O116" i="26"/>
  <c r="O111" i="26"/>
  <c r="O115" i="26"/>
  <c r="O102" i="26"/>
  <c r="O108" i="26"/>
  <c r="O115" i="25"/>
  <c r="O121" i="25"/>
  <c r="O109" i="26"/>
  <c r="O114" i="26"/>
  <c r="O44" i="26"/>
  <c r="O41" i="26"/>
  <c r="O27" i="26"/>
  <c r="O33" i="26"/>
  <c r="O57" i="26"/>
  <c r="O9" i="26"/>
  <c r="O32" i="26"/>
  <c r="O20" i="26"/>
  <c r="O96" i="26"/>
  <c r="O51" i="26"/>
  <c r="O14" i="26"/>
  <c r="O38" i="26"/>
  <c r="O26" i="26"/>
  <c r="O56" i="26"/>
  <c r="O8" i="26"/>
  <c r="O39" i="26"/>
  <c r="O50" i="26"/>
  <c r="O84" i="26"/>
  <c r="O125" i="26"/>
  <c r="O35" i="26"/>
  <c r="O21" i="26"/>
  <c r="O17" i="26"/>
  <c r="O99" i="26"/>
  <c r="O74" i="26"/>
  <c r="O103" i="25"/>
  <c r="D99" i="25"/>
  <c r="D93" i="26" s="1"/>
  <c r="O90" i="26"/>
  <c r="O59" i="26"/>
  <c r="O71" i="26"/>
  <c r="O42" i="26"/>
  <c r="D79" i="26"/>
  <c r="O79" i="26" s="1"/>
  <c r="O85" i="25"/>
  <c r="O65" i="26"/>
  <c r="O47" i="26"/>
  <c r="O53" i="26"/>
  <c r="O23" i="26"/>
  <c r="O61" i="25"/>
  <c r="O11" i="26"/>
  <c r="O60" i="26"/>
  <c r="O55" i="25"/>
  <c r="O55" i="26"/>
  <c r="O6" i="26"/>
  <c r="O37" i="26"/>
  <c r="O31" i="25"/>
  <c r="O18" i="26"/>
  <c r="O25" i="26"/>
  <c r="O54" i="26"/>
  <c r="O30" i="26"/>
  <c r="O25" i="25"/>
  <c r="O37" i="25"/>
  <c r="O48" i="26"/>
  <c r="D49" i="26"/>
  <c r="O49" i="26" s="1"/>
  <c r="O49" i="25"/>
  <c r="D45" i="25"/>
  <c r="D45" i="26" s="1"/>
  <c r="O43" i="26"/>
  <c r="O19" i="25"/>
  <c r="O19" i="26"/>
  <c r="O43" i="25"/>
  <c r="E45" i="26"/>
  <c r="O12" i="26"/>
  <c r="F45" i="26"/>
  <c r="O24" i="26"/>
  <c r="C45" i="25"/>
  <c r="C45" i="26" s="1"/>
  <c r="O29" i="26"/>
  <c r="O5" i="26"/>
  <c r="O36" i="26"/>
  <c r="O31" i="26"/>
  <c r="O7" i="25"/>
  <c r="O67" i="26"/>
  <c r="O73" i="26"/>
  <c r="O83" i="26"/>
  <c r="C7" i="26"/>
  <c r="O7" i="26" s="1"/>
  <c r="O92" i="26"/>
  <c r="F13" i="26"/>
  <c r="F135" i="26" s="1"/>
  <c r="O86" i="26"/>
  <c r="C61" i="26"/>
  <c r="O61" i="26" s="1"/>
  <c r="O85" i="26"/>
  <c r="H13" i="26"/>
  <c r="H135" i="26" s="1"/>
  <c r="I13" i="26"/>
  <c r="I135" i="26" s="1"/>
  <c r="O89" i="26"/>
  <c r="L13" i="26"/>
  <c r="L135" i="26" s="1"/>
  <c r="O79" i="25"/>
  <c r="O91" i="26"/>
  <c r="O87" i="26"/>
  <c r="M13" i="26"/>
  <c r="M135" i="26" s="1"/>
  <c r="O72" i="26"/>
  <c r="D75" i="25"/>
  <c r="D69" i="26" s="1"/>
  <c r="O98" i="26"/>
  <c r="O78" i="26"/>
  <c r="O62" i="26"/>
  <c r="O77" i="26"/>
  <c r="O68" i="26"/>
  <c r="O66" i="26"/>
  <c r="O81" i="26"/>
  <c r="O80" i="26"/>
  <c r="O97" i="26"/>
  <c r="O95" i="26"/>
  <c r="D81" i="25"/>
  <c r="D75" i="26" s="1"/>
  <c r="F63" i="26"/>
  <c r="F75" i="26"/>
  <c r="O73" i="25"/>
  <c r="D15" i="25"/>
  <c r="F93" i="26"/>
  <c r="E93" i="26"/>
  <c r="E63" i="26"/>
  <c r="O132" i="25"/>
  <c r="O13" i="25"/>
  <c r="E75" i="26"/>
  <c r="C63" i="25"/>
  <c r="O132" i="26" l="1"/>
  <c r="O141" i="25"/>
  <c r="O136" i="26"/>
  <c r="O137" i="26" s="1"/>
  <c r="O133" i="26"/>
  <c r="C136" i="25"/>
  <c r="C135" i="26"/>
  <c r="D136" i="25"/>
  <c r="D135" i="26"/>
  <c r="D15" i="26"/>
  <c r="D130" i="26" s="1"/>
  <c r="F15" i="26"/>
  <c r="F130" i="26" s="1"/>
  <c r="I16" i="26"/>
  <c r="E130" i="26"/>
  <c r="C63" i="26"/>
  <c r="C15" i="26"/>
  <c r="G63" i="26"/>
  <c r="O126" i="26"/>
  <c r="O82" i="25"/>
  <c r="N76" i="26"/>
  <c r="O76" i="26" s="1"/>
  <c r="O13" i="26"/>
  <c r="O135" i="26" s="1"/>
  <c r="H64" i="26"/>
  <c r="H127" i="26" s="1"/>
  <c r="G69" i="26"/>
  <c r="G75" i="26"/>
  <c r="G93" i="26"/>
  <c r="C130" i="26" l="1"/>
  <c r="G15" i="26"/>
  <c r="G130" i="26" s="1"/>
  <c r="J16" i="26"/>
  <c r="H69" i="26"/>
  <c r="H45" i="26"/>
  <c r="H63" i="26"/>
  <c r="I63" i="26"/>
  <c r="I64" i="26"/>
  <c r="I127" i="26" s="1"/>
  <c r="H93" i="26"/>
  <c r="H75" i="26"/>
  <c r="I75" i="26"/>
  <c r="J64" i="26"/>
  <c r="O75" i="26" l="1"/>
  <c r="O63" i="26"/>
  <c r="J127" i="26"/>
  <c r="H15" i="26"/>
  <c r="H130" i="26" s="1"/>
  <c r="K16" i="26"/>
  <c r="J45" i="26"/>
  <c r="I15" i="26"/>
  <c r="I93" i="26"/>
  <c r="O93" i="26" s="1"/>
  <c r="I45" i="26"/>
  <c r="I69" i="26"/>
  <c r="O69" i="26" s="1"/>
  <c r="J75" i="26"/>
  <c r="K64" i="26"/>
  <c r="I130" i="26" l="1"/>
  <c r="O15" i="26"/>
  <c r="K127" i="26"/>
  <c r="K45" i="26"/>
  <c r="L16" i="26"/>
  <c r="J63" i="26"/>
  <c r="J69" i="26"/>
  <c r="J93" i="26"/>
  <c r="L64" i="26"/>
  <c r="L127" i="26" l="1"/>
  <c r="M16" i="26"/>
  <c r="J15" i="26"/>
  <c r="J130" i="26" s="1"/>
  <c r="M64" i="26"/>
  <c r="K75" i="26"/>
  <c r="K93" i="26"/>
  <c r="K69" i="26"/>
  <c r="K63" i="26"/>
  <c r="M127" i="26" l="1"/>
  <c r="O45" i="26"/>
  <c r="O130" i="26" s="1"/>
  <c r="L45" i="26"/>
  <c r="L63" i="26"/>
  <c r="L69" i="26"/>
  <c r="L93" i="26"/>
  <c r="L75" i="26"/>
  <c r="K15" i="26"/>
  <c r="K130" i="26" s="1"/>
  <c r="N16" i="26"/>
  <c r="O16" i="25"/>
  <c r="O16" i="26" l="1"/>
  <c r="L15" i="26"/>
  <c r="L130" i="26" s="1"/>
  <c r="M63" i="26"/>
  <c r="M45" i="26"/>
  <c r="N93" i="26"/>
  <c r="N64" i="26"/>
  <c r="N127" i="26" s="1"/>
  <c r="N45" i="26"/>
  <c r="N69" i="26"/>
  <c r="N75" i="26"/>
  <c r="O133" i="25"/>
  <c r="M93" i="26"/>
  <c r="M69" i="26"/>
  <c r="M75" i="26"/>
  <c r="O64" i="25"/>
  <c r="N15" i="26" l="1"/>
  <c r="M15" i="26"/>
  <c r="M130" i="26" s="1"/>
  <c r="O63" i="25"/>
  <c r="N63" i="26"/>
  <c r="O64" i="26"/>
  <c r="O127" i="26"/>
  <c r="O99" i="25"/>
  <c r="O45" i="25"/>
  <c r="O15" i="25"/>
  <c r="O81" i="25"/>
  <c r="O75" i="25"/>
  <c r="O136" i="25" l="1"/>
  <c r="N130" i="26"/>
  <c r="I19" i="28"/>
  <c r="N19" i="28"/>
  <c r="O19" i="28"/>
  <c r="P19" i="28"/>
  <c r="Q19" i="28"/>
  <c r="R19" i="28"/>
  <c r="S19" i="28"/>
  <c r="T19" i="28"/>
  <c r="V19" i="28"/>
  <c r="H19" i="28"/>
  <c r="G19" i="28"/>
  <c r="T31" i="33" l="1"/>
  <c r="U31" i="33"/>
  <c r="V31" i="33"/>
  <c r="Y31" i="33"/>
  <c r="Z31" i="33"/>
  <c r="AA31" i="33"/>
  <c r="AB31" i="33"/>
  <c r="AC31" i="33"/>
  <c r="AD31" i="33"/>
  <c r="T32" i="33"/>
  <c r="U32" i="33"/>
  <c r="V32" i="33"/>
  <c r="Y32" i="33"/>
  <c r="Z32" i="33"/>
  <c r="AA32" i="33"/>
  <c r="AB32" i="33"/>
  <c r="AC32" i="33"/>
  <c r="AD32" i="33"/>
  <c r="T33" i="33"/>
  <c r="U33" i="33"/>
  <c r="V33" i="33"/>
  <c r="Y33" i="33"/>
  <c r="Z33" i="33"/>
  <c r="AA33" i="33"/>
  <c r="AB33" i="33"/>
  <c r="AC33" i="33"/>
  <c r="AD33" i="33"/>
  <c r="T34" i="33"/>
  <c r="U34" i="33"/>
  <c r="V34" i="33"/>
  <c r="Y34" i="33"/>
  <c r="Z34" i="33"/>
  <c r="AA34" i="33"/>
  <c r="AB34" i="33"/>
  <c r="AC34" i="33"/>
  <c r="AD34" i="33"/>
  <c r="T35" i="33"/>
  <c r="U35" i="33"/>
  <c r="V35" i="33"/>
  <c r="Y35" i="33"/>
  <c r="Z35" i="33"/>
  <c r="AA35" i="33"/>
  <c r="AB35" i="33"/>
  <c r="AC35" i="33"/>
  <c r="AD35" i="33"/>
  <c r="T36" i="33"/>
  <c r="U36" i="33"/>
  <c r="V36" i="33"/>
  <c r="Y36" i="33"/>
  <c r="Z36" i="33"/>
  <c r="AA36" i="33"/>
  <c r="AB36" i="33"/>
  <c r="AC36" i="33"/>
  <c r="AD36" i="33"/>
  <c r="T37" i="33"/>
  <c r="U37" i="33"/>
  <c r="V37" i="33"/>
  <c r="Y37" i="33"/>
  <c r="Z37" i="33"/>
  <c r="AA37" i="33"/>
  <c r="AB37" i="33"/>
  <c r="AC37" i="33"/>
  <c r="AD37" i="33"/>
  <c r="T38" i="33"/>
  <c r="U38" i="33"/>
  <c r="V38" i="33"/>
  <c r="Y38" i="33"/>
  <c r="Z38" i="33"/>
  <c r="AA38" i="33"/>
  <c r="AB38" i="33"/>
  <c r="AC38" i="33"/>
  <c r="AD38" i="33"/>
  <c r="T39" i="33"/>
  <c r="U39" i="33"/>
  <c r="V39" i="33"/>
  <c r="Y39" i="33"/>
  <c r="Z39" i="33"/>
  <c r="AA39" i="33"/>
  <c r="AB39" i="33"/>
  <c r="AC39" i="33"/>
  <c r="AD39" i="33"/>
  <c r="T40" i="33"/>
  <c r="U40" i="33"/>
  <c r="V40" i="33"/>
  <c r="Y40" i="33"/>
  <c r="Z40" i="33"/>
  <c r="AA40" i="33"/>
  <c r="AB40" i="33"/>
  <c r="AC40" i="33"/>
  <c r="AD40" i="33"/>
  <c r="T41" i="33"/>
  <c r="U41" i="33"/>
  <c r="V41" i="33"/>
  <c r="Y41" i="33"/>
  <c r="Z41" i="33"/>
  <c r="AA41" i="33"/>
  <c r="AB41" i="33"/>
  <c r="AC41" i="33"/>
  <c r="AD41" i="33"/>
  <c r="T42" i="33"/>
  <c r="U42" i="33"/>
  <c r="V42" i="33"/>
  <c r="Y42" i="33"/>
  <c r="Z42" i="33"/>
  <c r="AA42" i="33"/>
  <c r="AB42" i="33"/>
  <c r="AC42" i="33"/>
  <c r="AD42" i="33"/>
  <c r="T43" i="33"/>
  <c r="U43" i="33"/>
  <c r="V43" i="33"/>
  <c r="Y43" i="33"/>
  <c r="Z43" i="33"/>
  <c r="AA43" i="33"/>
  <c r="AB43" i="33"/>
  <c r="AC43" i="33"/>
  <c r="AD43" i="33"/>
  <c r="T44" i="33"/>
  <c r="U44" i="33"/>
  <c r="V44" i="33"/>
  <c r="Y44" i="33"/>
  <c r="Z44" i="33"/>
  <c r="AA44" i="33"/>
  <c r="AB44" i="33"/>
  <c r="AC44" i="33"/>
  <c r="AD44" i="33"/>
  <c r="T45" i="33"/>
  <c r="U45" i="33"/>
  <c r="V45" i="33"/>
  <c r="Y45" i="33"/>
  <c r="Z45" i="33"/>
  <c r="AA45" i="33"/>
  <c r="AB45" i="33"/>
  <c r="AC45" i="33"/>
  <c r="AD45" i="33"/>
  <c r="T46" i="33"/>
  <c r="U46" i="33"/>
  <c r="V46" i="33"/>
  <c r="Y46" i="33"/>
  <c r="Z46" i="33"/>
  <c r="AA46" i="33"/>
  <c r="AB46" i="33"/>
  <c r="AC46" i="33"/>
  <c r="AD46" i="33"/>
  <c r="T47" i="33"/>
  <c r="U47" i="33"/>
  <c r="V47" i="33"/>
  <c r="Y47" i="33"/>
  <c r="Z47" i="33"/>
  <c r="AA47" i="33"/>
  <c r="AB47" i="33"/>
  <c r="AC47" i="33"/>
  <c r="AD47" i="33"/>
  <c r="V48" i="33"/>
  <c r="Y48" i="33"/>
  <c r="Z48" i="33"/>
  <c r="AA48" i="33"/>
  <c r="AB48" i="33"/>
  <c r="AC48" i="33"/>
  <c r="AD48" i="33"/>
  <c r="T10" i="33"/>
  <c r="U10" i="33"/>
  <c r="V10" i="33"/>
  <c r="X10" i="33"/>
  <c r="Y10" i="33"/>
  <c r="Z10" i="33"/>
  <c r="AA10" i="33"/>
  <c r="AB10" i="33"/>
  <c r="AC10" i="33"/>
  <c r="AD10" i="33"/>
  <c r="T11" i="33"/>
  <c r="U11" i="33"/>
  <c r="V11" i="33"/>
  <c r="X11" i="33"/>
  <c r="Y11" i="33"/>
  <c r="Z11" i="33"/>
  <c r="AA11" i="33"/>
  <c r="AB11" i="33"/>
  <c r="AC11" i="33"/>
  <c r="AD11" i="33"/>
  <c r="T12" i="33"/>
  <c r="U12" i="33"/>
  <c r="V12" i="33"/>
  <c r="X12" i="33"/>
  <c r="Y12" i="33"/>
  <c r="Z12" i="33"/>
  <c r="AA12" i="33"/>
  <c r="AB12" i="33"/>
  <c r="AC12" i="33"/>
  <c r="AD12" i="33"/>
  <c r="T13" i="33"/>
  <c r="U13" i="33"/>
  <c r="V13" i="33"/>
  <c r="X13" i="33"/>
  <c r="Y13" i="33"/>
  <c r="Z13" i="33"/>
  <c r="AA13" i="33"/>
  <c r="AB13" i="33"/>
  <c r="AC13" i="33"/>
  <c r="AD13" i="33"/>
  <c r="T14" i="33"/>
  <c r="U14" i="33"/>
  <c r="V14" i="33"/>
  <c r="X14" i="33"/>
  <c r="Y14" i="33"/>
  <c r="Z14" i="33"/>
  <c r="AA14" i="33"/>
  <c r="AB14" i="33"/>
  <c r="AC14" i="33"/>
  <c r="AD14" i="33"/>
  <c r="T15" i="33"/>
  <c r="U15" i="33"/>
  <c r="V15" i="33"/>
  <c r="X15" i="33"/>
  <c r="Y15" i="33"/>
  <c r="Z15" i="33"/>
  <c r="AA15" i="33"/>
  <c r="AB15" i="33"/>
  <c r="AC15" i="33"/>
  <c r="AD15" i="33"/>
  <c r="T16" i="33"/>
  <c r="U16" i="33"/>
  <c r="V16" i="33"/>
  <c r="X16" i="33"/>
  <c r="Y16" i="33"/>
  <c r="Z16" i="33"/>
  <c r="AA16" i="33"/>
  <c r="AB16" i="33"/>
  <c r="AC16" i="33"/>
  <c r="AD16" i="33"/>
  <c r="T17" i="33"/>
  <c r="U17" i="33"/>
  <c r="V17" i="33"/>
  <c r="X17" i="33"/>
  <c r="Y17" i="33"/>
  <c r="Z17" i="33"/>
  <c r="AA17" i="33"/>
  <c r="AB17" i="33"/>
  <c r="AC17" i="33"/>
  <c r="AD17" i="33"/>
  <c r="T18" i="33"/>
  <c r="U18" i="33"/>
  <c r="V18" i="33"/>
  <c r="X18" i="33"/>
  <c r="Y18" i="33"/>
  <c r="Z18" i="33"/>
  <c r="AA18" i="33"/>
  <c r="AB18" i="33"/>
  <c r="AC18" i="33"/>
  <c r="AD18" i="33"/>
  <c r="T19" i="33"/>
  <c r="U19" i="33"/>
  <c r="V19" i="33"/>
  <c r="X19" i="33"/>
  <c r="Y19" i="33"/>
  <c r="Z19" i="33"/>
  <c r="AA19" i="33"/>
  <c r="AB19" i="33"/>
  <c r="AC19" i="33"/>
  <c r="AD19" i="33"/>
  <c r="T20" i="33"/>
  <c r="U20" i="33"/>
  <c r="V20" i="33"/>
  <c r="X20" i="33"/>
  <c r="Y20" i="33"/>
  <c r="Z20" i="33"/>
  <c r="AA20" i="33"/>
  <c r="AB20" i="33"/>
  <c r="AC20" i="33"/>
  <c r="AD20" i="33"/>
  <c r="T21" i="33"/>
  <c r="U21" i="33"/>
  <c r="V21" i="33"/>
  <c r="X21" i="33"/>
  <c r="Y21" i="33"/>
  <c r="Z21" i="33"/>
  <c r="AA21" i="33"/>
  <c r="AB21" i="33"/>
  <c r="AC21" i="33"/>
  <c r="AD21" i="33"/>
  <c r="T22" i="33"/>
  <c r="U22" i="33"/>
  <c r="V22" i="33"/>
  <c r="X22" i="33"/>
  <c r="Y22" i="33"/>
  <c r="Z22" i="33"/>
  <c r="AA22" i="33"/>
  <c r="AB22" i="33"/>
  <c r="AC22" i="33"/>
  <c r="AD22" i="33"/>
  <c r="T23" i="33"/>
  <c r="U23" i="33"/>
  <c r="V23" i="33"/>
  <c r="X23" i="33"/>
  <c r="Y23" i="33"/>
  <c r="Z23" i="33"/>
  <c r="AA23" i="33"/>
  <c r="AB23" i="33"/>
  <c r="AC23" i="33"/>
  <c r="AD23" i="33"/>
  <c r="T24" i="33"/>
  <c r="U24" i="33"/>
  <c r="V24" i="33"/>
  <c r="X24" i="33"/>
  <c r="Y24" i="33"/>
  <c r="Z24" i="33"/>
  <c r="AA24" i="33"/>
  <c r="AB24" i="33"/>
  <c r="AC24" i="33"/>
  <c r="AD24" i="33"/>
  <c r="T25" i="33"/>
  <c r="U25" i="33"/>
  <c r="V25" i="33"/>
  <c r="X25" i="33"/>
  <c r="Y25" i="33"/>
  <c r="Z25" i="33"/>
  <c r="AA25" i="33"/>
  <c r="AB25" i="33"/>
  <c r="AC25" i="33"/>
  <c r="AD25" i="33"/>
  <c r="T26" i="33"/>
  <c r="U26" i="33"/>
  <c r="V26" i="33"/>
  <c r="X26" i="33"/>
  <c r="Y26" i="33"/>
  <c r="Z26" i="33"/>
  <c r="AA26" i="33"/>
  <c r="AB26" i="33"/>
  <c r="AC26" i="33"/>
  <c r="AD26" i="33"/>
  <c r="T27" i="33"/>
  <c r="U27" i="33"/>
  <c r="V27" i="33"/>
  <c r="X27" i="33"/>
  <c r="Y27" i="33"/>
  <c r="Z27" i="33"/>
  <c r="AA27" i="33"/>
  <c r="AB27" i="33"/>
  <c r="AC27" i="33"/>
  <c r="AD27" i="33"/>
  <c r="Q27" i="33"/>
  <c r="R27" i="33" s="1"/>
  <c r="R26" i="33"/>
  <c r="R48" i="33"/>
  <c r="R47" i="33"/>
  <c r="W31" i="33"/>
  <c r="AD30" i="33"/>
  <c r="AC30" i="33"/>
  <c r="AB30" i="33"/>
  <c r="AA30" i="33"/>
  <c r="Z30" i="33"/>
  <c r="Y30" i="33"/>
  <c r="X30" i="33"/>
  <c r="W30" i="33"/>
  <c r="V30" i="33"/>
  <c r="U30" i="33"/>
  <c r="T30" i="33"/>
  <c r="S30" i="33"/>
  <c r="S29" i="33" s="1"/>
  <c r="Q23" i="33"/>
  <c r="Q67" i="33" s="1"/>
  <c r="Q22" i="33"/>
  <c r="Q21" i="33"/>
  <c r="Q20" i="33"/>
  <c r="Q19" i="33"/>
  <c r="Q18" i="33"/>
  <c r="Q17" i="33"/>
  <c r="Q16" i="33"/>
  <c r="Q15" i="33"/>
  <c r="Q14" i="33"/>
  <c r="Q13" i="33"/>
  <c r="Q12" i="33"/>
  <c r="Q11" i="33"/>
  <c r="Q10" i="33"/>
  <c r="AD9" i="33"/>
  <c r="AC9" i="33"/>
  <c r="AB9" i="33"/>
  <c r="AA9" i="33"/>
  <c r="Z9" i="33"/>
  <c r="Y9" i="33"/>
  <c r="X9" i="33"/>
  <c r="W9" i="33"/>
  <c r="V9" i="33"/>
  <c r="U9" i="33"/>
  <c r="T9" i="33"/>
  <c r="P4" i="33"/>
  <c r="O4" i="33"/>
  <c r="N4" i="33"/>
  <c r="M4" i="33"/>
  <c r="L4" i="33"/>
  <c r="K4" i="33"/>
  <c r="I4" i="33"/>
  <c r="H4" i="33"/>
  <c r="E4" i="33"/>
  <c r="P3" i="33"/>
  <c r="O3" i="33"/>
  <c r="N3" i="33"/>
  <c r="M3" i="33"/>
  <c r="L3" i="33"/>
  <c r="K3" i="33"/>
  <c r="I3" i="33"/>
  <c r="E3" i="33"/>
  <c r="Y8" i="33" l="1"/>
  <c r="V8" i="33"/>
  <c r="AC29" i="33"/>
  <c r="T29" i="33"/>
  <c r="AA8" i="33"/>
  <c r="V29" i="33"/>
  <c r="AC8" i="33"/>
  <c r="Y29" i="33"/>
  <c r="AA29" i="33"/>
  <c r="T8" i="33"/>
  <c r="Q8" i="33"/>
  <c r="AB8" i="33"/>
  <c r="X29" i="33"/>
  <c r="AF29" i="33" s="1"/>
  <c r="Z29" i="33"/>
  <c r="AD8" i="33"/>
  <c r="AB29" i="33"/>
  <c r="AD29" i="33"/>
  <c r="X8" i="33"/>
  <c r="AF8" i="33" s="1"/>
  <c r="U29" i="33"/>
  <c r="U8" i="33"/>
  <c r="Z8" i="33"/>
  <c r="AB63" i="33"/>
  <c r="AD63" i="33"/>
  <c r="AC63" i="33"/>
  <c r="AA63" i="33"/>
  <c r="Z63" i="33"/>
  <c r="Y63" i="33"/>
  <c r="X63" i="33"/>
  <c r="V63" i="33"/>
  <c r="U63" i="33"/>
  <c r="T63" i="33"/>
  <c r="Q63" i="33"/>
  <c r="T59" i="33"/>
  <c r="AD65" i="33"/>
  <c r="V67" i="33"/>
  <c r="AC65" i="33"/>
  <c r="T57" i="33"/>
  <c r="U67" i="33"/>
  <c r="AB65" i="33"/>
  <c r="X61" i="33"/>
  <c r="AD59" i="33"/>
  <c r="X67" i="33"/>
  <c r="Q59" i="33"/>
  <c r="T67" i="33"/>
  <c r="AA65" i="33"/>
  <c r="V61" i="33"/>
  <c r="AC59" i="33"/>
  <c r="Y61" i="33"/>
  <c r="Z65" i="33"/>
  <c r="U61" i="33"/>
  <c r="AB59" i="33"/>
  <c r="AD57" i="33"/>
  <c r="AA61" i="33"/>
  <c r="T61" i="33"/>
  <c r="AC57" i="33"/>
  <c r="Q61" i="33"/>
  <c r="AD67" i="33"/>
  <c r="X65" i="33"/>
  <c r="Z59" i="33"/>
  <c r="AB57" i="33"/>
  <c r="Z61" i="33"/>
  <c r="Y65" i="33"/>
  <c r="AA59" i="33"/>
  <c r="AC67" i="33"/>
  <c r="V65" i="33"/>
  <c r="Y59" i="33"/>
  <c r="AA57" i="33"/>
  <c r="Y67" i="33"/>
  <c r="U57" i="33"/>
  <c r="Q65" i="33"/>
  <c r="AB67" i="33"/>
  <c r="U65" i="33"/>
  <c r="AD61" i="33"/>
  <c r="X59" i="33"/>
  <c r="Z57" i="33"/>
  <c r="V57" i="33"/>
  <c r="Q57" i="33"/>
  <c r="AA67" i="33"/>
  <c r="T65" i="33"/>
  <c r="AC61" i="33"/>
  <c r="V59" i="33"/>
  <c r="Y57" i="33"/>
  <c r="Z67" i="33"/>
  <c r="AB61" i="33"/>
  <c r="U59" i="33"/>
  <c r="X57" i="33"/>
  <c r="W27" i="33"/>
  <c r="AE27" i="33" s="1"/>
  <c r="W26" i="33"/>
  <c r="AE26" i="33" s="1"/>
  <c r="W25" i="33"/>
  <c r="AE25" i="33" s="1"/>
  <c r="W24" i="33"/>
  <c r="AE24" i="33" s="1"/>
  <c r="W23" i="33"/>
  <c r="W22" i="33"/>
  <c r="AE22" i="33" s="1"/>
  <c r="W21" i="33"/>
  <c r="AE21" i="33" s="1"/>
  <c r="W20" i="33"/>
  <c r="AE20" i="33" s="1"/>
  <c r="W19" i="33"/>
  <c r="AE19" i="33" s="1"/>
  <c r="W18" i="33"/>
  <c r="AE18" i="33" s="1"/>
  <c r="W17" i="33"/>
  <c r="AE17" i="33" s="1"/>
  <c r="W16" i="33"/>
  <c r="AE16" i="33" s="1"/>
  <c r="W15" i="33"/>
  <c r="AE15" i="33" s="1"/>
  <c r="W14" i="33"/>
  <c r="AE14" i="33" s="1"/>
  <c r="W13" i="33"/>
  <c r="AE13" i="33" s="1"/>
  <c r="W12" i="33"/>
  <c r="AE12" i="33" s="1"/>
  <c r="W11" i="33"/>
  <c r="AE11" i="33" s="1"/>
  <c r="W10" i="33"/>
  <c r="AE10" i="33" s="1"/>
  <c r="W48" i="33"/>
  <c r="AE48" i="33" s="1"/>
  <c r="W47" i="33"/>
  <c r="AE47" i="33" s="1"/>
  <c r="AE46" i="33"/>
  <c r="W45" i="33"/>
  <c r="AE45" i="33" s="1"/>
  <c r="W43" i="33"/>
  <c r="AE43" i="33" s="1"/>
  <c r="AE42" i="33"/>
  <c r="W41" i="33"/>
  <c r="W40" i="33"/>
  <c r="W39" i="33"/>
  <c r="W38" i="33"/>
  <c r="AE38" i="33" s="1"/>
  <c r="W37" i="33"/>
  <c r="AE37" i="33" s="1"/>
  <c r="W36" i="33"/>
  <c r="W35" i="33"/>
  <c r="AE35" i="33" s="1"/>
  <c r="W34" i="33"/>
  <c r="AE34" i="33" s="1"/>
  <c r="W33" i="33"/>
  <c r="AE33" i="33" s="1"/>
  <c r="W32" i="33"/>
  <c r="AE32" i="33" s="1"/>
  <c r="Q4" i="33"/>
  <c r="AE9" i="33"/>
  <c r="AE30" i="33"/>
  <c r="Q3" i="33"/>
  <c r="AE31" i="33"/>
  <c r="O29" i="32"/>
  <c r="W65" i="33" l="1"/>
  <c r="W8" i="33"/>
  <c r="W29" i="33"/>
  <c r="W63" i="33"/>
  <c r="AE57" i="33"/>
  <c r="AE44" i="33"/>
  <c r="W67" i="33"/>
  <c r="AE36" i="33"/>
  <c r="AE59" i="33" s="1"/>
  <c r="W59" i="33"/>
  <c r="AE40" i="33"/>
  <c r="AE63" i="33" s="1"/>
  <c r="W57" i="33"/>
  <c r="AE39" i="33"/>
  <c r="AE61" i="33" s="1"/>
  <c r="W61" i="33"/>
  <c r="AE23" i="33"/>
  <c r="AE41" i="33"/>
  <c r="AE65" i="33" s="1"/>
  <c r="O8" i="32"/>
  <c r="AE29" i="33" l="1"/>
  <c r="AG29" i="33" s="1"/>
  <c r="AE8" i="33"/>
  <c r="AG8" i="33" s="1"/>
  <c r="AE67" i="33"/>
  <c r="AH29" i="32"/>
  <c r="P42" i="32" l="1"/>
  <c r="L8" i="32" l="1"/>
  <c r="M8" i="32"/>
  <c r="N8" i="32"/>
  <c r="AC60" i="32"/>
  <c r="AC56" i="32"/>
  <c r="AC52" i="32"/>
  <c r="O62" i="32"/>
  <c r="O60" i="32"/>
  <c r="O52" i="32"/>
  <c r="O58" i="32"/>
  <c r="N54" i="32"/>
  <c r="O54" i="32"/>
  <c r="AC31" i="32"/>
  <c r="AC32" i="32"/>
  <c r="AC33" i="32"/>
  <c r="AC34" i="32"/>
  <c r="AC35" i="32"/>
  <c r="AC36" i="32"/>
  <c r="AC37" i="32"/>
  <c r="AC38" i="32"/>
  <c r="AC39" i="32"/>
  <c r="AC40" i="32"/>
  <c r="AC41" i="32"/>
  <c r="AC42" i="32"/>
  <c r="AC43" i="32"/>
  <c r="AC44" i="32"/>
  <c r="AC45" i="32"/>
  <c r="AC46" i="32"/>
  <c r="AC47" i="32"/>
  <c r="AC48" i="32"/>
  <c r="AC49" i="32"/>
  <c r="AC30" i="32"/>
  <c r="AC10" i="32"/>
  <c r="AC11" i="32"/>
  <c r="AC12" i="32"/>
  <c r="AC13" i="32"/>
  <c r="AC14" i="32"/>
  <c r="AC15" i="32"/>
  <c r="AC16" i="32"/>
  <c r="AC17" i="32"/>
  <c r="AC18" i="32"/>
  <c r="AC19" i="32"/>
  <c r="AC20" i="32"/>
  <c r="AC21" i="32"/>
  <c r="AC22" i="32"/>
  <c r="AC23" i="32"/>
  <c r="AC24" i="32"/>
  <c r="AC25" i="32"/>
  <c r="AC26" i="32"/>
  <c r="AC27" i="32"/>
  <c r="AC28" i="32"/>
  <c r="AC9" i="32"/>
  <c r="AC54" i="32" l="1"/>
  <c r="AC62" i="32"/>
  <c r="AC8" i="32"/>
  <c r="P28" i="32" l="1"/>
  <c r="Q28" i="32" s="1"/>
  <c r="R25" i="33" s="1"/>
  <c r="N29" i="32" l="1"/>
  <c r="P49" i="32"/>
  <c r="Q49" i="32" l="1"/>
  <c r="R46" i="33" s="1"/>
  <c r="N4" i="32"/>
  <c r="N3" i="32"/>
  <c r="AB31" i="32" l="1"/>
  <c r="AB32" i="32"/>
  <c r="AB33" i="32"/>
  <c r="AB34" i="32"/>
  <c r="AB35" i="32"/>
  <c r="AB36" i="32"/>
  <c r="AB37" i="32"/>
  <c r="AB38" i="32"/>
  <c r="AB39" i="32"/>
  <c r="AB40" i="32"/>
  <c r="AB41" i="32"/>
  <c r="AB42" i="32"/>
  <c r="AB43" i="32"/>
  <c r="AB44" i="32"/>
  <c r="AB45" i="32"/>
  <c r="AB46" i="32"/>
  <c r="AB47" i="32"/>
  <c r="AB48" i="32"/>
  <c r="AB49" i="32"/>
  <c r="AB30" i="32"/>
  <c r="AB10" i="32"/>
  <c r="AB11" i="32"/>
  <c r="AB12" i="32"/>
  <c r="AB13" i="32"/>
  <c r="AB14" i="32"/>
  <c r="AB15" i="32"/>
  <c r="AB16" i="32"/>
  <c r="AB17" i="32"/>
  <c r="AB18" i="32"/>
  <c r="AB19" i="32"/>
  <c r="AB20" i="32"/>
  <c r="AB21" i="32"/>
  <c r="AB22" i="32"/>
  <c r="AB23" i="32"/>
  <c r="AB24" i="32"/>
  <c r="AB25" i="32"/>
  <c r="AB26" i="32"/>
  <c r="AB27" i="32"/>
  <c r="AB28" i="32"/>
  <c r="AA25" i="32"/>
  <c r="AA26" i="32"/>
  <c r="AA27" i="32"/>
  <c r="AA28" i="32"/>
  <c r="AD28" i="32" l="1"/>
  <c r="AB29" i="32"/>
  <c r="AB54" i="32"/>
  <c r="P36" i="32"/>
  <c r="P33" i="32"/>
  <c r="P32" i="32"/>
  <c r="P31" i="32"/>
  <c r="P30" i="32"/>
  <c r="M29" i="32" l="1"/>
  <c r="M3" i="32" l="1"/>
  <c r="L62" i="32" l="1"/>
  <c r="M62" i="32"/>
  <c r="AA15" i="32"/>
  <c r="AA36" i="32"/>
  <c r="M54" i="32"/>
  <c r="AA54" i="32" l="1"/>
  <c r="O3" i="32"/>
  <c r="M4" i="32"/>
  <c r="O4" i="32"/>
  <c r="E8" i="32"/>
  <c r="F8" i="32"/>
  <c r="G8" i="32"/>
  <c r="H8" i="32"/>
  <c r="I8" i="32"/>
  <c r="J8" i="32"/>
  <c r="K8" i="32"/>
  <c r="AF8" i="32"/>
  <c r="AG8" i="32"/>
  <c r="D8" i="32"/>
  <c r="D29" i="32"/>
  <c r="E29" i="32"/>
  <c r="F29" i="32"/>
  <c r="G29" i="32"/>
  <c r="H29" i="32"/>
  <c r="I29" i="32"/>
  <c r="J29" i="32"/>
  <c r="K29" i="32"/>
  <c r="L29" i="32"/>
  <c r="W49" i="32"/>
  <c r="X49" i="32"/>
  <c r="Y49" i="32"/>
  <c r="Z49" i="32"/>
  <c r="AA49" i="32"/>
  <c r="AD49" i="32" l="1"/>
  <c r="AA43" i="32" l="1"/>
  <c r="AA44" i="32"/>
  <c r="AA45" i="32"/>
  <c r="AA46" i="32"/>
  <c r="AA47" i="32"/>
  <c r="AA48" i="32"/>
  <c r="AA42" i="32"/>
  <c r="AA16" i="32"/>
  <c r="AA17" i="32"/>
  <c r="AA18" i="32"/>
  <c r="AA19" i="32"/>
  <c r="AA20" i="32"/>
  <c r="AA21" i="32"/>
  <c r="AA22" i="32"/>
  <c r="AA23" i="32"/>
  <c r="AA24" i="32"/>
  <c r="AA14" i="32"/>
  <c r="P41" i="32" l="1"/>
  <c r="Z31" i="32" l="1"/>
  <c r="Z32" i="32"/>
  <c r="Z33" i="32"/>
  <c r="Z34" i="32"/>
  <c r="Z35" i="32"/>
  <c r="Z36" i="32"/>
  <c r="Z37" i="32"/>
  <c r="Z38" i="32"/>
  <c r="Z39" i="32"/>
  <c r="Z40" i="32"/>
  <c r="Z41" i="32"/>
  <c r="Z42" i="32"/>
  <c r="Z43" i="32"/>
  <c r="Z44" i="32"/>
  <c r="Z45" i="32"/>
  <c r="Z46" i="32"/>
  <c r="Z47" i="32"/>
  <c r="Z48" i="32"/>
  <c r="Z30" i="32"/>
  <c r="Z10" i="32"/>
  <c r="Z11" i="32"/>
  <c r="Z12" i="32"/>
  <c r="Z13" i="32"/>
  <c r="Z14" i="32"/>
  <c r="Z15" i="32"/>
  <c r="Z16" i="32"/>
  <c r="Z17" i="32"/>
  <c r="Z18" i="32"/>
  <c r="Z19" i="32"/>
  <c r="Z20" i="32"/>
  <c r="Z21" i="32"/>
  <c r="Z22" i="32"/>
  <c r="Z23" i="32"/>
  <c r="Z24" i="32"/>
  <c r="Z25" i="32"/>
  <c r="Z26" i="32"/>
  <c r="Z27" i="32"/>
  <c r="Z9" i="32"/>
  <c r="Z29" i="32" l="1"/>
  <c r="Z8" i="32"/>
  <c r="L3" i="32"/>
  <c r="L4" i="32"/>
  <c r="D4" i="32"/>
  <c r="D3" i="32"/>
  <c r="K4" i="32" l="1"/>
  <c r="J4" i="32"/>
  <c r="I4" i="32"/>
  <c r="H4" i="32"/>
  <c r="F4" i="32"/>
  <c r="E4" i="32"/>
  <c r="K3" i="32"/>
  <c r="J3" i="32"/>
  <c r="I3" i="32"/>
  <c r="H3" i="32"/>
  <c r="G3" i="32"/>
  <c r="F3" i="32"/>
  <c r="E3" i="32"/>
  <c r="Y31" i="32" l="1"/>
  <c r="Y32" i="32"/>
  <c r="Y33" i="32"/>
  <c r="Y34" i="32"/>
  <c r="Y35" i="32"/>
  <c r="Y36" i="32"/>
  <c r="Y37" i="32"/>
  <c r="Y38" i="32"/>
  <c r="Y39" i="32"/>
  <c r="Y40" i="32"/>
  <c r="Y41" i="32"/>
  <c r="Y42" i="32"/>
  <c r="Y43" i="32"/>
  <c r="Y44" i="32"/>
  <c r="Y45" i="32"/>
  <c r="Y46" i="32"/>
  <c r="Y47" i="32"/>
  <c r="Y48" i="32"/>
  <c r="Y21" i="32"/>
  <c r="Y22" i="32"/>
  <c r="Y23" i="32"/>
  <c r="Y24" i="32"/>
  <c r="Y25" i="32"/>
  <c r="Y26" i="32"/>
  <c r="Y27" i="32"/>
  <c r="X31" i="32" l="1"/>
  <c r="X32" i="32"/>
  <c r="X33" i="32"/>
  <c r="X34" i="32"/>
  <c r="X35" i="32"/>
  <c r="X36" i="32"/>
  <c r="X37" i="32"/>
  <c r="X38" i="32"/>
  <c r="X39" i="32"/>
  <c r="X40" i="32"/>
  <c r="X41" i="32"/>
  <c r="X42" i="32"/>
  <c r="X43" i="32"/>
  <c r="X44" i="32"/>
  <c r="X45" i="32"/>
  <c r="X46" i="32"/>
  <c r="X47" i="32"/>
  <c r="X48" i="32"/>
  <c r="X30" i="32"/>
  <c r="X10" i="32"/>
  <c r="X11" i="32"/>
  <c r="X12" i="32"/>
  <c r="X13" i="32"/>
  <c r="X14" i="32"/>
  <c r="X15" i="32"/>
  <c r="X16" i="32"/>
  <c r="X17" i="32"/>
  <c r="X18" i="32"/>
  <c r="X19" i="32"/>
  <c r="X20" i="32"/>
  <c r="X21" i="32"/>
  <c r="X22" i="32"/>
  <c r="X23" i="32"/>
  <c r="X24" i="32"/>
  <c r="X25" i="32"/>
  <c r="X26" i="32"/>
  <c r="X27" i="32"/>
  <c r="X9" i="32"/>
  <c r="X8" i="32" l="1"/>
  <c r="X29" i="32"/>
  <c r="P23" i="32"/>
  <c r="P24" i="32"/>
  <c r="P25" i="32"/>
  <c r="P27" i="32"/>
  <c r="Q27" i="32" s="1"/>
  <c r="R24" i="33" s="1"/>
  <c r="P26" i="32"/>
  <c r="P48" i="32"/>
  <c r="Q48" i="32" s="1"/>
  <c r="R45" i="33" s="1"/>
  <c r="W10" i="32"/>
  <c r="W11" i="32"/>
  <c r="W12" i="32"/>
  <c r="W13" i="32"/>
  <c r="W14" i="32"/>
  <c r="W15" i="32"/>
  <c r="W16" i="32"/>
  <c r="W17" i="32"/>
  <c r="W18" i="32"/>
  <c r="W19" i="32"/>
  <c r="W20" i="32"/>
  <c r="W21" i="32"/>
  <c r="W22" i="32"/>
  <c r="W23" i="32"/>
  <c r="W24" i="32"/>
  <c r="W25" i="32"/>
  <c r="W26" i="32"/>
  <c r="W27" i="32"/>
  <c r="AD27" i="32" s="1"/>
  <c r="W9" i="32"/>
  <c r="W31" i="32"/>
  <c r="W32" i="32"/>
  <c r="W33" i="32"/>
  <c r="W34" i="32"/>
  <c r="W35" i="32"/>
  <c r="W36" i="32"/>
  <c r="W37" i="32"/>
  <c r="W38" i="32"/>
  <c r="W39" i="32"/>
  <c r="W40" i="32"/>
  <c r="W41" i="32"/>
  <c r="W42" i="32"/>
  <c r="W43" i="32"/>
  <c r="W44" i="32"/>
  <c r="W45" i="32"/>
  <c r="W46" i="32"/>
  <c r="W47" i="32"/>
  <c r="W48" i="32"/>
  <c r="AD48" i="32" s="1"/>
  <c r="W30" i="32"/>
  <c r="Q26" i="32" l="1"/>
  <c r="R23" i="33" s="1"/>
  <c r="W8" i="32"/>
  <c r="W29" i="32"/>
  <c r="AE29" i="32" l="1"/>
  <c r="AF29" i="32"/>
  <c r="AG29" i="32"/>
  <c r="G4" i="32" l="1"/>
  <c r="P43" i="32"/>
  <c r="P44" i="32"/>
  <c r="P45" i="32"/>
  <c r="P46" i="32"/>
  <c r="P47" i="32"/>
  <c r="P62" i="32" s="1"/>
  <c r="V50" i="32" l="1"/>
  <c r="V20" i="32" l="1"/>
  <c r="V17" i="32"/>
  <c r="V40" i="32"/>
  <c r="V18" i="32"/>
  <c r="V39" i="32"/>
  <c r="V16" i="32"/>
  <c r="V47" i="32"/>
  <c r="V13" i="32"/>
  <c r="V12" i="32"/>
  <c r="V34" i="32"/>
  <c r="V32" i="32"/>
  <c r="V45" i="32"/>
  <c r="V31" i="32"/>
  <c r="V15" i="32"/>
  <c r="V35" i="32"/>
  <c r="V46" i="32"/>
  <c r="V26" i="32"/>
  <c r="V43" i="32"/>
  <c r="V25" i="32"/>
  <c r="V42" i="32"/>
  <c r="V38" i="32"/>
  <c r="V14" i="32"/>
  <c r="V33" i="32"/>
  <c r="V44" i="32"/>
  <c r="V24" i="32"/>
  <c r="V41" i="32"/>
  <c r="V19" i="32"/>
  <c r="V23" i="32"/>
  <c r="V11" i="32"/>
  <c r="V22" i="32"/>
  <c r="V10" i="32"/>
  <c r="V37" i="32"/>
  <c r="V21" i="32"/>
  <c r="V36" i="32"/>
  <c r="U26" i="32" l="1"/>
  <c r="G62" i="32" l="1"/>
  <c r="U31" i="32"/>
  <c r="U32" i="32"/>
  <c r="U33" i="32"/>
  <c r="U34" i="32"/>
  <c r="U35" i="32"/>
  <c r="U36" i="32"/>
  <c r="U37" i="32"/>
  <c r="U38" i="32"/>
  <c r="U39" i="32"/>
  <c r="U40" i="32"/>
  <c r="U41" i="32"/>
  <c r="U42" i="32"/>
  <c r="U43" i="32"/>
  <c r="U44" i="32"/>
  <c r="U45" i="32"/>
  <c r="U46" i="32"/>
  <c r="U47" i="32"/>
  <c r="U15" i="32"/>
  <c r="U16" i="32"/>
  <c r="U17" i="32"/>
  <c r="U18" i="32"/>
  <c r="U19" i="32"/>
  <c r="U20" i="32"/>
  <c r="U21" i="32"/>
  <c r="U22" i="32"/>
  <c r="U23" i="32"/>
  <c r="U24" i="32"/>
  <c r="U25" i="32"/>
  <c r="P20" i="32" l="1"/>
  <c r="F62" i="32" l="1"/>
  <c r="H62" i="32"/>
  <c r="I62" i="32"/>
  <c r="J62" i="32"/>
  <c r="K62" i="32"/>
  <c r="N62" i="32"/>
  <c r="U62" i="32"/>
  <c r="V62" i="32"/>
  <c r="W62" i="32"/>
  <c r="X62" i="32"/>
  <c r="Y62" i="32"/>
  <c r="Z62" i="32"/>
  <c r="AA62" i="32"/>
  <c r="AB62" i="32"/>
  <c r="P22" i="32" l="1"/>
  <c r="Q23" i="32"/>
  <c r="R22" i="33" s="1"/>
  <c r="Q24" i="32"/>
  <c r="Q25" i="32"/>
  <c r="P21" i="32"/>
  <c r="Q44" i="32"/>
  <c r="R43" i="33" s="1"/>
  <c r="Q45" i="32"/>
  <c r="Q46" i="32"/>
  <c r="Q47" i="32"/>
  <c r="T31" i="32"/>
  <c r="T32" i="32"/>
  <c r="T33" i="32"/>
  <c r="T34" i="32"/>
  <c r="T35" i="32"/>
  <c r="T36" i="32"/>
  <c r="T37" i="32"/>
  <c r="T38" i="32"/>
  <c r="T39" i="32"/>
  <c r="T40" i="32"/>
  <c r="T41" i="32"/>
  <c r="T42" i="32"/>
  <c r="T43" i="32"/>
  <c r="T44" i="32"/>
  <c r="AD44" i="32" s="1"/>
  <c r="T45" i="32"/>
  <c r="AD45" i="32" s="1"/>
  <c r="T46" i="32"/>
  <c r="AD46" i="32" s="1"/>
  <c r="T47" i="32"/>
  <c r="AD47" i="32" s="1"/>
  <c r="T10" i="32"/>
  <c r="T11" i="32"/>
  <c r="T12" i="32"/>
  <c r="T13" i="32"/>
  <c r="T14" i="32"/>
  <c r="T15" i="32"/>
  <c r="T16" i="32"/>
  <c r="T17" i="32"/>
  <c r="T18" i="32"/>
  <c r="T19" i="32"/>
  <c r="T20" i="32"/>
  <c r="T21" i="32"/>
  <c r="T22" i="32"/>
  <c r="T23" i="32"/>
  <c r="AD23" i="32" s="1"/>
  <c r="T24" i="32"/>
  <c r="AD24" i="32" s="1"/>
  <c r="T25" i="32"/>
  <c r="AD25" i="32" s="1"/>
  <c r="T26" i="32"/>
  <c r="AD26" i="32" s="1"/>
  <c r="AD62" i="32" s="1"/>
  <c r="T9" i="32"/>
  <c r="Q62" i="32" l="1"/>
  <c r="R44" i="33"/>
  <c r="R67" i="33" s="1"/>
  <c r="T8" i="32"/>
  <c r="T62" i="32"/>
  <c r="AE10" i="32" l="1"/>
  <c r="AE9" i="32"/>
  <c r="AE8" i="32" s="1"/>
  <c r="S10" i="32" l="1"/>
  <c r="S11" i="32"/>
  <c r="S12" i="32"/>
  <c r="S13" i="32"/>
  <c r="S14" i="32"/>
  <c r="S15" i="32"/>
  <c r="S16" i="32"/>
  <c r="S17" i="32"/>
  <c r="S18" i="32"/>
  <c r="S19" i="32"/>
  <c r="S20" i="32"/>
  <c r="S21" i="32"/>
  <c r="S22" i="32"/>
  <c r="S9" i="32"/>
  <c r="S31" i="32"/>
  <c r="S32" i="32"/>
  <c r="S33" i="32"/>
  <c r="S34" i="32"/>
  <c r="S35" i="32"/>
  <c r="S36" i="32"/>
  <c r="S37" i="32"/>
  <c r="S38" i="32"/>
  <c r="S39" i="32"/>
  <c r="S40" i="32"/>
  <c r="S41" i="32"/>
  <c r="S42" i="32"/>
  <c r="S43" i="32"/>
  <c r="S30" i="32"/>
  <c r="S8" i="32" l="1"/>
  <c r="S29" i="32"/>
  <c r="E56" i="32"/>
  <c r="E58" i="32"/>
  <c r="E52" i="32"/>
  <c r="D60" i="32" l="1"/>
  <c r="E60" i="32"/>
  <c r="F60" i="32"/>
  <c r="G60" i="32"/>
  <c r="H60" i="32"/>
  <c r="I60" i="32"/>
  <c r="J60" i="32"/>
  <c r="K60" i="32"/>
  <c r="L60" i="32"/>
  <c r="M60" i="32"/>
  <c r="N60" i="32"/>
  <c r="D58" i="32"/>
  <c r="F58" i="32"/>
  <c r="G58" i="32"/>
  <c r="H58" i="32"/>
  <c r="I58" i="32"/>
  <c r="J58" i="32"/>
  <c r="K58" i="32"/>
  <c r="L58" i="32"/>
  <c r="M58" i="32"/>
  <c r="N58" i="32"/>
  <c r="R20" i="32"/>
  <c r="R10" i="32"/>
  <c r="R9" i="32"/>
  <c r="R11" i="32"/>
  <c r="R12" i="32"/>
  <c r="R13" i="32"/>
  <c r="R14" i="32"/>
  <c r="R15" i="32"/>
  <c r="R16" i="32"/>
  <c r="R17" i="32"/>
  <c r="R18" i="32"/>
  <c r="R19" i="32"/>
  <c r="R21" i="32"/>
  <c r="R22" i="32"/>
  <c r="R32" i="32"/>
  <c r="R33" i="32"/>
  <c r="R34" i="32"/>
  <c r="R35" i="32"/>
  <c r="R36" i="32"/>
  <c r="R37" i="32"/>
  <c r="R40" i="32"/>
  <c r="AD40" i="32" s="1"/>
  <c r="R41" i="32"/>
  <c r="R42" i="32"/>
  <c r="R43" i="32"/>
  <c r="AD43" i="32" s="1"/>
  <c r="R30" i="32"/>
  <c r="X60" i="32"/>
  <c r="W60" i="32"/>
  <c r="V60" i="32"/>
  <c r="U60" i="32"/>
  <c r="T60" i="32"/>
  <c r="S60" i="32"/>
  <c r="W58" i="32"/>
  <c r="V58" i="32"/>
  <c r="U58" i="32"/>
  <c r="T58" i="32"/>
  <c r="S58" i="32"/>
  <c r="O56" i="32"/>
  <c r="N56" i="32"/>
  <c r="M56" i="32"/>
  <c r="L56" i="32"/>
  <c r="K56" i="32"/>
  <c r="J56" i="32"/>
  <c r="I56" i="32"/>
  <c r="H56" i="32"/>
  <c r="G56" i="32"/>
  <c r="F56" i="32"/>
  <c r="N52" i="32"/>
  <c r="M52" i="32"/>
  <c r="K52" i="32"/>
  <c r="J52" i="32"/>
  <c r="I52" i="32"/>
  <c r="H52" i="32"/>
  <c r="G52" i="32"/>
  <c r="F52" i="32"/>
  <c r="AA41" i="32"/>
  <c r="AA40" i="32"/>
  <c r="AA58" i="32" s="1"/>
  <c r="P40" i="32"/>
  <c r="P58" i="32" s="1"/>
  <c r="AA39" i="32"/>
  <c r="P39" i="32"/>
  <c r="AA38" i="32"/>
  <c r="P38" i="32"/>
  <c r="AA37" i="32"/>
  <c r="P37" i="32"/>
  <c r="AA35" i="32"/>
  <c r="P35" i="32"/>
  <c r="AA34" i="32"/>
  <c r="P34" i="32"/>
  <c r="AA33" i="32"/>
  <c r="AA32" i="32"/>
  <c r="AA31" i="32"/>
  <c r="AA30" i="32"/>
  <c r="Y30" i="32"/>
  <c r="Y29" i="32" s="1"/>
  <c r="U30" i="32"/>
  <c r="U29" i="32" s="1"/>
  <c r="T30" i="32"/>
  <c r="T29" i="32" s="1"/>
  <c r="Y20" i="32"/>
  <c r="Y19" i="32"/>
  <c r="P19" i="32"/>
  <c r="Y18" i="32"/>
  <c r="P18" i="32"/>
  <c r="Y17" i="32"/>
  <c r="P17" i="32"/>
  <c r="Y16" i="32"/>
  <c r="P16" i="32"/>
  <c r="Y15" i="32"/>
  <c r="P15" i="32"/>
  <c r="Y14" i="32"/>
  <c r="U14" i="32"/>
  <c r="P14" i="32"/>
  <c r="AA13" i="32"/>
  <c r="Y13" i="32"/>
  <c r="U13" i="32"/>
  <c r="P13" i="32"/>
  <c r="AA12" i="32"/>
  <c r="Y12" i="32"/>
  <c r="U12" i="32"/>
  <c r="P12" i="32"/>
  <c r="AA11" i="32"/>
  <c r="Y11" i="32"/>
  <c r="U11" i="32"/>
  <c r="P11" i="32"/>
  <c r="AA10" i="32"/>
  <c r="Y10" i="32"/>
  <c r="U10" i="32"/>
  <c r="P10" i="32"/>
  <c r="AB9" i="32"/>
  <c r="AB8" i="32" s="1"/>
  <c r="AA9" i="32"/>
  <c r="Y9" i="32"/>
  <c r="U9" i="32"/>
  <c r="P9" i="32"/>
  <c r="P29" i="32" l="1"/>
  <c r="P54" i="32"/>
  <c r="P8" i="32"/>
  <c r="AH8" i="32" s="1"/>
  <c r="P3" i="32"/>
  <c r="Y8" i="32"/>
  <c r="AA29" i="32"/>
  <c r="AC29" i="32"/>
  <c r="R8" i="32"/>
  <c r="P4" i="32"/>
  <c r="AA8" i="32"/>
  <c r="U8" i="32"/>
  <c r="AD22" i="32"/>
  <c r="Y60" i="32"/>
  <c r="D52" i="32"/>
  <c r="R31" i="32"/>
  <c r="R52" i="32" s="1"/>
  <c r="R38" i="32"/>
  <c r="D56" i="32"/>
  <c r="R39" i="32"/>
  <c r="R56" i="32" s="1"/>
  <c r="T52" i="32"/>
  <c r="W56" i="32"/>
  <c r="V30" i="32"/>
  <c r="V29" i="32" s="1"/>
  <c r="U56" i="32"/>
  <c r="S52" i="32"/>
  <c r="X52" i="32"/>
  <c r="R58" i="32"/>
  <c r="Z58" i="32"/>
  <c r="V9" i="32"/>
  <c r="V8" i="32" s="1"/>
  <c r="T56" i="32"/>
  <c r="Z56" i="32"/>
  <c r="AA60" i="32"/>
  <c r="AB58" i="32"/>
  <c r="AB60" i="32"/>
  <c r="R60" i="32"/>
  <c r="AD42" i="32"/>
  <c r="U52" i="32"/>
  <c r="AB56" i="32"/>
  <c r="P56" i="32"/>
  <c r="AC58" i="32"/>
  <c r="P60" i="32"/>
  <c r="AD20" i="32"/>
  <c r="Y52" i="32"/>
  <c r="Z60" i="32"/>
  <c r="AD21" i="32"/>
  <c r="AB52" i="32"/>
  <c r="X56" i="32"/>
  <c r="X58" i="32"/>
  <c r="AD19" i="32"/>
  <c r="AA52" i="32"/>
  <c r="P52" i="32"/>
  <c r="Y56" i="32"/>
  <c r="AA56" i="32"/>
  <c r="Z52" i="32"/>
  <c r="Y58" i="32"/>
  <c r="AD41" i="32"/>
  <c r="AD60" i="32" s="1"/>
  <c r="R29" i="32" l="1"/>
  <c r="AD30" i="32"/>
  <c r="AD37" i="32"/>
  <c r="V56" i="32"/>
  <c r="AD36" i="32"/>
  <c r="AD35" i="32"/>
  <c r="AD18" i="32"/>
  <c r="AD11" i="32"/>
  <c r="AD15" i="32"/>
  <c r="AD12" i="32"/>
  <c r="AD32" i="32"/>
  <c r="AD14" i="32"/>
  <c r="AD16" i="32"/>
  <c r="AD13" i="32"/>
  <c r="AD33" i="32"/>
  <c r="AD58" i="32"/>
  <c r="AD38" i="32"/>
  <c r="AD34" i="32"/>
  <c r="S56" i="32"/>
  <c r="AD10" i="32"/>
  <c r="AD17" i="32"/>
  <c r="AD9" i="32"/>
  <c r="W52" i="32"/>
  <c r="V52" i="32"/>
  <c r="AD31" i="32"/>
  <c r="AD39" i="32"/>
  <c r="AD54" i="32" l="1"/>
  <c r="AD29" i="32"/>
  <c r="AI29" i="32" s="1"/>
  <c r="AD8" i="32"/>
  <c r="AI8" i="32" s="1"/>
  <c r="AD56" i="32"/>
  <c r="AD52" i="32"/>
  <c r="G14" i="28"/>
  <c r="O23" i="31" l="1"/>
  <c r="O8" i="31" l="1"/>
  <c r="R56" i="31" l="1"/>
  <c r="S56" i="31"/>
  <c r="T56" i="31"/>
  <c r="U56" i="31"/>
  <c r="V56" i="31"/>
  <c r="W56" i="31"/>
  <c r="R58" i="31"/>
  <c r="S58" i="31"/>
  <c r="T58" i="31"/>
  <c r="U58" i="31"/>
  <c r="V58" i="31"/>
  <c r="W58" i="31"/>
  <c r="X58" i="31"/>
  <c r="O50" i="31"/>
  <c r="O52" i="31"/>
  <c r="O56" i="31"/>
  <c r="U14" i="28" l="1"/>
  <c r="G13" i="28"/>
  <c r="O27" i="31"/>
  <c r="W14" i="28" l="1"/>
  <c r="AC10" i="31"/>
  <c r="AC11" i="31"/>
  <c r="AC12" i="31"/>
  <c r="AC13" i="31"/>
  <c r="AC14" i="31"/>
  <c r="AC15" i="31"/>
  <c r="AC16" i="31"/>
  <c r="AC17" i="31"/>
  <c r="AC18" i="31"/>
  <c r="AC19" i="31"/>
  <c r="AC20" i="31"/>
  <c r="AC21" i="31"/>
  <c r="AC22" i="31"/>
  <c r="AC23" i="31"/>
  <c r="AC24" i="31"/>
  <c r="AC25" i="31"/>
  <c r="AC26" i="31"/>
  <c r="AC9" i="31"/>
  <c r="AC29" i="31"/>
  <c r="AC30" i="31"/>
  <c r="AC31" i="31"/>
  <c r="AC32" i="31"/>
  <c r="AC33" i="31"/>
  <c r="AC34" i="31"/>
  <c r="AC35" i="31"/>
  <c r="AC36" i="31"/>
  <c r="AC37" i="31"/>
  <c r="AC38" i="31"/>
  <c r="AC39" i="31"/>
  <c r="AC40" i="31"/>
  <c r="AC41" i="31"/>
  <c r="AC42" i="31"/>
  <c r="AC43" i="31"/>
  <c r="AC44" i="31"/>
  <c r="AC45" i="31"/>
  <c r="AC28" i="31"/>
  <c r="AC58" i="31" l="1"/>
  <c r="AC56" i="31"/>
  <c r="AC27" i="31"/>
  <c r="AC8" i="31"/>
  <c r="N8" i="31" l="1"/>
  <c r="N27" i="31"/>
  <c r="P10" i="31" l="1"/>
  <c r="P11" i="31"/>
  <c r="P12" i="31"/>
  <c r="P13" i="31"/>
  <c r="P14" i="31"/>
  <c r="P15" i="31"/>
  <c r="P16" i="31"/>
  <c r="P17" i="31"/>
  <c r="P18" i="31"/>
  <c r="P19" i="31"/>
  <c r="P20" i="31"/>
  <c r="P21" i="31"/>
  <c r="Q21" i="31" s="1"/>
  <c r="P22" i="31"/>
  <c r="P23" i="31"/>
  <c r="P24" i="31"/>
  <c r="P25" i="31"/>
  <c r="P26" i="31"/>
  <c r="P29" i="31"/>
  <c r="P30" i="31"/>
  <c r="P31" i="31"/>
  <c r="P32" i="31"/>
  <c r="P33" i="31"/>
  <c r="P34" i="31"/>
  <c r="P35" i="31"/>
  <c r="P36" i="31"/>
  <c r="P37" i="31"/>
  <c r="P38" i="31"/>
  <c r="P39" i="31"/>
  <c r="P40" i="31"/>
  <c r="Q40" i="31" s="1"/>
  <c r="P41" i="31"/>
  <c r="Q41" i="31" s="1"/>
  <c r="P42" i="31"/>
  <c r="Q42" i="31" s="1"/>
  <c r="Q40" i="32" s="1"/>
  <c r="R40" i="33" s="1"/>
  <c r="P43" i="31"/>
  <c r="Q43" i="31" s="1"/>
  <c r="Q41" i="32" s="1"/>
  <c r="R41" i="33" s="1"/>
  <c r="P44" i="31"/>
  <c r="Q44" i="31" s="1"/>
  <c r="Q42" i="32" s="1"/>
  <c r="P45" i="31"/>
  <c r="Q26" i="31"/>
  <c r="Q22" i="32" s="1"/>
  <c r="R21" i="33" s="1"/>
  <c r="Q45" i="31"/>
  <c r="Q43" i="32" s="1"/>
  <c r="R42" i="33" s="1"/>
  <c r="P50" i="31" l="1"/>
  <c r="AB10" i="31"/>
  <c r="AB11" i="31"/>
  <c r="AB12" i="31"/>
  <c r="AB13" i="31"/>
  <c r="AB14" i="31"/>
  <c r="AB15" i="31"/>
  <c r="AB16" i="31"/>
  <c r="AB17" i="31"/>
  <c r="AB18" i="31"/>
  <c r="AB19" i="31"/>
  <c r="AB20" i="31"/>
  <c r="AB21" i="31"/>
  <c r="AB22" i="31"/>
  <c r="AB23" i="31"/>
  <c r="AB24" i="31"/>
  <c r="AB25" i="31"/>
  <c r="AB26" i="31"/>
  <c r="AB29" i="31"/>
  <c r="AB30" i="31"/>
  <c r="AB31" i="31"/>
  <c r="AB32" i="31"/>
  <c r="AB33" i="31"/>
  <c r="AB34" i="31"/>
  <c r="AB35" i="31"/>
  <c r="AB36" i="31"/>
  <c r="AB37" i="31"/>
  <c r="AB38" i="31"/>
  <c r="AB39" i="31"/>
  <c r="AB40" i="31"/>
  <c r="AB41" i="31"/>
  <c r="AB42" i="31"/>
  <c r="AB56" i="31" s="1"/>
  <c r="AB43" i="31"/>
  <c r="AB58" i="31" s="1"/>
  <c r="AB44" i="31"/>
  <c r="AB45" i="31"/>
  <c r="AD45" i="31" s="1"/>
  <c r="D8" i="31" l="1"/>
  <c r="E8" i="31"/>
  <c r="F8" i="31"/>
  <c r="G8" i="31"/>
  <c r="H8" i="31"/>
  <c r="I8" i="31"/>
  <c r="J8" i="31"/>
  <c r="K8" i="31"/>
  <c r="L8" i="31"/>
  <c r="M8" i="31"/>
  <c r="D27" i="31"/>
  <c r="E27" i="31"/>
  <c r="F27" i="31"/>
  <c r="G27" i="31"/>
  <c r="H27" i="31"/>
  <c r="I27" i="31"/>
  <c r="J27" i="31"/>
  <c r="K27" i="31"/>
  <c r="L27" i="31"/>
  <c r="M27" i="31"/>
  <c r="Y26" i="31" l="1"/>
  <c r="Z26" i="31"/>
  <c r="AA26" i="31"/>
  <c r="AD26" i="31" l="1"/>
  <c r="N58" i="31" l="1"/>
  <c r="N56" i="31"/>
  <c r="N54" i="31"/>
  <c r="N52" i="31"/>
  <c r="H54" i="31" l="1"/>
  <c r="G54" i="31"/>
  <c r="I54" i="31"/>
  <c r="J54" i="31"/>
  <c r="K54" i="31"/>
  <c r="L54" i="31"/>
  <c r="AA10" i="31" l="1"/>
  <c r="AA11" i="31"/>
  <c r="AA12" i="31"/>
  <c r="AA13" i="31"/>
  <c r="AA14" i="31"/>
  <c r="AA15" i="31"/>
  <c r="AA16" i="31"/>
  <c r="AA17" i="31"/>
  <c r="AA18" i="31"/>
  <c r="AA19" i="31"/>
  <c r="AA20" i="31"/>
  <c r="AA21" i="31"/>
  <c r="AA22" i="31"/>
  <c r="AA23" i="31"/>
  <c r="AA24" i="31"/>
  <c r="AA25" i="31"/>
  <c r="AA9" i="31"/>
  <c r="AA29" i="31"/>
  <c r="AA30" i="31"/>
  <c r="AA31" i="31"/>
  <c r="AA32" i="31"/>
  <c r="AA33" i="31"/>
  <c r="AA34" i="31"/>
  <c r="AA35" i="31"/>
  <c r="AA36" i="31"/>
  <c r="AA37" i="31"/>
  <c r="AA38" i="31"/>
  <c r="AA39" i="31"/>
  <c r="AA40" i="31"/>
  <c r="AA41" i="31"/>
  <c r="AA42" i="31"/>
  <c r="AA43" i="31"/>
  <c r="AA44" i="31"/>
  <c r="AA56" i="31" l="1"/>
  <c r="AA58" i="31"/>
  <c r="AA8" i="31"/>
  <c r="M58" i="31"/>
  <c r="L58" i="31"/>
  <c r="L50" i="31" l="1"/>
  <c r="AA28" i="31" l="1"/>
  <c r="AA27" i="31" s="1"/>
  <c r="O58" i="31" l="1"/>
  <c r="M56" i="31"/>
  <c r="L56" i="31" l="1"/>
  <c r="Z29" i="31" l="1"/>
  <c r="Z30" i="31"/>
  <c r="Z31" i="31"/>
  <c r="Z32" i="31"/>
  <c r="Z33" i="31"/>
  <c r="Z34" i="31"/>
  <c r="Z35" i="31"/>
  <c r="Z36" i="31"/>
  <c r="Z37" i="31"/>
  <c r="Z38" i="31"/>
  <c r="Z39" i="31"/>
  <c r="Z40" i="31"/>
  <c r="Z41" i="31"/>
  <c r="Z42" i="31"/>
  <c r="Z43" i="31"/>
  <c r="Z44" i="31"/>
  <c r="Z28" i="31"/>
  <c r="Z10" i="31"/>
  <c r="Z11" i="31"/>
  <c r="Z12" i="31"/>
  <c r="Z13" i="31"/>
  <c r="Z14" i="31"/>
  <c r="Z15" i="31"/>
  <c r="Z16" i="31"/>
  <c r="Z17" i="31"/>
  <c r="Z18" i="31"/>
  <c r="Z19" i="31"/>
  <c r="Z20" i="31"/>
  <c r="Z21" i="31"/>
  <c r="Z22" i="31"/>
  <c r="Z23" i="31"/>
  <c r="Z24" i="31"/>
  <c r="Z25" i="31"/>
  <c r="Z9" i="31"/>
  <c r="Z27" i="31" l="1"/>
  <c r="Z54" i="31"/>
  <c r="Z8" i="31"/>
  <c r="Z58" i="31"/>
  <c r="Z56" i="31"/>
  <c r="Q25" i="31" l="1"/>
  <c r="Q21" i="32" s="1"/>
  <c r="Y42" i="31"/>
  <c r="Y43" i="31"/>
  <c r="Y44" i="31"/>
  <c r="AD44" i="31" s="1"/>
  <c r="Y10" i="31"/>
  <c r="Y11" i="31"/>
  <c r="Y12" i="31"/>
  <c r="Y13" i="31"/>
  <c r="Y14" i="31"/>
  <c r="Y15" i="31"/>
  <c r="Y16" i="31"/>
  <c r="Y17" i="31"/>
  <c r="Y18" i="31"/>
  <c r="Y19" i="31"/>
  <c r="Y20" i="31"/>
  <c r="Y21" i="31"/>
  <c r="Y22" i="31"/>
  <c r="Y23" i="31"/>
  <c r="Y24" i="31"/>
  <c r="AD24" i="31" s="1"/>
  <c r="Y25" i="31"/>
  <c r="AD25" i="31" s="1"/>
  <c r="Y31" i="31"/>
  <c r="Y32" i="31"/>
  <c r="Y33" i="31"/>
  <c r="Y34" i="31"/>
  <c r="Y35" i="31"/>
  <c r="Y36" i="31"/>
  <c r="Y37" i="31"/>
  <c r="Y38" i="31"/>
  <c r="Y39" i="31"/>
  <c r="Y40" i="31"/>
  <c r="Y41" i="31"/>
  <c r="I52" i="31"/>
  <c r="Y54" i="31" l="1"/>
  <c r="Y58" i="31"/>
  <c r="AD43" i="31"/>
  <c r="AD58" i="31" s="1"/>
  <c r="Y56" i="31"/>
  <c r="P58" i="31"/>
  <c r="Q24" i="31"/>
  <c r="Q20" i="32" l="1"/>
  <c r="R20" i="33" s="1"/>
  <c r="R65" i="33" s="1"/>
  <c r="Q58" i="31"/>
  <c r="Q60" i="32" l="1"/>
  <c r="X29" i="31"/>
  <c r="X30" i="31"/>
  <c r="X31" i="31"/>
  <c r="X32" i="31"/>
  <c r="X33" i="31"/>
  <c r="X34" i="31"/>
  <c r="X35" i="31"/>
  <c r="X36" i="31"/>
  <c r="X37" i="31"/>
  <c r="X38" i="31"/>
  <c r="X39" i="31"/>
  <c r="X40" i="31"/>
  <c r="X41" i="31"/>
  <c r="AD41" i="31" s="1"/>
  <c r="X42" i="31"/>
  <c r="X28" i="31"/>
  <c r="X10" i="31"/>
  <c r="X11" i="31"/>
  <c r="X12" i="31"/>
  <c r="X13" i="31"/>
  <c r="X14" i="31"/>
  <c r="X15" i="31"/>
  <c r="X16" i="31"/>
  <c r="X17" i="31"/>
  <c r="X18" i="31"/>
  <c r="X19" i="31"/>
  <c r="X20" i="31"/>
  <c r="X21" i="31"/>
  <c r="X22" i="31"/>
  <c r="X23" i="31"/>
  <c r="AD23" i="31" s="1"/>
  <c r="X9" i="31"/>
  <c r="P56" i="31"/>
  <c r="P9" i="31"/>
  <c r="P8" i="31" s="1"/>
  <c r="AF8" i="31" s="1"/>
  <c r="P28" i="31"/>
  <c r="J50" i="31"/>
  <c r="X54" i="31" l="1"/>
  <c r="X27" i="31"/>
  <c r="X56" i="31"/>
  <c r="AD42" i="31"/>
  <c r="X8" i="31"/>
  <c r="AD56" i="31"/>
  <c r="Q46" i="31"/>
  <c r="P27" i="31"/>
  <c r="AF27" i="31" s="1"/>
  <c r="P54" i="31"/>
  <c r="Q47" i="31"/>
  <c r="AD22" i="31"/>
  <c r="Q23" i="31"/>
  <c r="Q22" i="31"/>
  <c r="Q56" i="31" l="1"/>
  <c r="Q19" i="32"/>
  <c r="Q58" i="32" l="1"/>
  <c r="R19" i="33"/>
  <c r="R63" i="33" s="1"/>
  <c r="W46" i="31"/>
  <c r="W10" i="31" l="1"/>
  <c r="W11" i="31"/>
  <c r="W12" i="31"/>
  <c r="W13" i="31"/>
  <c r="W14" i="31"/>
  <c r="W15" i="31"/>
  <c r="W16" i="31"/>
  <c r="W17" i="31"/>
  <c r="W18" i="31"/>
  <c r="W19" i="31"/>
  <c r="W20" i="31"/>
  <c r="W21" i="31"/>
  <c r="W29" i="31"/>
  <c r="W30" i="31"/>
  <c r="W31" i="31"/>
  <c r="W32" i="31"/>
  <c r="W33" i="31"/>
  <c r="W34" i="31"/>
  <c r="W35" i="31"/>
  <c r="W36" i="31"/>
  <c r="W37" i="31"/>
  <c r="W38" i="31"/>
  <c r="W39" i="31"/>
  <c r="W40" i="31"/>
  <c r="W54" i="31" l="1"/>
  <c r="V46" i="31" l="1"/>
  <c r="V37" i="31" l="1"/>
  <c r="V39" i="31"/>
  <c r="V19" i="31"/>
  <c r="V21" i="31"/>
  <c r="V20" i="31"/>
  <c r="V18" i="31"/>
  <c r="V38" i="31"/>
  <c r="V52" i="31" s="1"/>
  <c r="V54" i="31" l="1"/>
  <c r="V29" i="31" l="1"/>
  <c r="V30" i="31"/>
  <c r="V31" i="31"/>
  <c r="V32" i="31"/>
  <c r="V33" i="31"/>
  <c r="V34" i="31"/>
  <c r="V35" i="31"/>
  <c r="V36" i="31"/>
  <c r="V40" i="31"/>
  <c r="V28" i="31"/>
  <c r="V27" i="31" s="1"/>
  <c r="V12" i="31"/>
  <c r="V13" i="31"/>
  <c r="V14" i="31"/>
  <c r="V15" i="31"/>
  <c r="V16" i="31"/>
  <c r="V17" i="31"/>
  <c r="V11" i="31"/>
  <c r="V10" i="31"/>
  <c r="V9" i="31"/>
  <c r="V8" i="31" l="1"/>
  <c r="AE38" i="31" l="1"/>
  <c r="U29" i="31" l="1"/>
  <c r="U30" i="31"/>
  <c r="U31" i="31"/>
  <c r="U32" i="31"/>
  <c r="U33" i="31"/>
  <c r="U34" i="31"/>
  <c r="U35" i="31"/>
  <c r="U36" i="31"/>
  <c r="U37" i="31"/>
  <c r="U38" i="31"/>
  <c r="U39" i="31"/>
  <c r="U40" i="31"/>
  <c r="AD40" i="31" s="1"/>
  <c r="U10" i="31"/>
  <c r="U11" i="31"/>
  <c r="U12" i="31"/>
  <c r="U13" i="31"/>
  <c r="U14" i="31"/>
  <c r="U15" i="31"/>
  <c r="U16" i="31"/>
  <c r="U17" i="31"/>
  <c r="U18" i="31"/>
  <c r="U19" i="31"/>
  <c r="U20" i="31"/>
  <c r="U21" i="31"/>
  <c r="AD21" i="31" s="1"/>
  <c r="U54" i="31" l="1"/>
  <c r="U9" i="31" l="1"/>
  <c r="U8" i="31" s="1"/>
  <c r="T10" i="31" l="1"/>
  <c r="T11" i="31"/>
  <c r="T12" i="31"/>
  <c r="T13" i="31"/>
  <c r="T14" i="31"/>
  <c r="T15" i="31"/>
  <c r="T16" i="31"/>
  <c r="T17" i="31"/>
  <c r="T18" i="31"/>
  <c r="T19" i="31"/>
  <c r="T20" i="31"/>
  <c r="T9" i="31"/>
  <c r="T29" i="31"/>
  <c r="T30" i="31"/>
  <c r="T31" i="31"/>
  <c r="T32" i="31"/>
  <c r="T33" i="31"/>
  <c r="T34" i="31"/>
  <c r="T35" i="31"/>
  <c r="T36" i="31"/>
  <c r="T37" i="31"/>
  <c r="T38" i="31"/>
  <c r="T39" i="31"/>
  <c r="T28" i="31"/>
  <c r="T27" i="31" l="1"/>
  <c r="T8" i="31"/>
  <c r="S29" i="31" l="1"/>
  <c r="S30" i="31"/>
  <c r="S31" i="31"/>
  <c r="S34" i="31"/>
  <c r="S35" i="31"/>
  <c r="S38" i="31"/>
  <c r="S39" i="31"/>
  <c r="S28" i="31"/>
  <c r="S46" i="31"/>
  <c r="S32" i="31" l="1"/>
  <c r="S33" i="31"/>
  <c r="S36" i="31"/>
  <c r="S37" i="31"/>
  <c r="S10" i="31"/>
  <c r="S11" i="31"/>
  <c r="S12" i="31"/>
  <c r="S13" i="31"/>
  <c r="S14" i="31"/>
  <c r="S15" i="31"/>
  <c r="S16" i="31"/>
  <c r="S18" i="31"/>
  <c r="S19" i="31"/>
  <c r="S9" i="31"/>
  <c r="S17" i="31"/>
  <c r="S20" i="31"/>
  <c r="S27" i="31"/>
  <c r="S8" i="31"/>
  <c r="E50" i="31"/>
  <c r="F50" i="31"/>
  <c r="G50" i="31"/>
  <c r="H50" i="31"/>
  <c r="I50" i="31"/>
  <c r="K50" i="31"/>
  <c r="M50" i="31"/>
  <c r="N50" i="31"/>
  <c r="W50" i="31"/>
  <c r="E52" i="31"/>
  <c r="F52" i="31"/>
  <c r="G52" i="31"/>
  <c r="H52" i="31"/>
  <c r="J52" i="31"/>
  <c r="K52" i="31"/>
  <c r="L52" i="31"/>
  <c r="M52" i="31"/>
  <c r="S52" i="31"/>
  <c r="T52" i="31"/>
  <c r="U52" i="31"/>
  <c r="W52" i="31"/>
  <c r="X52" i="31"/>
  <c r="Y52" i="31"/>
  <c r="Z52" i="31"/>
  <c r="AA52" i="31"/>
  <c r="E54" i="31"/>
  <c r="F54" i="31"/>
  <c r="M54" i="31"/>
  <c r="O54" i="31"/>
  <c r="S54" i="31"/>
  <c r="T54" i="31"/>
  <c r="AA54" i="31"/>
  <c r="AB54" i="31"/>
  <c r="D54" i="31"/>
  <c r="D52" i="31"/>
  <c r="G12" i="28" l="1"/>
  <c r="R10" i="31"/>
  <c r="R11" i="31"/>
  <c r="R12" i="31"/>
  <c r="R13" i="31"/>
  <c r="R14" i="31"/>
  <c r="R15" i="31"/>
  <c r="R16" i="31"/>
  <c r="R17" i="31"/>
  <c r="R18" i="31"/>
  <c r="R19" i="31"/>
  <c r="R20" i="31"/>
  <c r="R9" i="31"/>
  <c r="R29" i="31"/>
  <c r="R30" i="31"/>
  <c r="R31" i="31"/>
  <c r="R32" i="31"/>
  <c r="R33" i="31"/>
  <c r="R34" i="31"/>
  <c r="R35" i="31"/>
  <c r="R36" i="31"/>
  <c r="R37" i="31"/>
  <c r="R38" i="31"/>
  <c r="R39" i="31"/>
  <c r="R28" i="31"/>
  <c r="R27" i="31" l="1"/>
  <c r="R8" i="31"/>
  <c r="U13" i="28"/>
  <c r="R50" i="31"/>
  <c r="R54" i="31"/>
  <c r="R52" i="31"/>
  <c r="W13" i="28" l="1"/>
  <c r="M26" i="30" l="1"/>
  <c r="D50" i="31"/>
  <c r="AD39" i="31" l="1"/>
  <c r="AD38" i="31"/>
  <c r="AD37" i="31"/>
  <c r="AD36" i="31"/>
  <c r="AD35" i="31"/>
  <c r="AD34" i="31"/>
  <c r="AD33" i="31"/>
  <c r="AD32" i="31"/>
  <c r="AD31" i="31"/>
  <c r="Y30" i="31"/>
  <c r="AD30" i="31" s="1"/>
  <c r="Y29" i="31"/>
  <c r="AD29" i="31" s="1"/>
  <c r="AB28" i="31"/>
  <c r="AB27" i="31" s="1"/>
  <c r="Y28" i="31"/>
  <c r="Q16" i="31"/>
  <c r="Q15" i="32" s="1"/>
  <c r="R15" i="33" s="1"/>
  <c r="V50" i="31"/>
  <c r="AB9" i="31"/>
  <c r="AB8" i="31" s="1"/>
  <c r="Y9" i="31"/>
  <c r="Y8" i="31" s="1"/>
  <c r="Y27" i="31" l="1"/>
  <c r="AC50" i="31"/>
  <c r="AC52" i="31"/>
  <c r="AB50" i="31"/>
  <c r="AA50" i="31"/>
  <c r="Y50" i="31"/>
  <c r="AB52" i="31"/>
  <c r="AD19" i="31"/>
  <c r="AC54" i="31"/>
  <c r="AD20" i="31"/>
  <c r="AD54" i="31" s="1"/>
  <c r="X50" i="31"/>
  <c r="P52" i="31"/>
  <c r="T50" i="31"/>
  <c r="U28" i="31"/>
  <c r="U27" i="31" s="1"/>
  <c r="U50" i="31"/>
  <c r="S50" i="31"/>
  <c r="Z50" i="31"/>
  <c r="AD18" i="31"/>
  <c r="W28" i="31"/>
  <c r="W27" i="31" s="1"/>
  <c r="W9" i="31"/>
  <c r="AD12" i="31"/>
  <c r="AD17" i="31"/>
  <c r="AD9" i="31" l="1"/>
  <c r="W8" i="31"/>
  <c r="AD52" i="31"/>
  <c r="AD10" i="31"/>
  <c r="AD16" i="31"/>
  <c r="AD11" i="31"/>
  <c r="AD15" i="31"/>
  <c r="AD28" i="31"/>
  <c r="AD27" i="31" s="1"/>
  <c r="AE27" i="31" s="1"/>
  <c r="AD13" i="31"/>
  <c r="AD14" i="31"/>
  <c r="AD8" i="31" l="1"/>
  <c r="AE8" i="31" s="1"/>
  <c r="AD50" i="31"/>
  <c r="L8" i="30"/>
  <c r="M8" i="30"/>
  <c r="L26" i="30"/>
  <c r="AC26" i="30"/>
  <c r="AC8" i="30"/>
  <c r="M55" i="30" l="1"/>
  <c r="M53" i="30"/>
  <c r="AA11" i="30" l="1"/>
  <c r="AA12" i="30"/>
  <c r="AA13" i="30"/>
  <c r="AA14" i="30"/>
  <c r="AA15" i="30"/>
  <c r="AA16" i="30"/>
  <c r="AA17" i="30"/>
  <c r="AA18" i="30"/>
  <c r="AA19" i="30"/>
  <c r="AA20" i="30"/>
  <c r="AA21" i="30"/>
  <c r="AA22" i="30"/>
  <c r="AA23" i="30"/>
  <c r="AA24" i="30"/>
  <c r="AA25" i="30"/>
  <c r="AB25" i="30" s="1"/>
  <c r="AA28" i="30"/>
  <c r="AA29" i="30"/>
  <c r="AA30" i="30"/>
  <c r="AA31" i="30"/>
  <c r="AA32" i="30"/>
  <c r="AA33" i="30"/>
  <c r="AA34" i="30"/>
  <c r="AA35" i="30"/>
  <c r="AA36" i="30"/>
  <c r="AA37" i="30"/>
  <c r="AA38" i="30"/>
  <c r="AA39" i="30"/>
  <c r="AA40" i="30"/>
  <c r="AA41" i="30"/>
  <c r="AA42" i="30"/>
  <c r="AA53" i="30" s="1"/>
  <c r="AA43" i="30"/>
  <c r="N42" i="30"/>
  <c r="N43" i="30"/>
  <c r="N25" i="30"/>
  <c r="O25" i="30" s="1"/>
  <c r="Q20" i="31" s="1"/>
  <c r="N24" i="30"/>
  <c r="O24" i="30" s="1"/>
  <c r="Q19" i="31" s="1"/>
  <c r="Q18" i="32" s="1"/>
  <c r="AB43" i="30" l="1"/>
  <c r="AB55" i="30" s="1"/>
  <c r="AA55" i="30"/>
  <c r="O42" i="30"/>
  <c r="N53" i="30"/>
  <c r="O43" i="30"/>
  <c r="N55" i="30"/>
  <c r="R18" i="33"/>
  <c r="N41" i="30"/>
  <c r="O41" i="30" s="1"/>
  <c r="Q37" i="31" s="1"/>
  <c r="Q38" i="32" s="1"/>
  <c r="R38" i="33" s="1"/>
  <c r="O53" i="30" l="1"/>
  <c r="Q38" i="31"/>
  <c r="O55" i="30"/>
  <c r="Q39" i="31"/>
  <c r="Q54" i="31" s="1"/>
  <c r="Z28" i="30"/>
  <c r="Z29" i="30"/>
  <c r="Z30" i="30"/>
  <c r="Z31" i="30"/>
  <c r="Z32" i="30"/>
  <c r="Z33" i="30"/>
  <c r="Z34" i="30"/>
  <c r="Z35" i="30"/>
  <c r="Z36" i="30"/>
  <c r="Z37" i="30"/>
  <c r="Z38" i="30"/>
  <c r="Z39" i="30"/>
  <c r="Z40" i="30"/>
  <c r="Z41" i="30"/>
  <c r="Z42" i="30"/>
  <c r="AB42" i="30" s="1"/>
  <c r="AB53" i="30" s="1"/>
  <c r="Z27" i="30"/>
  <c r="Z26" i="30" s="1"/>
  <c r="Z10" i="30"/>
  <c r="Z11" i="30"/>
  <c r="Z12" i="30"/>
  <c r="Z13" i="30"/>
  <c r="Z14" i="30"/>
  <c r="Z15" i="30"/>
  <c r="Z16" i="30"/>
  <c r="Z17" i="30"/>
  <c r="Z18" i="30"/>
  <c r="Z19" i="30"/>
  <c r="Z20" i="30"/>
  <c r="Z21" i="30"/>
  <c r="Z22" i="30"/>
  <c r="Z23" i="30"/>
  <c r="Z24" i="30"/>
  <c r="AB24" i="30" s="1"/>
  <c r="Q52" i="31" l="1"/>
  <c r="Q39" i="32"/>
  <c r="Y44" i="30"/>
  <c r="Q56" i="32" l="1"/>
  <c r="R39" i="33"/>
  <c r="R61" i="33" s="1"/>
  <c r="Y13" i="30"/>
  <c r="Y21" i="30"/>
  <c r="Y34" i="30"/>
  <c r="Y18" i="30"/>
  <c r="Y33" i="30"/>
  <c r="Y14" i="30"/>
  <c r="Y22" i="30"/>
  <c r="Y35" i="30"/>
  <c r="Y17" i="30"/>
  <c r="Y38" i="30"/>
  <c r="Y15" i="30"/>
  <c r="Y23" i="30"/>
  <c r="Y36" i="30"/>
  <c r="Y31" i="30"/>
  <c r="Y16" i="30"/>
  <c r="Y29" i="30"/>
  <c r="Y37" i="30"/>
  <c r="Y30" i="30"/>
  <c r="Y39" i="30"/>
  <c r="Y11" i="30"/>
  <c r="Y19" i="30"/>
  <c r="Y32" i="30"/>
  <c r="Y40" i="30"/>
  <c r="Y12" i="30"/>
  <c r="Y20" i="30"/>
  <c r="Y41" i="30"/>
  <c r="X12" i="30" l="1"/>
  <c r="X14" i="30"/>
  <c r="I26" i="30"/>
  <c r="J26" i="30"/>
  <c r="X44" i="30"/>
  <c r="X39" i="30" l="1"/>
  <c r="X16" i="30"/>
  <c r="X33" i="30"/>
  <c r="X35" i="30"/>
  <c r="X10" i="30"/>
  <c r="X37" i="30"/>
  <c r="X11" i="30"/>
  <c r="X22" i="30"/>
  <c r="X31" i="30"/>
  <c r="X29" i="30"/>
  <c r="X20" i="30"/>
  <c r="X41" i="30"/>
  <c r="X18" i="30"/>
  <c r="X40" i="30"/>
  <c r="X38" i="30"/>
  <c r="X36" i="30"/>
  <c r="X34" i="30"/>
  <c r="X32" i="30"/>
  <c r="X30" i="30"/>
  <c r="X23" i="30"/>
  <c r="X21" i="30"/>
  <c r="X19" i="30"/>
  <c r="X17" i="30"/>
  <c r="X15" i="30"/>
  <c r="X13" i="30"/>
  <c r="N40" i="30" l="1"/>
  <c r="O40" i="30" s="1"/>
  <c r="N23" i="30"/>
  <c r="H8" i="30" l="1"/>
  <c r="H26" i="30"/>
  <c r="W10" i="30" l="1"/>
  <c r="W11" i="30"/>
  <c r="W12" i="30"/>
  <c r="W13" i="30"/>
  <c r="W14" i="30"/>
  <c r="W15" i="30"/>
  <c r="W16" i="30"/>
  <c r="W17" i="30"/>
  <c r="W18" i="30"/>
  <c r="W19" i="30"/>
  <c r="W20" i="30"/>
  <c r="W21" i="30"/>
  <c r="W22" i="30"/>
  <c r="W23" i="30"/>
  <c r="W29" i="30"/>
  <c r="W30" i="30"/>
  <c r="W31" i="30"/>
  <c r="W32" i="30"/>
  <c r="W33" i="30"/>
  <c r="W34" i="30"/>
  <c r="W35" i="30"/>
  <c r="W36" i="30"/>
  <c r="W37" i="30"/>
  <c r="W38" i="30"/>
  <c r="W39" i="30"/>
  <c r="W40" i="30"/>
  <c r="W41" i="30"/>
  <c r="K26" i="30" l="1"/>
  <c r="I8" i="30"/>
  <c r="J8" i="30"/>
  <c r="K8" i="30"/>
  <c r="N37" i="30"/>
  <c r="O37" i="30" s="1"/>
  <c r="Q34" i="31" s="1"/>
  <c r="Q35" i="32" s="1"/>
  <c r="R35" i="33" s="1"/>
  <c r="N38" i="30"/>
  <c r="O38" i="30" s="1"/>
  <c r="Q35" i="31" s="1"/>
  <c r="Q36" i="32" s="1"/>
  <c r="N39" i="30"/>
  <c r="O39" i="30" s="1"/>
  <c r="Q36" i="31" s="1"/>
  <c r="Q37" i="32" s="1"/>
  <c r="R37" i="33" s="1"/>
  <c r="N19" i="30"/>
  <c r="O19" i="30" s="1"/>
  <c r="Q15" i="31" s="1"/>
  <c r="Q14" i="32" s="1"/>
  <c r="R14" i="33" s="1"/>
  <c r="N20" i="30"/>
  <c r="N21" i="30"/>
  <c r="O21" i="30" s="1"/>
  <c r="Q17" i="31" s="1"/>
  <c r="Q16" i="32" s="1"/>
  <c r="R16" i="33" s="1"/>
  <c r="N22" i="30"/>
  <c r="O22" i="30" s="1"/>
  <c r="O23" i="30"/>
  <c r="Q18" i="31" s="1"/>
  <c r="Q17" i="32" s="1"/>
  <c r="R17" i="33" s="1"/>
  <c r="Q54" i="32" l="1"/>
  <c r="R36" i="33"/>
  <c r="R59" i="33" s="1"/>
  <c r="V44" i="30"/>
  <c r="B26" i="30"/>
  <c r="C26" i="30"/>
  <c r="E26" i="30"/>
  <c r="G26" i="30"/>
  <c r="B8" i="30"/>
  <c r="C8" i="30"/>
  <c r="D8" i="30"/>
  <c r="E8" i="30"/>
  <c r="G8" i="30"/>
  <c r="V16" i="30" l="1"/>
  <c r="V18" i="30"/>
  <c r="V20" i="30"/>
  <c r="AB20" i="30" s="1"/>
  <c r="V22" i="30"/>
  <c r="AB22" i="30" s="1"/>
  <c r="V34" i="30"/>
  <c r="V36" i="30"/>
  <c r="V38" i="30"/>
  <c r="AB38" i="30" s="1"/>
  <c r="V40" i="30"/>
  <c r="AB40" i="30" s="1"/>
  <c r="V15" i="30"/>
  <c r="V17" i="30"/>
  <c r="V19" i="30"/>
  <c r="V21" i="30"/>
  <c r="AB21" i="30" s="1"/>
  <c r="V23" i="30"/>
  <c r="AB23" i="30" s="1"/>
  <c r="V35" i="30"/>
  <c r="V37" i="30"/>
  <c r="V39" i="30"/>
  <c r="AB39" i="30" s="1"/>
  <c r="V41" i="30"/>
  <c r="AB41" i="30" s="1"/>
  <c r="N34" i="30"/>
  <c r="N16" i="30"/>
  <c r="O16" i="30" s="1"/>
  <c r="Q12" i="31" s="1"/>
  <c r="Q12" i="32" s="1"/>
  <c r="R12" i="33" s="1"/>
  <c r="U44" i="30" l="1"/>
  <c r="T44" i="30" l="1"/>
  <c r="T19" i="30" s="1"/>
  <c r="N17" i="30"/>
  <c r="N12" i="30"/>
  <c r="AB1" i="30" s="1"/>
  <c r="N10" i="30"/>
  <c r="N36" i="30"/>
  <c r="N35" i="30"/>
  <c r="N33" i="30"/>
  <c r="N31" i="30"/>
  <c r="N29" i="30"/>
  <c r="N14" i="30" l="1"/>
  <c r="AC11" i="30" s="1"/>
  <c r="F50" i="30"/>
  <c r="F26" i="30"/>
  <c r="F8" i="30"/>
  <c r="N11" i="30"/>
  <c r="AD1" i="30" s="1"/>
  <c r="N15" i="30"/>
  <c r="N13" i="30"/>
  <c r="N9" i="30"/>
  <c r="N18" i="30"/>
  <c r="N30" i="30"/>
  <c r="AB2" i="30" s="1"/>
  <c r="N28" i="30"/>
  <c r="T36" i="30"/>
  <c r="AB36" i="30" s="1"/>
  <c r="T35" i="30"/>
  <c r="AB35" i="30" s="1"/>
  <c r="T17" i="30"/>
  <c r="N27" i="30"/>
  <c r="T28" i="30"/>
  <c r="T30" i="30"/>
  <c r="T9" i="30"/>
  <c r="T11" i="30"/>
  <c r="T13" i="30"/>
  <c r="T15" i="30"/>
  <c r="T18" i="30"/>
  <c r="T34" i="30"/>
  <c r="T31" i="30"/>
  <c r="T29" i="30"/>
  <c r="T27" i="30"/>
  <c r="T16" i="30"/>
  <c r="AB16" i="30" s="1"/>
  <c r="T14" i="30"/>
  <c r="T12" i="30"/>
  <c r="T10" i="30"/>
  <c r="T37" i="30"/>
  <c r="AB37" i="30" s="1"/>
  <c r="T32" i="30"/>
  <c r="N8" i="30" l="1"/>
  <c r="AD8" i="30" s="1"/>
  <c r="AC1" i="30"/>
  <c r="AE1" i="30" s="1"/>
  <c r="AF1" i="30" s="1"/>
  <c r="AD11" i="30"/>
  <c r="AC2" i="30"/>
  <c r="AD29" i="30"/>
  <c r="T8" i="30"/>
  <c r="T50" i="30"/>
  <c r="H4" i="27"/>
  <c r="I4" i="27"/>
  <c r="J4" i="27"/>
  <c r="K4" i="27"/>
  <c r="L4" i="27"/>
  <c r="M4" i="27"/>
  <c r="H5" i="27"/>
  <c r="I5" i="27"/>
  <c r="J5" i="27"/>
  <c r="K5" i="27"/>
  <c r="L5" i="27"/>
  <c r="M5" i="27"/>
  <c r="S44" i="30" l="1"/>
  <c r="R44" i="30"/>
  <c r="Q44" i="30"/>
  <c r="P44" i="30"/>
  <c r="R9" i="30" l="1"/>
  <c r="D32" i="30" l="1"/>
  <c r="N32" i="30" l="1"/>
  <c r="D26" i="30"/>
  <c r="N26" i="30" l="1"/>
  <c r="AE26" i="30" s="1"/>
  <c r="AC29" i="30"/>
  <c r="AD2" i="30"/>
  <c r="N50" i="30"/>
  <c r="D50" i="30" l="1"/>
  <c r="D48" i="30"/>
  <c r="P34" i="30" l="1"/>
  <c r="Q34" i="30"/>
  <c r="R34" i="30"/>
  <c r="S34" i="30"/>
  <c r="U34" i="30"/>
  <c r="O34" i="30"/>
  <c r="Q31" i="31" s="1"/>
  <c r="Q33" i="32" s="1"/>
  <c r="R33" i="33" s="1"/>
  <c r="AB34" i="30" l="1"/>
  <c r="U12" i="28"/>
  <c r="U11" i="28"/>
  <c r="I8" i="28"/>
  <c r="P19" i="30"/>
  <c r="AB19" i="30" s="1"/>
  <c r="K50" i="30"/>
  <c r="J50" i="30"/>
  <c r="I50" i="30"/>
  <c r="H50" i="30"/>
  <c r="G50" i="30"/>
  <c r="E50" i="30"/>
  <c r="M48" i="30"/>
  <c r="L48" i="30"/>
  <c r="K48" i="30"/>
  <c r="J48" i="30"/>
  <c r="I48" i="30"/>
  <c r="H48" i="30"/>
  <c r="G48" i="30"/>
  <c r="F48" i="30"/>
  <c r="E48" i="30"/>
  <c r="V33" i="30"/>
  <c r="U33" i="30"/>
  <c r="T33" i="30"/>
  <c r="T26" i="30" s="1"/>
  <c r="S33" i="30"/>
  <c r="R33" i="30"/>
  <c r="Q33" i="30"/>
  <c r="P33" i="30"/>
  <c r="V32" i="30"/>
  <c r="U32" i="30"/>
  <c r="S32" i="30"/>
  <c r="R32" i="30"/>
  <c r="Q32" i="30"/>
  <c r="P32" i="30"/>
  <c r="V31" i="30"/>
  <c r="U31" i="30"/>
  <c r="S31" i="30"/>
  <c r="R31" i="30"/>
  <c r="Q31" i="30"/>
  <c r="P31" i="30"/>
  <c r="V30" i="30"/>
  <c r="U30" i="30"/>
  <c r="S30" i="30"/>
  <c r="R30" i="30"/>
  <c r="Q30" i="30"/>
  <c r="P30" i="30"/>
  <c r="V29" i="30"/>
  <c r="U29" i="30"/>
  <c r="S29" i="30"/>
  <c r="R29" i="30"/>
  <c r="Q29" i="30"/>
  <c r="P29" i="30"/>
  <c r="Y28" i="30"/>
  <c r="X28" i="30"/>
  <c r="W28" i="30"/>
  <c r="V28" i="30"/>
  <c r="U28" i="30"/>
  <c r="S28" i="30"/>
  <c r="R28" i="30"/>
  <c r="Q28" i="30"/>
  <c r="P28" i="30"/>
  <c r="AA27" i="30"/>
  <c r="AA26" i="30" s="1"/>
  <c r="AD26" i="30" s="1"/>
  <c r="Y27" i="30"/>
  <c r="Y26" i="30" s="1"/>
  <c r="X27" i="30"/>
  <c r="W27" i="30"/>
  <c r="V27" i="30"/>
  <c r="U27" i="30"/>
  <c r="S27" i="30"/>
  <c r="R27" i="30"/>
  <c r="Q27" i="30"/>
  <c r="P27" i="30"/>
  <c r="U18" i="30"/>
  <c r="S18" i="30"/>
  <c r="R18" i="30"/>
  <c r="Q18" i="30"/>
  <c r="P18" i="30"/>
  <c r="U17" i="30"/>
  <c r="S17" i="30"/>
  <c r="R17" i="30"/>
  <c r="Q17" i="30"/>
  <c r="P17" i="30"/>
  <c r="U15" i="30"/>
  <c r="S15" i="30"/>
  <c r="R15" i="30"/>
  <c r="P15" i="30"/>
  <c r="Q15" i="30"/>
  <c r="V14" i="30"/>
  <c r="U14" i="30"/>
  <c r="S14" i="30"/>
  <c r="R14" i="30"/>
  <c r="Q14" i="30"/>
  <c r="P14" i="30"/>
  <c r="V13" i="30"/>
  <c r="U13" i="30"/>
  <c r="S13" i="30"/>
  <c r="R13" i="30"/>
  <c r="Q13" i="30"/>
  <c r="P13" i="30"/>
  <c r="AB13" i="30" s="1"/>
  <c r="V12" i="30"/>
  <c r="U12" i="30"/>
  <c r="S12" i="30"/>
  <c r="R12" i="30"/>
  <c r="P12" i="30"/>
  <c r="Q12" i="30"/>
  <c r="V11" i="30"/>
  <c r="U11" i="30"/>
  <c r="S11" i="30"/>
  <c r="R11" i="30"/>
  <c r="C48" i="30"/>
  <c r="AA10" i="30"/>
  <c r="Y10" i="30"/>
  <c r="V10" i="30"/>
  <c r="U10" i="30"/>
  <c r="S10" i="30"/>
  <c r="R10" i="30"/>
  <c r="Q10" i="30"/>
  <c r="P10" i="30"/>
  <c r="AA9" i="30"/>
  <c r="AA8" i="30" s="1"/>
  <c r="AE8" i="30" s="1"/>
  <c r="Z9" i="30"/>
  <c r="Z8" i="30" s="1"/>
  <c r="Y9" i="30"/>
  <c r="X9" i="30"/>
  <c r="W9" i="30"/>
  <c r="W8" i="30" s="1"/>
  <c r="V9" i="30"/>
  <c r="U9" i="30"/>
  <c r="S9" i="30"/>
  <c r="P9" i="30"/>
  <c r="AB12" i="30" l="1"/>
  <c r="AB15" i="30"/>
  <c r="AB28" i="30"/>
  <c r="AB27" i="30"/>
  <c r="AB26" i="30" s="1"/>
  <c r="AF26" i="30" s="1"/>
  <c r="AB30" i="30"/>
  <c r="AB32" i="30"/>
  <c r="AB10" i="30"/>
  <c r="AB17" i="30"/>
  <c r="AB14" i="30"/>
  <c r="AB18" i="30"/>
  <c r="AB29" i="30"/>
  <c r="AB31" i="30"/>
  <c r="AB33" i="30"/>
  <c r="Y8" i="30"/>
  <c r="S8" i="30"/>
  <c r="V8" i="30"/>
  <c r="U8" i="30"/>
  <c r="R8" i="30"/>
  <c r="V26" i="30"/>
  <c r="Q26" i="30"/>
  <c r="P26" i="30"/>
  <c r="R26" i="30"/>
  <c r="U26" i="30"/>
  <c r="S26" i="30"/>
  <c r="X26" i="30"/>
  <c r="X8" i="30"/>
  <c r="W26" i="30"/>
  <c r="V48" i="30"/>
  <c r="AA48" i="30"/>
  <c r="X48" i="30"/>
  <c r="U50" i="30"/>
  <c r="W48" i="30"/>
  <c r="V50" i="30"/>
  <c r="Y48" i="30"/>
  <c r="W50" i="30"/>
  <c r="Z48" i="30"/>
  <c r="X50" i="30"/>
  <c r="Y50" i="30"/>
  <c r="R48" i="30"/>
  <c r="S48" i="30"/>
  <c r="Q50" i="30"/>
  <c r="T48" i="30"/>
  <c r="R50" i="30"/>
  <c r="U48" i="30"/>
  <c r="S50" i="30"/>
  <c r="P50" i="30"/>
  <c r="Q9" i="30"/>
  <c r="AB9" i="30" s="1"/>
  <c r="P11" i="30"/>
  <c r="Q11" i="30"/>
  <c r="Q48" i="30" s="1"/>
  <c r="B48" i="30"/>
  <c r="B50" i="30"/>
  <c r="C50" i="30"/>
  <c r="P8" i="30" l="1"/>
  <c r="AB11" i="30"/>
  <c r="AB8" i="30" s="1"/>
  <c r="AF8" i="30" s="1"/>
  <c r="AB50" i="30"/>
  <c r="Q8" i="30"/>
  <c r="P48" i="30"/>
  <c r="N48" i="30"/>
  <c r="AB48" i="30" l="1"/>
  <c r="M22" i="27" l="1"/>
  <c r="AA24" i="27"/>
  <c r="AA25" i="27"/>
  <c r="AA26" i="27"/>
  <c r="AA27" i="27"/>
  <c r="AA28" i="27"/>
  <c r="AA29" i="27"/>
  <c r="AA30" i="27"/>
  <c r="AA31" i="27"/>
  <c r="AA32" i="27"/>
  <c r="AB32" i="27" s="1"/>
  <c r="AA33" i="27"/>
  <c r="AB33" i="27" s="1"/>
  <c r="AA23" i="27"/>
  <c r="N33" i="27"/>
  <c r="O33" i="27" s="1"/>
  <c r="O36" i="30" s="1"/>
  <c r="Q33" i="31" s="1"/>
  <c r="Q34" i="32" s="1"/>
  <c r="R34" i="33" s="1"/>
  <c r="N32" i="27"/>
  <c r="O32" i="27" s="1"/>
  <c r="O35" i="30" s="1"/>
  <c r="Q32" i="31" s="1"/>
  <c r="Q20" i="27"/>
  <c r="R20" i="27"/>
  <c r="S20" i="27"/>
  <c r="T20" i="27"/>
  <c r="U20" i="27"/>
  <c r="V20" i="27"/>
  <c r="W20" i="27"/>
  <c r="X20" i="27"/>
  <c r="Y20" i="27"/>
  <c r="Z20" i="27"/>
  <c r="Q21" i="27"/>
  <c r="R21" i="27"/>
  <c r="S21" i="27"/>
  <c r="T21" i="27"/>
  <c r="U21" i="27"/>
  <c r="V21" i="27"/>
  <c r="W21" i="27"/>
  <c r="X21" i="27"/>
  <c r="Y21" i="27"/>
  <c r="Z21" i="27"/>
  <c r="D10" i="27"/>
  <c r="E10" i="27"/>
  <c r="F10" i="27"/>
  <c r="G10" i="27"/>
  <c r="H10" i="27"/>
  <c r="I10" i="27"/>
  <c r="J10" i="27"/>
  <c r="K10" i="27"/>
  <c r="L10" i="27"/>
  <c r="P21" i="27"/>
  <c r="P20" i="27"/>
  <c r="AA11" i="27"/>
  <c r="AA22" i="27" l="1"/>
  <c r="M21" i="27" l="1"/>
  <c r="M20" i="27"/>
  <c r="AA21" i="27" l="1"/>
  <c r="AB21" i="27" s="1"/>
  <c r="N21" i="27"/>
  <c r="O18" i="30" s="1"/>
  <c r="Q14" i="31" s="1"/>
  <c r="Q13" i="32" s="1"/>
  <c r="R13" i="33" s="1"/>
  <c r="AA20" i="27"/>
  <c r="N20" i="27"/>
  <c r="O17" i="30" s="1"/>
  <c r="Q13" i="31" s="1"/>
  <c r="M10" i="27"/>
  <c r="O20" i="27" l="1"/>
  <c r="O21" i="27"/>
  <c r="AB20" i="27"/>
  <c r="L42" i="27" l="1"/>
  <c r="L22" i="27"/>
  <c r="X19" i="27" l="1"/>
  <c r="X16" i="27"/>
  <c r="X12" i="27"/>
  <c r="X11" i="27"/>
  <c r="J42" i="27" l="1"/>
  <c r="J38" i="27"/>
  <c r="H22" i="27" l="1"/>
  <c r="H35" i="27" s="1"/>
  <c r="N31" i="27" l="1"/>
  <c r="G11" i="28" l="1"/>
  <c r="G22" i="27" l="1"/>
  <c r="G35" i="20" l="1"/>
  <c r="G19" i="20"/>
  <c r="T24" i="27" l="1"/>
  <c r="T23" i="27"/>
  <c r="T12" i="27"/>
  <c r="T13" i="27"/>
  <c r="T14" i="27"/>
  <c r="T15" i="27"/>
  <c r="T16" i="27"/>
  <c r="T17" i="27"/>
  <c r="T18" i="27"/>
  <c r="T11" i="27"/>
  <c r="F42" i="27"/>
  <c r="F38" i="27"/>
  <c r="F22" i="27"/>
  <c r="E38" i="27" l="1"/>
  <c r="S12" i="27" l="1"/>
  <c r="S13" i="27"/>
  <c r="S14" i="27"/>
  <c r="S15" i="27"/>
  <c r="S16" i="27"/>
  <c r="S17" i="27"/>
  <c r="S18" i="27"/>
  <c r="S19" i="27"/>
  <c r="S25" i="27"/>
  <c r="S26" i="27"/>
  <c r="S27" i="27"/>
  <c r="S28" i="27"/>
  <c r="S29" i="27"/>
  <c r="S30" i="27"/>
  <c r="S31" i="27"/>
  <c r="R29" i="27"/>
  <c r="E22" i="27"/>
  <c r="S42" i="27" l="1"/>
  <c r="R24" i="27" l="1"/>
  <c r="R25" i="27"/>
  <c r="R26" i="27"/>
  <c r="R27" i="27"/>
  <c r="R28" i="27"/>
  <c r="R30" i="27"/>
  <c r="R31" i="27"/>
  <c r="R23" i="27"/>
  <c r="R12" i="27"/>
  <c r="R13" i="27"/>
  <c r="R14" i="27"/>
  <c r="R15" i="27"/>
  <c r="R16" i="27"/>
  <c r="R17" i="27"/>
  <c r="R42" i="27" s="1"/>
  <c r="R18" i="27"/>
  <c r="R19" i="27"/>
  <c r="R22" i="27" l="1"/>
  <c r="G9" i="28"/>
  <c r="G10" i="28"/>
  <c r="U9" i="28" l="1"/>
  <c r="G8" i="28"/>
  <c r="E8" i="28"/>
  <c r="U10" i="28" l="1"/>
  <c r="W12" i="28" l="1"/>
  <c r="U8" i="28" l="1"/>
  <c r="H34" i="27"/>
  <c r="Q27" i="27"/>
  <c r="D42" i="27"/>
  <c r="E42" i="27"/>
  <c r="G42" i="27"/>
  <c r="H42" i="27"/>
  <c r="I42" i="27"/>
  <c r="K42" i="27"/>
  <c r="M42" i="27"/>
  <c r="Q31" i="27"/>
  <c r="C30" i="27"/>
  <c r="C29" i="27"/>
  <c r="C28" i="27"/>
  <c r="C26" i="27"/>
  <c r="C25" i="27"/>
  <c r="C24" i="27"/>
  <c r="C23" i="27"/>
  <c r="C19" i="27"/>
  <c r="C18" i="27"/>
  <c r="N18" i="27" s="1"/>
  <c r="C17" i="27"/>
  <c r="C16" i="27"/>
  <c r="N16" i="27" s="1"/>
  <c r="C15" i="27"/>
  <c r="N15" i="27" s="1"/>
  <c r="C14" i="27"/>
  <c r="C13" i="27"/>
  <c r="N13" i="27" s="1"/>
  <c r="C12" i="27"/>
  <c r="N12" i="27" s="1"/>
  <c r="C11" i="27"/>
  <c r="N23" i="27" l="1"/>
  <c r="N11" i="27"/>
  <c r="C10" i="27"/>
  <c r="Q19" i="27"/>
  <c r="N19" i="27"/>
  <c r="Q15" i="27"/>
  <c r="Q28" i="27"/>
  <c r="Q13" i="27"/>
  <c r="Q29" i="27"/>
  <c r="Q14" i="27"/>
  <c r="Q30" i="27"/>
  <c r="Q25" i="27"/>
  <c r="Q16" i="27"/>
  <c r="Q24" i="27"/>
  <c r="Q26" i="27"/>
  <c r="Q17" i="27"/>
  <c r="Q23" i="27"/>
  <c r="Q18" i="27"/>
  <c r="C42" i="27"/>
  <c r="P23" i="27"/>
  <c r="P31" i="27"/>
  <c r="P18" i="27"/>
  <c r="P19" i="27"/>
  <c r="P16" i="27"/>
  <c r="Q22" i="27" l="1"/>
  <c r="Q38" i="27"/>
  <c r="Q42" i="27"/>
  <c r="B30" i="27" l="1"/>
  <c r="B27" i="27"/>
  <c r="P27" i="27" s="1"/>
  <c r="L38" i="27"/>
  <c r="K38" i="27"/>
  <c r="I38" i="27"/>
  <c r="H38" i="27"/>
  <c r="G38" i="27"/>
  <c r="D38" i="27"/>
  <c r="C38" i="27"/>
  <c r="Z31" i="27"/>
  <c r="Y31" i="27"/>
  <c r="X31" i="27"/>
  <c r="W31" i="27"/>
  <c r="V31" i="27"/>
  <c r="U31" i="27"/>
  <c r="T31" i="27"/>
  <c r="Z30" i="27"/>
  <c r="Y30" i="27"/>
  <c r="X30" i="27"/>
  <c r="W30" i="27"/>
  <c r="V30" i="27"/>
  <c r="U30" i="27"/>
  <c r="T30" i="27"/>
  <c r="Z29" i="27"/>
  <c r="Y29" i="27"/>
  <c r="X29" i="27"/>
  <c r="W29" i="27"/>
  <c r="V29" i="27"/>
  <c r="U29" i="27"/>
  <c r="T29" i="27"/>
  <c r="Z28" i="27"/>
  <c r="Y28" i="27"/>
  <c r="X28" i="27"/>
  <c r="W28" i="27"/>
  <c r="V28" i="27"/>
  <c r="U28" i="27"/>
  <c r="T28" i="27"/>
  <c r="Z27" i="27"/>
  <c r="Y27" i="27"/>
  <c r="X27" i="27"/>
  <c r="W27" i="27"/>
  <c r="V27" i="27"/>
  <c r="U27" i="27"/>
  <c r="T27" i="27"/>
  <c r="Z26" i="27"/>
  <c r="Y26" i="27"/>
  <c r="X26" i="27"/>
  <c r="W26" i="27"/>
  <c r="V26" i="27"/>
  <c r="U26" i="27"/>
  <c r="T26" i="27"/>
  <c r="T38" i="27" s="1"/>
  <c r="S38" i="27"/>
  <c r="Z25" i="27"/>
  <c r="Y25" i="27"/>
  <c r="X25" i="27"/>
  <c r="W25" i="27"/>
  <c r="V25" i="27"/>
  <c r="U25" i="27"/>
  <c r="T25" i="27"/>
  <c r="Z24" i="27"/>
  <c r="Y24" i="27"/>
  <c r="X24" i="27"/>
  <c r="W24" i="27"/>
  <c r="V24" i="27"/>
  <c r="U24" i="27"/>
  <c r="S24" i="27"/>
  <c r="Z23" i="27"/>
  <c r="Y23" i="27"/>
  <c r="X23" i="27"/>
  <c r="W23" i="27"/>
  <c r="V23" i="27"/>
  <c r="U23" i="27"/>
  <c r="S23" i="27"/>
  <c r="K22" i="27"/>
  <c r="J22" i="27"/>
  <c r="I22" i="27"/>
  <c r="D22" i="27"/>
  <c r="C22" i="27"/>
  <c r="AA19" i="27"/>
  <c r="Z19" i="27"/>
  <c r="Y19" i="27"/>
  <c r="W19" i="27"/>
  <c r="V19" i="27"/>
  <c r="U19" i="27"/>
  <c r="T19" i="27"/>
  <c r="T10" i="27" s="1"/>
  <c r="AA18" i="27"/>
  <c r="Z18" i="27"/>
  <c r="Y18" i="27"/>
  <c r="X18" i="27"/>
  <c r="W18" i="27"/>
  <c r="V18" i="27"/>
  <c r="U18" i="27"/>
  <c r="AA17" i="27"/>
  <c r="Z17" i="27"/>
  <c r="Y17" i="27"/>
  <c r="X17" i="27"/>
  <c r="W17" i="27"/>
  <c r="V17" i="27"/>
  <c r="U17" i="27"/>
  <c r="AA16" i="27"/>
  <c r="Z16" i="27"/>
  <c r="Y16" i="27"/>
  <c r="W16" i="27"/>
  <c r="V16" i="27"/>
  <c r="U16" i="27"/>
  <c r="AA15" i="27"/>
  <c r="Z15" i="27"/>
  <c r="Y15" i="27"/>
  <c r="X15" i="27"/>
  <c r="W15" i="27"/>
  <c r="V15" i="27"/>
  <c r="U15" i="27"/>
  <c r="P15" i="27"/>
  <c r="AA14" i="27"/>
  <c r="Z14" i="27"/>
  <c r="Y14" i="27"/>
  <c r="X14" i="27"/>
  <c r="W14" i="27"/>
  <c r="V14" i="27"/>
  <c r="U14" i="27"/>
  <c r="M38" i="27"/>
  <c r="AA13" i="27"/>
  <c r="Z13" i="27"/>
  <c r="Y13" i="27"/>
  <c r="X13" i="27"/>
  <c r="W13" i="27"/>
  <c r="V13" i="27"/>
  <c r="U13" i="27"/>
  <c r="P13" i="27"/>
  <c r="AA12" i="27"/>
  <c r="Z12" i="27"/>
  <c r="Y12" i="27"/>
  <c r="W12" i="27"/>
  <c r="V12" i="27"/>
  <c r="U12" i="27"/>
  <c r="Q12" i="27"/>
  <c r="P12" i="27"/>
  <c r="Z11" i="27"/>
  <c r="Y11" i="27"/>
  <c r="W11" i="27"/>
  <c r="V11" i="27"/>
  <c r="U11" i="27"/>
  <c r="S11" i="27"/>
  <c r="S10" i="27" s="1"/>
  <c r="R11" i="27"/>
  <c r="R10" i="27" s="1"/>
  <c r="Q11" i="27"/>
  <c r="P11" i="27"/>
  <c r="W22" i="27" l="1"/>
  <c r="AA10" i="27"/>
  <c r="N30" i="27"/>
  <c r="V10" i="27"/>
  <c r="T22" i="27"/>
  <c r="U10" i="27"/>
  <c r="V22" i="27"/>
  <c r="X22" i="27"/>
  <c r="Y10" i="27"/>
  <c r="Z22" i="27"/>
  <c r="Y22" i="27"/>
  <c r="Z10" i="27"/>
  <c r="AB23" i="27"/>
  <c r="W10" i="27"/>
  <c r="X10" i="27"/>
  <c r="Q10" i="27"/>
  <c r="S22" i="27"/>
  <c r="U22" i="27"/>
  <c r="AB11" i="27"/>
  <c r="AB12" i="27"/>
  <c r="AB13" i="27"/>
  <c r="AB16" i="27"/>
  <c r="N27" i="27"/>
  <c r="AB15" i="27"/>
  <c r="AB19" i="27"/>
  <c r="AB18" i="27"/>
  <c r="R38" i="27"/>
  <c r="V38" i="27"/>
  <c r="Z38" i="27"/>
  <c r="U42" i="27"/>
  <c r="Y42" i="27"/>
  <c r="W38" i="27"/>
  <c r="AA38" i="27"/>
  <c r="V42" i="27"/>
  <c r="Z42" i="27"/>
  <c r="X38" i="27"/>
  <c r="W42" i="27"/>
  <c r="AA42" i="27"/>
  <c r="U38" i="27"/>
  <c r="Y38" i="27"/>
  <c r="T42" i="27"/>
  <c r="X42" i="27"/>
  <c r="P30" i="27"/>
  <c r="AB30" i="27" s="1"/>
  <c r="AB31" i="27"/>
  <c r="AB27" i="27"/>
  <c r="N16" i="24" l="1"/>
  <c r="N12" i="24"/>
  <c r="AB36" i="24" l="1"/>
  <c r="AB35" i="24"/>
  <c r="AB34" i="24"/>
  <c r="AB33" i="24"/>
  <c r="AB32" i="24"/>
  <c r="AB31" i="24"/>
  <c r="AB30" i="24"/>
  <c r="AB29" i="24"/>
  <c r="AB28" i="24"/>
  <c r="AB27" i="24"/>
  <c r="AB26" i="24"/>
  <c r="AB25" i="24"/>
  <c r="AB24" i="24"/>
  <c r="AB11" i="24"/>
  <c r="AB12" i="24"/>
  <c r="AB13" i="24"/>
  <c r="AB14" i="24"/>
  <c r="AB16" i="24"/>
  <c r="AB17" i="24"/>
  <c r="AB18" i="24"/>
  <c r="AB20" i="24"/>
  <c r="AB21" i="24"/>
  <c r="AB22" i="24"/>
  <c r="AB10" i="24"/>
  <c r="N48" i="24" l="1"/>
  <c r="N44" i="24"/>
  <c r="M23" i="24"/>
  <c r="AA25" i="24" l="1"/>
  <c r="AA26" i="24"/>
  <c r="AA27" i="24"/>
  <c r="AA28" i="24"/>
  <c r="AA29" i="24"/>
  <c r="AA30" i="24"/>
  <c r="AA31" i="24"/>
  <c r="AA32" i="24"/>
  <c r="AA33" i="24"/>
  <c r="AA34" i="24"/>
  <c r="AA35" i="24"/>
  <c r="AA36" i="24"/>
  <c r="AA24" i="24"/>
  <c r="AA11" i="24"/>
  <c r="AA12" i="24"/>
  <c r="AA13" i="24"/>
  <c r="AA14" i="24"/>
  <c r="AA15" i="24"/>
  <c r="AA16" i="24"/>
  <c r="AA17" i="24"/>
  <c r="AA18" i="24"/>
  <c r="AA19" i="24"/>
  <c r="AA20" i="24"/>
  <c r="AA21" i="24"/>
  <c r="AA22" i="24"/>
  <c r="AA10" i="24"/>
  <c r="AA9" i="24" l="1"/>
  <c r="AA23" i="24"/>
  <c r="L23" i="24" l="1"/>
  <c r="Z25" i="24" l="1"/>
  <c r="Z26" i="24"/>
  <c r="Z27" i="24"/>
  <c r="Z28" i="24"/>
  <c r="Z29" i="24"/>
  <c r="Z30" i="24"/>
  <c r="Z31" i="24"/>
  <c r="Z32" i="24"/>
  <c r="Z33" i="24"/>
  <c r="Z34" i="24"/>
  <c r="Z35" i="24"/>
  <c r="Z36" i="24"/>
  <c r="Z24" i="24"/>
  <c r="Z12" i="24"/>
  <c r="Z13" i="24"/>
  <c r="Z14" i="24"/>
  <c r="Z15" i="24"/>
  <c r="Z16" i="24"/>
  <c r="Z17" i="24"/>
  <c r="Z18" i="24"/>
  <c r="Z19" i="24"/>
  <c r="Z20" i="24"/>
  <c r="Z21" i="24"/>
  <c r="Z22" i="24"/>
  <c r="Z11" i="24"/>
  <c r="Z10" i="24"/>
  <c r="Z9" i="24" l="1"/>
  <c r="J23" i="24" l="1"/>
  <c r="N23" i="24"/>
  <c r="K23" i="24"/>
  <c r="AB23" i="24"/>
  <c r="Y25" i="24" l="1"/>
  <c r="Y26" i="24"/>
  <c r="Y27" i="24"/>
  <c r="Y28" i="24"/>
  <c r="Y29" i="24"/>
  <c r="Y30" i="24"/>
  <c r="Y31" i="24"/>
  <c r="Y32" i="24"/>
  <c r="Y33" i="24"/>
  <c r="Y34" i="24"/>
  <c r="Y35" i="24"/>
  <c r="Y36" i="24"/>
  <c r="Y12" i="24"/>
  <c r="Y13" i="24"/>
  <c r="Y14" i="24"/>
  <c r="Y15" i="24"/>
  <c r="Y16" i="24"/>
  <c r="Y17" i="24"/>
  <c r="Y18" i="24"/>
  <c r="Y19" i="24"/>
  <c r="Y20" i="24"/>
  <c r="Y21" i="24"/>
  <c r="Y22" i="24"/>
  <c r="Y11" i="24"/>
  <c r="X25" i="24" l="1"/>
  <c r="X26" i="24"/>
  <c r="X27" i="24"/>
  <c r="X28" i="24"/>
  <c r="X29" i="24"/>
  <c r="X30" i="24"/>
  <c r="X31" i="24"/>
  <c r="X32" i="24"/>
  <c r="X33" i="24"/>
  <c r="X34" i="24"/>
  <c r="X35" i="24"/>
  <c r="X36" i="24"/>
  <c r="X24" i="24"/>
  <c r="X12" i="24"/>
  <c r="X13" i="24"/>
  <c r="X14" i="24"/>
  <c r="X15" i="24"/>
  <c r="X16" i="24"/>
  <c r="X17" i="24"/>
  <c r="X18" i="24"/>
  <c r="X19" i="24"/>
  <c r="X20" i="24"/>
  <c r="X21" i="24"/>
  <c r="X22" i="24"/>
  <c r="X10" i="24"/>
  <c r="AD15" i="24"/>
  <c r="X23" i="24" l="1"/>
  <c r="J11" i="24"/>
  <c r="X11" i="24" l="1"/>
  <c r="W26" i="24" l="1"/>
  <c r="W27" i="24"/>
  <c r="W28" i="24"/>
  <c r="W29" i="24"/>
  <c r="W30" i="24"/>
  <c r="W31" i="24"/>
  <c r="W32" i="24"/>
  <c r="W33" i="24"/>
  <c r="W34" i="24"/>
  <c r="W35" i="24"/>
  <c r="W36" i="24"/>
  <c r="W12" i="24"/>
  <c r="W13" i="24"/>
  <c r="W14" i="24"/>
  <c r="W15" i="24"/>
  <c r="W16" i="24"/>
  <c r="W17" i="24"/>
  <c r="W18" i="24"/>
  <c r="W19" i="24"/>
  <c r="W20" i="24"/>
  <c r="W21" i="24"/>
  <c r="W22" i="24"/>
  <c r="W11" i="24"/>
  <c r="AD14" i="24" l="1"/>
  <c r="G23" i="24" l="1"/>
  <c r="H23" i="24"/>
  <c r="V11" i="24" l="1"/>
  <c r="V12" i="24"/>
  <c r="V13" i="24"/>
  <c r="V14" i="24"/>
  <c r="V15" i="24"/>
  <c r="V16" i="24"/>
  <c r="V17" i="24"/>
  <c r="V18" i="24"/>
  <c r="V19" i="24"/>
  <c r="V20" i="24"/>
  <c r="V21" i="24"/>
  <c r="V22" i="24"/>
  <c r="V26" i="24"/>
  <c r="V27" i="24"/>
  <c r="V28" i="24"/>
  <c r="V29" i="24"/>
  <c r="V30" i="24"/>
  <c r="V31" i="24"/>
  <c r="V32" i="24"/>
  <c r="V33" i="24"/>
  <c r="V34" i="24"/>
  <c r="V35" i="24"/>
  <c r="V36" i="24"/>
  <c r="V25" i="24"/>
  <c r="H9" i="24"/>
  <c r="H47" i="24"/>
  <c r="O34" i="24"/>
  <c r="P34" i="24" s="1"/>
  <c r="O33" i="30" s="1"/>
  <c r="Q34" i="24"/>
  <c r="R34" i="24"/>
  <c r="S34" i="24"/>
  <c r="T34" i="24"/>
  <c r="U34" i="24"/>
  <c r="Q20" i="24"/>
  <c r="R20" i="24"/>
  <c r="S20" i="24"/>
  <c r="T20" i="24"/>
  <c r="U20" i="24"/>
  <c r="O30" i="27" l="1"/>
  <c r="AC20" i="24"/>
  <c r="AC34" i="24"/>
  <c r="O20" i="24"/>
  <c r="P20" i="24" s="1"/>
  <c r="O15" i="30" s="1"/>
  <c r="G53" i="24"/>
  <c r="U36" i="24"/>
  <c r="AC36" i="24" s="1"/>
  <c r="O36" i="24"/>
  <c r="P36" i="24" s="1"/>
  <c r="G9" i="24"/>
  <c r="U22" i="24"/>
  <c r="AC22" i="24" s="1"/>
  <c r="O22" i="24"/>
  <c r="P22" i="24" s="1"/>
  <c r="P53" i="24" l="1"/>
  <c r="O18" i="27"/>
  <c r="AC53" i="24"/>
  <c r="O53" i="24"/>
  <c r="U35" i="24"/>
  <c r="U33" i="24"/>
  <c r="U21" i="24"/>
  <c r="AC21" i="24" s="1"/>
  <c r="U19" i="24"/>
  <c r="G51" i="24" l="1"/>
  <c r="H51" i="24"/>
  <c r="I51" i="24"/>
  <c r="J51" i="24"/>
  <c r="K51" i="24"/>
  <c r="L51" i="24"/>
  <c r="M51" i="24"/>
  <c r="G52" i="24"/>
  <c r="H52" i="24"/>
  <c r="I52" i="24"/>
  <c r="J52" i="24"/>
  <c r="K52" i="24"/>
  <c r="L52" i="24"/>
  <c r="M52" i="24"/>
  <c r="N52" i="24"/>
  <c r="G50" i="24"/>
  <c r="G46" i="24"/>
  <c r="B9" i="24"/>
  <c r="D9" i="24"/>
  <c r="I9" i="24"/>
  <c r="J9" i="24"/>
  <c r="K9" i="24"/>
  <c r="L9" i="24"/>
  <c r="M9" i="24"/>
  <c r="D23" i="24"/>
  <c r="F23" i="24"/>
  <c r="I23" i="24"/>
  <c r="AC33" i="24"/>
  <c r="AC35" i="24"/>
  <c r="O33" i="24"/>
  <c r="P33" i="24" s="1"/>
  <c r="O35" i="24"/>
  <c r="P35" i="24" s="1"/>
  <c r="O21" i="24"/>
  <c r="P21" i="24" s="1"/>
  <c r="O31" i="27" l="1"/>
  <c r="O19" i="27"/>
  <c r="P52" i="24"/>
  <c r="AC52" i="24"/>
  <c r="O52" i="24"/>
  <c r="O40" i="20"/>
  <c r="O39" i="20"/>
  <c r="R48" i="24"/>
  <c r="T48" i="24" s="1"/>
  <c r="R47" i="24"/>
  <c r="T47" i="24" s="1"/>
  <c r="R44" i="24"/>
  <c r="E50" i="24"/>
  <c r="T26" i="24"/>
  <c r="T15" i="24" l="1"/>
  <c r="T16" i="24"/>
  <c r="E9" i="24"/>
  <c r="E23" i="24"/>
  <c r="E46" i="24"/>
  <c r="E43" i="24"/>
  <c r="E48" i="24"/>
  <c r="E44" i="24"/>
  <c r="E47" i="24"/>
  <c r="D50" i="24" l="1"/>
  <c r="H50" i="24"/>
  <c r="I50" i="24"/>
  <c r="J50" i="24"/>
  <c r="K50" i="24"/>
  <c r="L50" i="24"/>
  <c r="M50" i="24"/>
  <c r="N50" i="24"/>
  <c r="D48" i="24"/>
  <c r="G48" i="24"/>
  <c r="H48" i="24"/>
  <c r="I48" i="24"/>
  <c r="J48" i="24"/>
  <c r="K48" i="24"/>
  <c r="L48" i="24"/>
  <c r="M48" i="24"/>
  <c r="D49" i="24"/>
  <c r="E49" i="24"/>
  <c r="G49" i="24"/>
  <c r="H49" i="24"/>
  <c r="I49" i="24"/>
  <c r="J49" i="24"/>
  <c r="K49" i="24"/>
  <c r="L49" i="24"/>
  <c r="M49" i="24"/>
  <c r="N49" i="24"/>
  <c r="C49" i="24"/>
  <c r="C23" i="24" l="1"/>
  <c r="O11" i="24"/>
  <c r="C9" i="24"/>
  <c r="C50" i="24"/>
  <c r="C46" i="24"/>
  <c r="C47" i="24"/>
  <c r="C44" i="24"/>
  <c r="C48" i="24"/>
  <c r="Q27" i="24"/>
  <c r="E38" i="24" l="1"/>
  <c r="Q28" i="24" l="1"/>
  <c r="O28" i="24"/>
  <c r="Q25" i="24"/>
  <c r="B23" i="24"/>
  <c r="Q29" i="24"/>
  <c r="O29" i="24"/>
  <c r="B49" i="24"/>
  <c r="Q31" i="24"/>
  <c r="Q32" i="24"/>
  <c r="B50" i="24"/>
  <c r="Q30" i="24"/>
  <c r="B48" i="24"/>
  <c r="Q26" i="24"/>
  <c r="O26" i="24"/>
  <c r="R25" i="24"/>
  <c r="S25" i="24"/>
  <c r="T25" i="24"/>
  <c r="U25" i="24"/>
  <c r="W25" i="24"/>
  <c r="R26" i="24"/>
  <c r="S26" i="24"/>
  <c r="U26" i="24"/>
  <c r="R27" i="24"/>
  <c r="S27" i="24"/>
  <c r="T27" i="24"/>
  <c r="U27" i="24"/>
  <c r="R28" i="24"/>
  <c r="S28" i="24"/>
  <c r="T28" i="24"/>
  <c r="U28" i="24"/>
  <c r="R29" i="24"/>
  <c r="S29" i="24"/>
  <c r="T29" i="24"/>
  <c r="U29" i="24"/>
  <c r="R30" i="24"/>
  <c r="S30" i="24"/>
  <c r="T30" i="24"/>
  <c r="U30" i="24"/>
  <c r="R31" i="24"/>
  <c r="S31" i="24"/>
  <c r="T31" i="24"/>
  <c r="U31" i="24"/>
  <c r="R32" i="24"/>
  <c r="S32" i="24"/>
  <c r="T32" i="24"/>
  <c r="U32" i="24"/>
  <c r="R24" i="24"/>
  <c r="Y24" i="24"/>
  <c r="Y23" i="24" s="1"/>
  <c r="W24" i="24"/>
  <c r="V24" i="24"/>
  <c r="V23" i="24" s="1"/>
  <c r="U24" i="24"/>
  <c r="T24" i="24"/>
  <c r="S24" i="24"/>
  <c r="R16" i="24"/>
  <c r="S16" i="24"/>
  <c r="U16" i="24"/>
  <c r="R17" i="24"/>
  <c r="S17" i="24"/>
  <c r="T17" i="24"/>
  <c r="U17" i="24"/>
  <c r="R18" i="24"/>
  <c r="S18" i="24"/>
  <c r="T18" i="24"/>
  <c r="U18" i="24"/>
  <c r="S11" i="24"/>
  <c r="S12" i="24"/>
  <c r="S13" i="24"/>
  <c r="S14" i="24"/>
  <c r="S15" i="24"/>
  <c r="S10" i="24"/>
  <c r="M47" i="24"/>
  <c r="L47" i="24"/>
  <c r="K47" i="24"/>
  <c r="J47" i="24"/>
  <c r="I47" i="24"/>
  <c r="G47" i="24"/>
  <c r="D47" i="24"/>
  <c r="B47" i="24"/>
  <c r="N46" i="24"/>
  <c r="M46" i="24"/>
  <c r="L46" i="24"/>
  <c r="K46" i="24"/>
  <c r="J46" i="24"/>
  <c r="I46" i="24"/>
  <c r="H46" i="24"/>
  <c r="D46" i="24"/>
  <c r="B46" i="24"/>
  <c r="N45" i="24"/>
  <c r="M45" i="24"/>
  <c r="L45" i="24"/>
  <c r="K45" i="24"/>
  <c r="J45" i="24"/>
  <c r="I45" i="24"/>
  <c r="H45" i="24"/>
  <c r="G45" i="24"/>
  <c r="E45" i="24"/>
  <c r="D45" i="24"/>
  <c r="C45" i="24"/>
  <c r="B45" i="24"/>
  <c r="M44" i="24"/>
  <c r="L44" i="24"/>
  <c r="K44" i="24"/>
  <c r="J44" i="24"/>
  <c r="I44" i="24"/>
  <c r="H44" i="24"/>
  <c r="G44" i="24"/>
  <c r="D44" i="24"/>
  <c r="B44" i="24"/>
  <c r="N43" i="24"/>
  <c r="M43" i="24"/>
  <c r="L43" i="24"/>
  <c r="K43" i="24"/>
  <c r="J43" i="24"/>
  <c r="I43" i="24"/>
  <c r="H43" i="24"/>
  <c r="G43" i="24"/>
  <c r="D43" i="24"/>
  <c r="C43" i="24"/>
  <c r="B43" i="24"/>
  <c r="M42" i="24"/>
  <c r="L42" i="24"/>
  <c r="K42" i="24"/>
  <c r="J42" i="24"/>
  <c r="I42" i="24"/>
  <c r="H42" i="24"/>
  <c r="G42" i="24"/>
  <c r="E42" i="24"/>
  <c r="D42" i="24"/>
  <c r="C42" i="24"/>
  <c r="B42" i="24"/>
  <c r="O32" i="24"/>
  <c r="O31" i="24"/>
  <c r="O30" i="24"/>
  <c r="O27" i="24"/>
  <c r="O25" i="24"/>
  <c r="Q24" i="24"/>
  <c r="N42" i="24"/>
  <c r="Q18" i="24"/>
  <c r="O18" i="24"/>
  <c r="Q17" i="24"/>
  <c r="O17" i="24"/>
  <c r="Q16" i="24"/>
  <c r="O16" i="24"/>
  <c r="U15" i="24"/>
  <c r="R15" i="24"/>
  <c r="Q15" i="24"/>
  <c r="U14" i="24"/>
  <c r="T14" i="24"/>
  <c r="R14" i="24"/>
  <c r="Q14" i="24"/>
  <c r="O14" i="24"/>
  <c r="U13" i="24"/>
  <c r="T13" i="24"/>
  <c r="R13" i="24"/>
  <c r="Q13" i="24"/>
  <c r="O13" i="24"/>
  <c r="U12" i="24"/>
  <c r="R12" i="24"/>
  <c r="Q12" i="24"/>
  <c r="W9" i="24"/>
  <c r="U11" i="24"/>
  <c r="T11" i="24"/>
  <c r="R11" i="24"/>
  <c r="Q11" i="24"/>
  <c r="Y10" i="24"/>
  <c r="Y9" i="24" s="1"/>
  <c r="V10" i="24"/>
  <c r="V9" i="24" s="1"/>
  <c r="R10" i="24"/>
  <c r="Q10" i="24"/>
  <c r="O10" i="24"/>
  <c r="O37" i="24" l="1"/>
  <c r="AC14" i="24"/>
  <c r="AC16" i="24"/>
  <c r="AC17" i="24"/>
  <c r="AC24" i="24"/>
  <c r="AC25" i="24"/>
  <c r="W23" i="24"/>
  <c r="AC11" i="24"/>
  <c r="U23" i="24"/>
  <c r="AC10" i="24"/>
  <c r="AC13" i="24"/>
  <c r="AC18" i="24"/>
  <c r="Z23" i="24"/>
  <c r="X9" i="24"/>
  <c r="AC26" i="24"/>
  <c r="R9" i="24"/>
  <c r="U9" i="24"/>
  <c r="S9" i="24"/>
  <c r="Q9" i="24"/>
  <c r="S23" i="24"/>
  <c r="R23" i="24"/>
  <c r="Q23" i="24"/>
  <c r="T23" i="24"/>
  <c r="AC32" i="24"/>
  <c r="O49" i="24"/>
  <c r="O46" i="24"/>
  <c r="O50" i="24"/>
  <c r="O48" i="24"/>
  <c r="AC28" i="24"/>
  <c r="AC27" i="24"/>
  <c r="AC31" i="24"/>
  <c r="AC29" i="24"/>
  <c r="O43" i="24"/>
  <c r="AC30" i="24"/>
  <c r="O24" i="24"/>
  <c r="O23" i="24" s="1"/>
  <c r="O45" i="24"/>
  <c r="P28" i="20"/>
  <c r="AC27" i="20"/>
  <c r="N42" i="20"/>
  <c r="N41" i="20"/>
  <c r="N40" i="20"/>
  <c r="N44" i="20"/>
  <c r="N39" i="20"/>
  <c r="R18" i="20"/>
  <c r="S18" i="20"/>
  <c r="Y18" i="20"/>
  <c r="Z18" i="20"/>
  <c r="AA18" i="20"/>
  <c r="AB18" i="20"/>
  <c r="AE23" i="24" l="1"/>
  <c r="O38" i="24"/>
  <c r="AC23" i="24"/>
  <c r="AD23" i="24" s="1"/>
  <c r="AC50" i="24"/>
  <c r="AC48" i="24"/>
  <c r="AC45" i="24"/>
  <c r="AC46" i="24"/>
  <c r="AC43" i="24"/>
  <c r="AC49" i="24"/>
  <c r="O42" i="24"/>
  <c r="AC28" i="20"/>
  <c r="AD28" i="20" s="1"/>
  <c r="Q28" i="20"/>
  <c r="P32" i="24" s="1"/>
  <c r="P10" i="20"/>
  <c r="AC42" i="24" l="1"/>
  <c r="N9" i="20"/>
  <c r="AB27" i="20" l="1"/>
  <c r="AB16" i="20"/>
  <c r="AC16" i="20"/>
  <c r="AB17" i="20"/>
  <c r="AC17" i="20"/>
  <c r="AA23" i="20"/>
  <c r="AA13" i="20"/>
  <c r="AA10" i="20"/>
  <c r="AA27" i="20" l="1"/>
  <c r="AA26" i="20"/>
  <c r="AA25" i="20"/>
  <c r="AA24" i="20"/>
  <c r="AA22" i="20"/>
  <c r="AA21" i="20"/>
  <c r="O20" i="20"/>
  <c r="O19" i="20" s="1"/>
  <c r="AA17" i="20"/>
  <c r="AA16" i="20"/>
  <c r="AA15" i="20"/>
  <c r="AA14" i="20"/>
  <c r="AA12" i="20"/>
  <c r="AA11" i="20"/>
  <c r="AA9" i="20" l="1"/>
  <c r="Z16" i="20"/>
  <c r="Z17" i="20"/>
  <c r="Z27" i="20"/>
  <c r="Y24" i="20" l="1"/>
  <c r="Y25" i="20"/>
  <c r="Y26" i="20"/>
  <c r="K19" i="20"/>
  <c r="AD27" i="20" l="1"/>
  <c r="P27" i="20"/>
  <c r="E9" i="20"/>
  <c r="F9" i="20"/>
  <c r="G9" i="20"/>
  <c r="K9" i="20"/>
  <c r="L9" i="20"/>
  <c r="M9" i="20"/>
  <c r="D9" i="20"/>
  <c r="E19" i="20"/>
  <c r="F19" i="20"/>
  <c r="L19" i="20"/>
  <c r="M19" i="20"/>
  <c r="N19" i="20"/>
  <c r="N43" i="20" s="1"/>
  <c r="D19" i="20"/>
  <c r="Y13" i="20"/>
  <c r="Y11" i="20"/>
  <c r="Y10" i="20"/>
  <c r="P17" i="20"/>
  <c r="S17" i="20"/>
  <c r="R17" i="20"/>
  <c r="Y16" i="20"/>
  <c r="Y15" i="20"/>
  <c r="Y14" i="20"/>
  <c r="Y12" i="20"/>
  <c r="Q17" i="20" l="1"/>
  <c r="P17" i="24"/>
  <c r="P41" i="20"/>
  <c r="Q27" i="20"/>
  <c r="Y17" i="20"/>
  <c r="AD17" i="20" s="1"/>
  <c r="X26" i="20"/>
  <c r="X25" i="20"/>
  <c r="X24" i="20"/>
  <c r="X23" i="20"/>
  <c r="X22" i="20"/>
  <c r="X14" i="20"/>
  <c r="X20" i="20"/>
  <c r="X13" i="20"/>
  <c r="O15" i="27" l="1"/>
  <c r="O12" i="30"/>
  <c r="Q11" i="31" s="1"/>
  <c r="Q11" i="32" s="1"/>
  <c r="R11" i="33" s="1"/>
  <c r="Q41" i="20"/>
  <c r="P31" i="24"/>
  <c r="O30" i="30" s="1"/>
  <c r="Q30" i="31" s="1"/>
  <c r="Q32" i="32" s="1"/>
  <c r="R32" i="33" s="1"/>
  <c r="Y9" i="20"/>
  <c r="X15" i="20"/>
  <c r="J9" i="20"/>
  <c r="X16" i="20"/>
  <c r="X11" i="20"/>
  <c r="X21" i="20"/>
  <c r="X19" i="20" s="1"/>
  <c r="J19" i="20"/>
  <c r="X12" i="20"/>
  <c r="X9" i="20" l="1"/>
  <c r="P49" i="24"/>
  <c r="O27" i="27"/>
  <c r="I19" i="20"/>
  <c r="I9" i="20"/>
  <c r="W15" i="20"/>
  <c r="W16" i="20"/>
  <c r="H34" i="20" l="1"/>
  <c r="I34" i="20"/>
  <c r="J34" i="20"/>
  <c r="K34" i="20"/>
  <c r="L34" i="20"/>
  <c r="M34" i="20"/>
  <c r="N34" i="20"/>
  <c r="O34" i="20"/>
  <c r="I35" i="20"/>
  <c r="J35" i="20"/>
  <c r="K35" i="20"/>
  <c r="L35" i="20"/>
  <c r="M35" i="20"/>
  <c r="N35" i="20"/>
  <c r="O35" i="20"/>
  <c r="I36" i="20"/>
  <c r="J36" i="20"/>
  <c r="K36" i="20"/>
  <c r="L36" i="20"/>
  <c r="M36" i="20"/>
  <c r="N36" i="20"/>
  <c r="O36" i="20"/>
  <c r="H37" i="20"/>
  <c r="I37" i="20"/>
  <c r="J37" i="20"/>
  <c r="K37" i="20"/>
  <c r="L37" i="20"/>
  <c r="M37" i="20"/>
  <c r="N37" i="20"/>
  <c r="O37" i="20"/>
  <c r="I38" i="20"/>
  <c r="J38" i="20"/>
  <c r="K38" i="20"/>
  <c r="L38" i="20"/>
  <c r="M38" i="20"/>
  <c r="N38" i="20"/>
  <c r="O38" i="20"/>
  <c r="I39" i="20"/>
  <c r="J39" i="20"/>
  <c r="K39" i="20"/>
  <c r="L39" i="20"/>
  <c r="M39" i="20"/>
  <c r="H3" i="20"/>
  <c r="H5" i="20"/>
  <c r="V26" i="20"/>
  <c r="V25" i="20"/>
  <c r="V22" i="20"/>
  <c r="V16" i="20"/>
  <c r="H38" i="20"/>
  <c r="V12" i="20"/>
  <c r="V23" i="20"/>
  <c r="V24" i="20"/>
  <c r="V20" i="20"/>
  <c r="V13" i="20"/>
  <c r="V11" i="20" l="1"/>
  <c r="H9" i="20"/>
  <c r="V21" i="20"/>
  <c r="V19" i="20" s="1"/>
  <c r="H19" i="20"/>
  <c r="V14" i="20"/>
  <c r="V15" i="20"/>
  <c r="H4" i="20"/>
  <c r="H39" i="20"/>
  <c r="H36" i="20"/>
  <c r="H35" i="20"/>
  <c r="V9" i="20" l="1"/>
  <c r="T11" i="20"/>
  <c r="T13" i="20"/>
  <c r="T14" i="20"/>
  <c r="T16" i="20"/>
  <c r="S10" i="20"/>
  <c r="U22" i="20" l="1"/>
  <c r="U23" i="20"/>
  <c r="U20" i="20"/>
  <c r="U12" i="20"/>
  <c r="U13" i="20"/>
  <c r="U16" i="20"/>
  <c r="U24" i="20"/>
  <c r="G37" i="20"/>
  <c r="G36" i="20"/>
  <c r="U26" i="20"/>
  <c r="U25" i="20"/>
  <c r="U21" i="20"/>
  <c r="U15" i="20"/>
  <c r="G38" i="20"/>
  <c r="U11" i="20"/>
  <c r="U19" i="20" l="1"/>
  <c r="U14" i="20"/>
  <c r="U9" i="20" s="1"/>
  <c r="P13" i="20" l="1"/>
  <c r="P16" i="20" l="1"/>
  <c r="D38" i="20"/>
  <c r="P20" i="20"/>
  <c r="T12" i="20"/>
  <c r="T15" i="20" l="1"/>
  <c r="P15" i="20"/>
  <c r="T10" i="20"/>
  <c r="T9" i="20" l="1"/>
  <c r="Q16" i="21"/>
  <c r="P16" i="21"/>
  <c r="O16" i="21"/>
  <c r="N16" i="21"/>
  <c r="M16" i="21"/>
  <c r="K16" i="21"/>
  <c r="I16" i="21"/>
  <c r="J16" i="21" s="1"/>
  <c r="P15" i="21"/>
  <c r="O15" i="21"/>
  <c r="N15" i="21"/>
  <c r="M15" i="21"/>
  <c r="L15" i="21"/>
  <c r="K15" i="21"/>
  <c r="I15" i="21"/>
  <c r="H15" i="21"/>
  <c r="P14" i="21"/>
  <c r="O14" i="21"/>
  <c r="N14" i="21"/>
  <c r="M14" i="21"/>
  <c r="L14" i="21"/>
  <c r="K14" i="21"/>
  <c r="K13" i="21" s="1"/>
  <c r="I14" i="21"/>
  <c r="R14" i="21" s="1"/>
  <c r="H14" i="21"/>
  <c r="Q14" i="21" s="1"/>
  <c r="G13" i="21"/>
  <c r="F13" i="21"/>
  <c r="E13" i="21"/>
  <c r="D13" i="21"/>
  <c r="C13" i="21"/>
  <c r="B13" i="21"/>
  <c r="Q12" i="21"/>
  <c r="P12" i="21"/>
  <c r="O12" i="21"/>
  <c r="N12" i="21"/>
  <c r="M12" i="21"/>
  <c r="K12" i="21"/>
  <c r="I12" i="21"/>
  <c r="R12" i="21" s="1"/>
  <c r="P11" i="21"/>
  <c r="O11" i="21"/>
  <c r="N11" i="21"/>
  <c r="M11" i="21"/>
  <c r="L11" i="21"/>
  <c r="K11" i="21"/>
  <c r="I11" i="21"/>
  <c r="R11" i="21" s="1"/>
  <c r="H11" i="21"/>
  <c r="P10" i="21"/>
  <c r="O10" i="21"/>
  <c r="N10" i="21"/>
  <c r="M10" i="21"/>
  <c r="L10" i="21"/>
  <c r="K10" i="21"/>
  <c r="I10" i="21"/>
  <c r="R10" i="21" s="1"/>
  <c r="H10" i="21"/>
  <c r="G9" i="21"/>
  <c r="F9" i="21"/>
  <c r="E9" i="21"/>
  <c r="D9" i="21"/>
  <c r="C9" i="21"/>
  <c r="B9" i="21"/>
  <c r="Q15" i="21" l="1"/>
  <c r="Q13" i="21" s="1"/>
  <c r="J15" i="21"/>
  <c r="P9" i="21"/>
  <c r="J10" i="21"/>
  <c r="O13" i="21"/>
  <c r="N9" i="21"/>
  <c r="N13" i="21"/>
  <c r="P13" i="21"/>
  <c r="M13" i="21"/>
  <c r="L9" i="21"/>
  <c r="M9" i="21"/>
  <c r="J14" i="21"/>
  <c r="K9" i="21"/>
  <c r="R15" i="21"/>
  <c r="S15" i="21" s="1"/>
  <c r="L13" i="21"/>
  <c r="Q10" i="21"/>
  <c r="S10" i="21" s="1"/>
  <c r="I13" i="21"/>
  <c r="R9" i="21"/>
  <c r="J11" i="21"/>
  <c r="Q11" i="21"/>
  <c r="S11" i="21" s="1"/>
  <c r="J12" i="21"/>
  <c r="J4" i="21" s="1"/>
  <c r="H9" i="21"/>
  <c r="S12" i="21"/>
  <c r="S14" i="21"/>
  <c r="O9" i="21"/>
  <c r="I9" i="21"/>
  <c r="H13" i="21"/>
  <c r="R16" i="21"/>
  <c r="J5" i="21" l="1"/>
  <c r="R13" i="21"/>
  <c r="S13" i="21" s="1"/>
  <c r="T13" i="21" s="1"/>
  <c r="J13" i="21"/>
  <c r="S16" i="21"/>
  <c r="S4" i="21" s="1"/>
  <c r="S5" i="21"/>
  <c r="Q9" i="21"/>
  <c r="S9" i="21" s="1"/>
  <c r="T9" i="21" s="1"/>
  <c r="J9" i="21"/>
  <c r="F34" i="20"/>
  <c r="G34" i="20"/>
  <c r="F35" i="20"/>
  <c r="F36" i="20"/>
  <c r="F37" i="20"/>
  <c r="F38" i="20"/>
  <c r="F39" i="20"/>
  <c r="G39" i="20"/>
  <c r="C34" i="20"/>
  <c r="C35" i="20"/>
  <c r="C36" i="20"/>
  <c r="C37" i="20"/>
  <c r="C38" i="20"/>
  <c r="C39" i="20"/>
  <c r="D39" i="20"/>
  <c r="D37" i="20"/>
  <c r="D35" i="20"/>
  <c r="S26" i="20"/>
  <c r="S25" i="20"/>
  <c r="S24" i="20"/>
  <c r="S23" i="20"/>
  <c r="S22" i="20"/>
  <c r="S21" i="20"/>
  <c r="S20" i="20"/>
  <c r="S11" i="20"/>
  <c r="S12" i="20"/>
  <c r="S13" i="20"/>
  <c r="S14" i="20"/>
  <c r="S15" i="20"/>
  <c r="S16" i="20"/>
  <c r="S19" i="20" l="1"/>
  <c r="S9" i="20"/>
  <c r="G10" i="19"/>
  <c r="G11" i="19"/>
  <c r="G12" i="19"/>
  <c r="G13" i="19"/>
  <c r="G14" i="19"/>
  <c r="M4" i="19" l="1"/>
  <c r="F4" i="19"/>
  <c r="M3" i="19"/>
  <c r="F3" i="19"/>
  <c r="B33" i="19" l="1"/>
  <c r="C33" i="19"/>
  <c r="D33" i="19"/>
  <c r="E33" i="19"/>
  <c r="B34" i="19"/>
  <c r="C34" i="19"/>
  <c r="D34" i="19"/>
  <c r="E34" i="19"/>
  <c r="B35" i="19"/>
  <c r="C35" i="19"/>
  <c r="D35" i="19"/>
  <c r="E35" i="19"/>
  <c r="B34" i="20"/>
  <c r="B38" i="20" l="1"/>
  <c r="B37" i="20"/>
  <c r="B35" i="20"/>
  <c r="B39" i="20"/>
  <c r="B36" i="20"/>
  <c r="B19" i="20" l="1"/>
  <c r="R16" i="20"/>
  <c r="R15" i="20"/>
  <c r="C19" i="20"/>
  <c r="C9" i="20"/>
  <c r="B9" i="20"/>
  <c r="AC26" i="20"/>
  <c r="AB26" i="20"/>
  <c r="Z26" i="20"/>
  <c r="W26" i="20"/>
  <c r="T26" i="20"/>
  <c r="R26" i="20"/>
  <c r="P26" i="20"/>
  <c r="AC25" i="20"/>
  <c r="W25" i="20"/>
  <c r="T25" i="20"/>
  <c r="R25" i="20"/>
  <c r="AB25" i="20"/>
  <c r="Z25" i="20"/>
  <c r="AC24" i="20"/>
  <c r="T24" i="20"/>
  <c r="R24" i="20"/>
  <c r="P24" i="20"/>
  <c r="Z23" i="20"/>
  <c r="Y23" i="20"/>
  <c r="W23" i="20"/>
  <c r="T23" i="20"/>
  <c r="R23" i="20"/>
  <c r="P23" i="20"/>
  <c r="AC22" i="20"/>
  <c r="R22" i="20"/>
  <c r="AB22" i="20"/>
  <c r="Z22" i="20"/>
  <c r="W22" i="20"/>
  <c r="T22" i="20"/>
  <c r="AC21" i="20"/>
  <c r="R21" i="20"/>
  <c r="AB21" i="20"/>
  <c r="Z21" i="20"/>
  <c r="W21" i="20"/>
  <c r="T21" i="20"/>
  <c r="AC20" i="20"/>
  <c r="R20" i="20"/>
  <c r="AB20" i="20"/>
  <c r="AA20" i="20"/>
  <c r="AA19" i="20" s="1"/>
  <c r="Z20" i="20"/>
  <c r="W20" i="20"/>
  <c r="T20" i="20"/>
  <c r="AC15" i="20"/>
  <c r="AB15" i="20"/>
  <c r="AC14" i="20"/>
  <c r="R14" i="20"/>
  <c r="AB14" i="20"/>
  <c r="Z14" i="20"/>
  <c r="P14" i="20"/>
  <c r="AC13" i="20"/>
  <c r="Z13" i="20"/>
  <c r="R13" i="20"/>
  <c r="AC12" i="20"/>
  <c r="AB12" i="20"/>
  <c r="Z12" i="20"/>
  <c r="W12" i="20"/>
  <c r="AC11" i="20"/>
  <c r="Z11" i="20"/>
  <c r="W11" i="20"/>
  <c r="AC10" i="20"/>
  <c r="R10" i="20"/>
  <c r="AB10" i="20"/>
  <c r="Z10" i="20"/>
  <c r="W10" i="20"/>
  <c r="N5" i="20"/>
  <c r="M5" i="20"/>
  <c r="L5" i="20"/>
  <c r="K5" i="20"/>
  <c r="J5" i="20"/>
  <c r="I5" i="20"/>
  <c r="G5" i="20"/>
  <c r="F5" i="20"/>
  <c r="D5" i="20"/>
  <c r="C5" i="20"/>
  <c r="B5" i="20"/>
  <c r="N4" i="20"/>
  <c r="M4" i="20"/>
  <c r="L4" i="20"/>
  <c r="K4" i="20"/>
  <c r="J4" i="20"/>
  <c r="I4" i="20"/>
  <c r="G4" i="20"/>
  <c r="C4" i="20"/>
  <c r="N3" i="20"/>
  <c r="M3" i="20"/>
  <c r="L3" i="20"/>
  <c r="K3" i="20"/>
  <c r="J3" i="20"/>
  <c r="I3" i="20"/>
  <c r="G3" i="20"/>
  <c r="C3" i="20"/>
  <c r="B3" i="20"/>
  <c r="T19" i="20" l="1"/>
  <c r="AD10" i="20"/>
  <c r="R19" i="20"/>
  <c r="AC19" i="20"/>
  <c r="P40" i="20"/>
  <c r="AD16" i="20"/>
  <c r="P38" i="20"/>
  <c r="P37" i="20"/>
  <c r="B4" i="20"/>
  <c r="R12" i="20"/>
  <c r="AD12" i="20" s="1"/>
  <c r="R11" i="20"/>
  <c r="AD23" i="20"/>
  <c r="AD26" i="20"/>
  <c r="AD25" i="20"/>
  <c r="AB11" i="20"/>
  <c r="AB9" i="20" s="1"/>
  <c r="W14" i="20"/>
  <c r="AD14" i="20" s="1"/>
  <c r="Z15" i="20"/>
  <c r="Z9" i="20" s="1"/>
  <c r="Y20" i="20"/>
  <c r="P21" i="20"/>
  <c r="Y21" i="20"/>
  <c r="P22" i="20"/>
  <c r="Y22" i="20"/>
  <c r="Z24" i="20"/>
  <c r="Z19" i="20" s="1"/>
  <c r="P25" i="20"/>
  <c r="P39" i="20" s="1"/>
  <c r="W24" i="20"/>
  <c r="W19" i="20" s="1"/>
  <c r="W13" i="20"/>
  <c r="AD13" i="20" s="1"/>
  <c r="AB24" i="20"/>
  <c r="AB19" i="20" s="1"/>
  <c r="P11" i="20"/>
  <c r="F3" i="20"/>
  <c r="F4" i="20"/>
  <c r="R9" i="20" l="1"/>
  <c r="Y19" i="20"/>
  <c r="W9" i="20"/>
  <c r="P19" i="20"/>
  <c r="AD20" i="20"/>
  <c r="AD15" i="20"/>
  <c r="AD11" i="20"/>
  <c r="AD24" i="20"/>
  <c r="P35" i="20"/>
  <c r="AD21" i="20"/>
  <c r="AD22" i="20"/>
  <c r="Z23" i="19"/>
  <c r="Z24" i="19"/>
  <c r="M9" i="19"/>
  <c r="N16" i="19"/>
  <c r="Z16" i="19"/>
  <c r="AA16" i="19" s="1"/>
  <c r="Z14" i="19"/>
  <c r="P16" i="24" l="1"/>
  <c r="Q16" i="20"/>
  <c r="AD19" i="20"/>
  <c r="AE19" i="20" s="1"/>
  <c r="M17" i="19"/>
  <c r="M34" i="19"/>
  <c r="Z15" i="19"/>
  <c r="M35" i="19"/>
  <c r="M33" i="19"/>
  <c r="Z13" i="19"/>
  <c r="M32" i="19"/>
  <c r="Z12" i="19"/>
  <c r="Z11" i="19"/>
  <c r="M31" i="19"/>
  <c r="M30" i="19"/>
  <c r="Z10" i="19"/>
  <c r="H33" i="19"/>
  <c r="I33" i="19"/>
  <c r="J33" i="19"/>
  <c r="L33" i="19"/>
  <c r="G35" i="19"/>
  <c r="H35" i="19"/>
  <c r="I35" i="19"/>
  <c r="F31" i="19"/>
  <c r="F32" i="19"/>
  <c r="F33" i="19"/>
  <c r="F34" i="19"/>
  <c r="F35" i="19"/>
  <c r="F30" i="19"/>
  <c r="Z9" i="19" l="1"/>
  <c r="Y24" i="19"/>
  <c r="V24" i="19"/>
  <c r="U24" i="19"/>
  <c r="T24" i="19"/>
  <c r="S24" i="19"/>
  <c r="R24" i="19"/>
  <c r="Q24" i="19"/>
  <c r="P24" i="19"/>
  <c r="O24" i="19"/>
  <c r="X24" i="19"/>
  <c r="W24" i="19"/>
  <c r="L23" i="19"/>
  <c r="L22" i="19"/>
  <c r="L20" i="19"/>
  <c r="L19" i="19"/>
  <c r="L18" i="19"/>
  <c r="L14" i="19"/>
  <c r="L11" i="19"/>
  <c r="L31" i="19" l="1"/>
  <c r="L17" i="19"/>
  <c r="AA24" i="19"/>
  <c r="Y23" i="19"/>
  <c r="L34" i="19"/>
  <c r="N24" i="19"/>
  <c r="Q26" i="20" s="1"/>
  <c r="L10" i="19"/>
  <c r="L3" i="19" s="1"/>
  <c r="Q40" i="20" l="1"/>
  <c r="P30" i="24"/>
  <c r="P37" i="24" s="1"/>
  <c r="L30" i="19"/>
  <c r="Y10" i="19"/>
  <c r="L15" i="19"/>
  <c r="P48" i="24" l="1"/>
  <c r="Y15" i="19"/>
  <c r="L35" i="19"/>
  <c r="L12" i="19"/>
  <c r="L4" i="19" l="1"/>
  <c r="L9" i="19"/>
  <c r="L32" i="19"/>
  <c r="K23" i="19"/>
  <c r="K22" i="19"/>
  <c r="K20" i="19"/>
  <c r="K19" i="19"/>
  <c r="K18" i="19"/>
  <c r="K15" i="19"/>
  <c r="X15" i="19" s="1"/>
  <c r="K14" i="19"/>
  <c r="X14" i="19" s="1"/>
  <c r="K13" i="19"/>
  <c r="K12" i="19"/>
  <c r="X12" i="19" s="1"/>
  <c r="K11" i="19"/>
  <c r="X11" i="19" s="1"/>
  <c r="K10" i="19"/>
  <c r="K3" i="19" l="1"/>
  <c r="K5" i="19"/>
  <c r="K4" i="19"/>
  <c r="K34" i="19"/>
  <c r="K30" i="19"/>
  <c r="K31" i="19"/>
  <c r="X23" i="19"/>
  <c r="K35" i="19"/>
  <c r="X13" i="19"/>
  <c r="K33" i="19"/>
  <c r="K32" i="19"/>
  <c r="K9" i="19"/>
  <c r="K17" i="19"/>
  <c r="X10" i="19"/>
  <c r="X9" i="19" l="1"/>
  <c r="S19" i="19"/>
  <c r="S20" i="19"/>
  <c r="O21" i="19"/>
  <c r="P21" i="19"/>
  <c r="Q21" i="19"/>
  <c r="R21" i="19"/>
  <c r="S21" i="19"/>
  <c r="T21" i="19"/>
  <c r="U21" i="19"/>
  <c r="V21" i="19"/>
  <c r="W21" i="19"/>
  <c r="O22" i="19"/>
  <c r="P22" i="19"/>
  <c r="Q22" i="19"/>
  <c r="R22" i="19"/>
  <c r="S22" i="19"/>
  <c r="O23" i="19"/>
  <c r="P23" i="19"/>
  <c r="Q23" i="19"/>
  <c r="R23" i="19"/>
  <c r="S23" i="19"/>
  <c r="T23" i="19"/>
  <c r="U23" i="19"/>
  <c r="V23" i="19"/>
  <c r="S10" i="19"/>
  <c r="Q10" i="19"/>
  <c r="Q11" i="19"/>
  <c r="S11" i="19"/>
  <c r="Q12" i="19"/>
  <c r="S12" i="19"/>
  <c r="Q13" i="19"/>
  <c r="R13" i="19"/>
  <c r="S13" i="19"/>
  <c r="U13" i="19"/>
  <c r="V13" i="19"/>
  <c r="W13" i="19"/>
  <c r="Q14" i="19"/>
  <c r="R14" i="19"/>
  <c r="S14" i="19"/>
  <c r="Q15" i="19"/>
  <c r="R15" i="19"/>
  <c r="S15" i="19"/>
  <c r="T15" i="19"/>
  <c r="U15" i="19"/>
  <c r="V15" i="19"/>
  <c r="P13" i="19"/>
  <c r="P14" i="19"/>
  <c r="P15" i="19"/>
  <c r="O11" i="19"/>
  <c r="O12" i="19"/>
  <c r="O13" i="19"/>
  <c r="O14" i="19"/>
  <c r="O15" i="19"/>
  <c r="O10" i="19"/>
  <c r="U11" i="19"/>
  <c r="AA21" i="19" l="1"/>
  <c r="F17" i="19"/>
  <c r="B9" i="19"/>
  <c r="D9" i="19"/>
  <c r="F9" i="19"/>
  <c r="J15" i="19" l="1"/>
  <c r="J23" i="19"/>
  <c r="J22" i="19"/>
  <c r="J20" i="19"/>
  <c r="J19" i="19"/>
  <c r="J18" i="19"/>
  <c r="J14" i="19"/>
  <c r="W14" i="19" s="1"/>
  <c r="J12" i="19"/>
  <c r="W12" i="19" s="1"/>
  <c r="J11" i="19"/>
  <c r="W11" i="19" s="1"/>
  <c r="J10" i="19"/>
  <c r="W10" i="19" s="1"/>
  <c r="J3" i="19" l="1"/>
  <c r="J35" i="19"/>
  <c r="J5" i="19"/>
  <c r="J4" i="19"/>
  <c r="J30" i="19"/>
  <c r="W20" i="19"/>
  <c r="J32" i="19"/>
  <c r="W22" i="19"/>
  <c r="J34" i="19"/>
  <c r="W19" i="19"/>
  <c r="J31" i="19"/>
  <c r="N23" i="19"/>
  <c r="W23" i="19"/>
  <c r="AA23" i="19" s="1"/>
  <c r="N15" i="19"/>
  <c r="W15" i="19"/>
  <c r="AA15" i="19" s="1"/>
  <c r="J17" i="19"/>
  <c r="J9" i="19"/>
  <c r="I22" i="19"/>
  <c r="I20" i="19"/>
  <c r="I19" i="19"/>
  <c r="I18" i="19"/>
  <c r="I14" i="19"/>
  <c r="V14" i="19" s="1"/>
  <c r="I12" i="19"/>
  <c r="V12" i="19" s="1"/>
  <c r="I11" i="19"/>
  <c r="V11" i="19" s="1"/>
  <c r="I10" i="19"/>
  <c r="V10" i="19" s="1"/>
  <c r="Q15" i="20" l="1"/>
  <c r="Q25" i="20"/>
  <c r="N35" i="19"/>
  <c r="I4" i="19"/>
  <c r="I3" i="19"/>
  <c r="I30" i="19"/>
  <c r="V19" i="19"/>
  <c r="I31" i="19"/>
  <c r="V20" i="19"/>
  <c r="I32" i="19"/>
  <c r="V22" i="19"/>
  <c r="I34" i="19"/>
  <c r="N5" i="19"/>
  <c r="I17" i="19"/>
  <c r="I9" i="19"/>
  <c r="Q39" i="20" l="1"/>
  <c r="P29" i="24"/>
  <c r="H22" i="19"/>
  <c r="H20" i="19"/>
  <c r="H4" i="19" s="1"/>
  <c r="H19" i="19"/>
  <c r="H18" i="19"/>
  <c r="H3" i="19" s="1"/>
  <c r="U19" i="19" l="1"/>
  <c r="H31" i="19"/>
  <c r="U20" i="19"/>
  <c r="U22" i="19"/>
  <c r="H17" i="19"/>
  <c r="T14" i="19" l="1"/>
  <c r="G22" i="19"/>
  <c r="G34" i="19" s="1"/>
  <c r="G20" i="19"/>
  <c r="G19" i="19"/>
  <c r="G18" i="19"/>
  <c r="X22" i="19"/>
  <c r="Y22" i="19"/>
  <c r="Z22" i="19"/>
  <c r="O9" i="19"/>
  <c r="Q9" i="19"/>
  <c r="S9" i="19"/>
  <c r="Y14" i="19"/>
  <c r="T12" i="19"/>
  <c r="T11" i="19"/>
  <c r="T10" i="19"/>
  <c r="G32" i="19" l="1"/>
  <c r="G4" i="19"/>
  <c r="G3" i="19"/>
  <c r="T20" i="19"/>
  <c r="T13" i="19"/>
  <c r="AA13" i="19" s="1"/>
  <c r="AA5" i="19" s="1"/>
  <c r="G33" i="19"/>
  <c r="G30" i="19"/>
  <c r="T19" i="19"/>
  <c r="G31" i="19"/>
  <c r="N22" i="19"/>
  <c r="T22" i="19"/>
  <c r="AA22" i="19" s="1"/>
  <c r="G9" i="19"/>
  <c r="G17" i="19"/>
  <c r="E20" i="19"/>
  <c r="E19" i="19"/>
  <c r="E11" i="19"/>
  <c r="R11" i="19" s="1"/>
  <c r="E12" i="19"/>
  <c r="R12" i="19" s="1"/>
  <c r="E10" i="19"/>
  <c r="E3" i="19" s="1"/>
  <c r="E4" i="19" l="1"/>
  <c r="Q24" i="20"/>
  <c r="P28" i="24" s="1"/>
  <c r="T9" i="19"/>
  <c r="E31" i="19"/>
  <c r="R10" i="19"/>
  <c r="E30" i="19"/>
  <c r="R20" i="19"/>
  <c r="E32" i="19"/>
  <c r="E17" i="19"/>
  <c r="R19" i="19"/>
  <c r="E9" i="19"/>
  <c r="Y5" i="19"/>
  <c r="X5" i="19"/>
  <c r="W5" i="19"/>
  <c r="V5" i="19"/>
  <c r="U5" i="19"/>
  <c r="T5" i="19"/>
  <c r="S5" i="19"/>
  <c r="R5" i="19"/>
  <c r="Q5" i="19"/>
  <c r="P5" i="19"/>
  <c r="O5" i="19"/>
  <c r="D20" i="19" l="1"/>
  <c r="D4" i="19" s="1"/>
  <c r="D19" i="19"/>
  <c r="D18" i="19"/>
  <c r="D30" i="19" l="1"/>
  <c r="D3" i="19"/>
  <c r="Q19" i="19"/>
  <c r="D31" i="19"/>
  <c r="Q20" i="19"/>
  <c r="D32" i="19"/>
  <c r="D17" i="19"/>
  <c r="C20" i="19"/>
  <c r="C19" i="19"/>
  <c r="C18" i="19"/>
  <c r="C12" i="19"/>
  <c r="C11" i="19"/>
  <c r="C10" i="19"/>
  <c r="C4" i="19" l="1"/>
  <c r="C3" i="19"/>
  <c r="C17" i="19"/>
  <c r="C30" i="19"/>
  <c r="P20" i="19"/>
  <c r="C32" i="19"/>
  <c r="P19" i="19"/>
  <c r="C31" i="19"/>
  <c r="P12" i="19"/>
  <c r="P11" i="19"/>
  <c r="N11" i="19"/>
  <c r="C9" i="19"/>
  <c r="P10" i="19"/>
  <c r="T18" i="19"/>
  <c r="T17" i="19" s="1"/>
  <c r="T3" i="19" l="1"/>
  <c r="P4" i="19"/>
  <c r="B20" i="19"/>
  <c r="B19" i="19"/>
  <c r="B18" i="19"/>
  <c r="B30" i="19" s="1"/>
  <c r="U18" i="19"/>
  <c r="U17" i="19" s="1"/>
  <c r="Z20" i="19"/>
  <c r="Y20" i="19"/>
  <c r="X20" i="19"/>
  <c r="W4" i="19"/>
  <c r="Z19" i="19"/>
  <c r="Y19" i="19"/>
  <c r="Z18" i="19"/>
  <c r="S18" i="19"/>
  <c r="S17" i="19" s="1"/>
  <c r="R18" i="19"/>
  <c r="R17" i="19" s="1"/>
  <c r="Q18" i="19"/>
  <c r="Q17" i="19" s="1"/>
  <c r="Y18" i="19"/>
  <c r="X18" i="19"/>
  <c r="W18" i="19"/>
  <c r="W17" i="19" s="1"/>
  <c r="V18" i="19"/>
  <c r="V17" i="19" s="1"/>
  <c r="Y12" i="19"/>
  <c r="Y11" i="19"/>
  <c r="O20" i="19" l="1"/>
  <c r="AA20" i="19" s="1"/>
  <c r="N20" i="19"/>
  <c r="B4" i="19"/>
  <c r="B32" i="19"/>
  <c r="O19" i="19"/>
  <c r="B31" i="19"/>
  <c r="B3" i="19"/>
  <c r="Z17" i="19"/>
  <c r="AA11" i="19"/>
  <c r="Y9" i="19"/>
  <c r="Y17" i="19"/>
  <c r="Y4" i="19"/>
  <c r="Y3" i="19"/>
  <c r="B17" i="19"/>
  <c r="N17" i="19" s="1"/>
  <c r="V9" i="19"/>
  <c r="V4" i="19"/>
  <c r="V3" i="19"/>
  <c r="O18" i="19"/>
  <c r="N18" i="19"/>
  <c r="T4" i="19"/>
  <c r="W3" i="19"/>
  <c r="X4" i="19"/>
  <c r="S4" i="19"/>
  <c r="S3" i="19"/>
  <c r="P9" i="19"/>
  <c r="N19" i="19"/>
  <c r="N31" i="19" s="1"/>
  <c r="P18" i="19"/>
  <c r="P17" i="19" s="1"/>
  <c r="N21" i="19"/>
  <c r="N13" i="19"/>
  <c r="W9" i="19"/>
  <c r="X19" i="19"/>
  <c r="X17" i="19" s="1"/>
  <c r="N33" i="19" l="1"/>
  <c r="O17" i="19"/>
  <c r="AA17" i="19" s="1"/>
  <c r="AB17" i="19" s="1"/>
  <c r="AA18" i="19"/>
  <c r="AA19" i="19"/>
  <c r="O3" i="19"/>
  <c r="X3" i="19"/>
  <c r="P3" i="19"/>
  <c r="Z13" i="11"/>
  <c r="Z17" i="11"/>
  <c r="Z16" i="11"/>
  <c r="Z15" i="11"/>
  <c r="Z11" i="11"/>
  <c r="Z10" i="11"/>
  <c r="Z18" i="11"/>
  <c r="Z12" i="11"/>
  <c r="Y18" i="11" l="1"/>
  <c r="X18" i="11"/>
  <c r="Y13" i="11"/>
  <c r="X13" i="11"/>
  <c r="L17" i="11"/>
  <c r="L16" i="11"/>
  <c r="L15" i="11"/>
  <c r="L12" i="11"/>
  <c r="L11" i="11"/>
  <c r="L10" i="11"/>
  <c r="Y16" i="11" l="1"/>
  <c r="Y17" i="11"/>
  <c r="Y15" i="11"/>
  <c r="Y11" i="11"/>
  <c r="Y12" i="11"/>
  <c r="Y10" i="11"/>
  <c r="K17" i="11" l="1"/>
  <c r="X17" i="11" s="1"/>
  <c r="K16" i="11"/>
  <c r="X16" i="11" s="1"/>
  <c r="K15" i="11"/>
  <c r="X15" i="11" s="1"/>
  <c r="K12" i="11"/>
  <c r="X12" i="11" s="1"/>
  <c r="K11" i="11"/>
  <c r="X11" i="11" s="1"/>
  <c r="K10" i="11"/>
  <c r="X10" i="11" s="1"/>
  <c r="V13" i="11" l="1"/>
  <c r="V18" i="11"/>
  <c r="J10" i="11"/>
  <c r="W10" i="11" s="1"/>
  <c r="J18" i="11"/>
  <c r="W18" i="11" s="1"/>
  <c r="J17" i="11"/>
  <c r="W17" i="11" s="1"/>
  <c r="J16" i="11"/>
  <c r="W16" i="11" s="1"/>
  <c r="J15" i="11"/>
  <c r="W15" i="11" s="1"/>
  <c r="W14" i="11" l="1"/>
  <c r="J13" i="11" l="1"/>
  <c r="J12" i="11"/>
  <c r="J11" i="11"/>
  <c r="W11" i="11" s="1"/>
  <c r="W12" i="11" l="1"/>
  <c r="W13" i="11"/>
  <c r="J9" i="11"/>
  <c r="K9" i="11"/>
  <c r="L9" i="11"/>
  <c r="M9" i="11"/>
  <c r="F9" i="11"/>
  <c r="G9" i="11"/>
  <c r="H9" i="11"/>
  <c r="W9" i="11" l="1"/>
  <c r="I17" i="11"/>
  <c r="N17" i="11" s="1"/>
  <c r="Q22" i="20" s="1"/>
  <c r="P26" i="24" s="1"/>
  <c r="I16" i="11"/>
  <c r="I15" i="11"/>
  <c r="I12" i="11"/>
  <c r="I11" i="11"/>
  <c r="I10" i="11"/>
  <c r="V10" i="11" s="1"/>
  <c r="V16" i="11" l="1"/>
  <c r="V17" i="11"/>
  <c r="I9" i="11"/>
  <c r="V11" i="11"/>
  <c r="I14" i="11"/>
  <c r="V12" i="11"/>
  <c r="V15" i="11"/>
  <c r="U15" i="11"/>
  <c r="T15" i="11"/>
  <c r="U18" i="11" l="1"/>
  <c r="U11" i="11"/>
  <c r="U12" i="11"/>
  <c r="U13" i="11"/>
  <c r="U10" i="11"/>
  <c r="T10" i="11"/>
  <c r="T17" i="11"/>
  <c r="J14" i="11"/>
  <c r="K14" i="11"/>
  <c r="L14" i="11"/>
  <c r="M14" i="11"/>
  <c r="U17" i="11"/>
  <c r="U16" i="11"/>
  <c r="H14" i="11" l="1"/>
  <c r="Y14" i="11" l="1"/>
  <c r="Z14" i="11"/>
  <c r="Y9" i="11"/>
  <c r="Z9" i="11"/>
  <c r="T16" i="11" l="1"/>
  <c r="T18" i="11"/>
  <c r="T11" i="11"/>
  <c r="T12" i="11"/>
  <c r="T13" i="11"/>
  <c r="G14" i="11"/>
  <c r="T14" i="11" l="1"/>
  <c r="F14" i="11"/>
  <c r="S17" i="11" l="1"/>
  <c r="S16" i="11"/>
  <c r="S15" i="11"/>
  <c r="S11" i="11"/>
  <c r="S12" i="11"/>
  <c r="S10" i="11"/>
  <c r="S14" i="11" l="1"/>
  <c r="R16" i="11"/>
  <c r="R17" i="11"/>
  <c r="R18" i="11"/>
  <c r="R15" i="11"/>
  <c r="E14" i="11"/>
  <c r="E13" i="11"/>
  <c r="R13" i="11" s="1"/>
  <c r="E12" i="11"/>
  <c r="N12" i="11" s="1"/>
  <c r="E11" i="11"/>
  <c r="R11" i="11" s="1"/>
  <c r="E10" i="11"/>
  <c r="R12" i="11" l="1"/>
  <c r="E9" i="11"/>
  <c r="R10" i="11"/>
  <c r="R14" i="11"/>
  <c r="O15" i="11"/>
  <c r="O11" i="11"/>
  <c r="P13" i="11"/>
  <c r="P10" i="11"/>
  <c r="Q17" i="11"/>
  <c r="AA17" i="11" s="1"/>
  <c r="Q15" i="11"/>
  <c r="Q12" i="11"/>
  <c r="Q10" i="11"/>
  <c r="AA12" i="11" l="1"/>
  <c r="B10" i="11"/>
  <c r="C11" i="11"/>
  <c r="C18" i="11"/>
  <c r="D11" i="11"/>
  <c r="D16" i="11"/>
  <c r="C16" i="11"/>
  <c r="C15" i="11"/>
  <c r="D13" i="11"/>
  <c r="B16" i="11"/>
  <c r="D18" i="11"/>
  <c r="N16" i="11" l="1"/>
  <c r="Q21" i="20" s="1"/>
  <c r="P25" i="24" s="1"/>
  <c r="O27" i="30" s="1"/>
  <c r="N15" i="11"/>
  <c r="Q20" i="20" s="1"/>
  <c r="P24" i="24" s="1"/>
  <c r="D9" i="11"/>
  <c r="C9" i="11"/>
  <c r="N11" i="11"/>
  <c r="O9" i="30" s="1"/>
  <c r="N18" i="11"/>
  <c r="Q23" i="20" s="1"/>
  <c r="P27" i="24" s="1"/>
  <c r="N13" i="11"/>
  <c r="O10" i="11"/>
  <c r="O9" i="11" s="1"/>
  <c r="B9" i="11"/>
  <c r="N10" i="11"/>
  <c r="X14" i="11"/>
  <c r="X9" i="11"/>
  <c r="V14" i="11"/>
  <c r="V9" i="11"/>
  <c r="U14" i="11"/>
  <c r="U9" i="11"/>
  <c r="N4" i="11"/>
  <c r="Q11" i="11"/>
  <c r="P16" i="11"/>
  <c r="Q18" i="11"/>
  <c r="P15" i="11"/>
  <c r="AA15" i="11" s="1"/>
  <c r="C14" i="11"/>
  <c r="P11" i="11"/>
  <c r="Q16" i="11"/>
  <c r="D14" i="11"/>
  <c r="O16" i="11"/>
  <c r="B14" i="11"/>
  <c r="Q13" i="11"/>
  <c r="AA13" i="11" s="1"/>
  <c r="P18" i="11"/>
  <c r="S9" i="11"/>
  <c r="R9" i="11"/>
  <c r="T9" i="11"/>
  <c r="AA4" i="11"/>
  <c r="O11" i="27" l="1"/>
  <c r="O23" i="27"/>
  <c r="AA18" i="11"/>
  <c r="P23" i="24"/>
  <c r="Q11" i="20"/>
  <c r="AE11" i="20" s="1"/>
  <c r="P11" i="24"/>
  <c r="Q13" i="20"/>
  <c r="Q37" i="20" s="1"/>
  <c r="P13" i="24"/>
  <c r="P45" i="24" s="1"/>
  <c r="AA16" i="11"/>
  <c r="Q19" i="20"/>
  <c r="N3" i="11"/>
  <c r="N14" i="11"/>
  <c r="AA11" i="11"/>
  <c r="AA10" i="11"/>
  <c r="AA3" i="11" s="1"/>
  <c r="N9" i="11"/>
  <c r="N5" i="11"/>
  <c r="Q14" i="11"/>
  <c r="P9" i="11"/>
  <c r="AA5" i="11"/>
  <c r="O14" i="11"/>
  <c r="P14" i="11"/>
  <c r="Q9" i="11"/>
  <c r="Q35" i="20" l="1"/>
  <c r="P43" i="24"/>
  <c r="P38" i="24"/>
  <c r="AA9" i="11"/>
  <c r="AB9" i="11" s="1"/>
  <c r="AA14" i="11"/>
  <c r="AB14" i="11" s="1"/>
  <c r="O4" i="19" l="1"/>
  <c r="Q4" i="19" l="1"/>
  <c r="Q3" i="19"/>
  <c r="R9" i="19" l="1"/>
  <c r="R4" i="19"/>
  <c r="R3" i="19" l="1"/>
  <c r="N12" i="19" l="1"/>
  <c r="N32" i="19" s="1"/>
  <c r="H32" i="19"/>
  <c r="U12" i="19"/>
  <c r="N4" i="19" l="1"/>
  <c r="AA12" i="19"/>
  <c r="U4" i="19"/>
  <c r="AA4" i="19" l="1"/>
  <c r="U14" i="19" l="1"/>
  <c r="AA14" i="19" s="1"/>
  <c r="H34" i="19"/>
  <c r="N14" i="19"/>
  <c r="Q14" i="20" l="1"/>
  <c r="Q38" i="20" s="1"/>
  <c r="P14" i="24"/>
  <c r="O10" i="30" s="1"/>
  <c r="Q9" i="31" s="1"/>
  <c r="Q9" i="32" s="1"/>
  <c r="R9" i="33" s="1"/>
  <c r="N34" i="19"/>
  <c r="H30" i="19"/>
  <c r="U10" i="19"/>
  <c r="H9" i="19"/>
  <c r="N9" i="19" s="1"/>
  <c r="N10" i="19"/>
  <c r="O13" i="27" l="1"/>
  <c r="P46" i="24"/>
  <c r="N3" i="19"/>
  <c r="P10" i="24"/>
  <c r="P42" i="24" s="1"/>
  <c r="N30" i="19"/>
  <c r="AA10" i="19"/>
  <c r="U3" i="19"/>
  <c r="U9" i="19"/>
  <c r="AA3" i="19" l="1"/>
  <c r="AA9" i="19"/>
  <c r="AB9" i="19" s="1"/>
  <c r="D36" i="20" l="1"/>
  <c r="D4" i="20"/>
  <c r="P12" i="20"/>
  <c r="Q12" i="20" l="1"/>
  <c r="Q36" i="20" s="1"/>
  <c r="P36" i="20"/>
  <c r="D34" i="20"/>
  <c r="D3" i="20"/>
  <c r="Q10" i="20" l="1"/>
  <c r="Q9" i="20" s="1"/>
  <c r="P34" i="20"/>
  <c r="AE12" i="20"/>
  <c r="Q34" i="20" l="1"/>
  <c r="AE10" i="20"/>
  <c r="AC18" i="20" l="1"/>
  <c r="O9" i="20"/>
  <c r="P18" i="20"/>
  <c r="P18" i="24" s="1"/>
  <c r="O16" i="27" l="1"/>
  <c r="O13" i="30"/>
  <c r="P50" i="24"/>
  <c r="AD18" i="20"/>
  <c r="AD9" i="20" s="1"/>
  <c r="AC9" i="20"/>
  <c r="P9" i="20"/>
  <c r="P32" i="20" s="1"/>
  <c r="Q18" i="20"/>
  <c r="Q42" i="20" s="1"/>
  <c r="P42" i="20"/>
  <c r="AE9" i="20" l="1"/>
  <c r="AG9" i="20" l="1"/>
  <c r="T44" i="24" l="1"/>
  <c r="F9" i="24" l="1"/>
  <c r="T12" i="24"/>
  <c r="O12" i="24"/>
  <c r="AC12" i="24" l="1"/>
  <c r="O44" i="24"/>
  <c r="P12" i="24"/>
  <c r="O12" i="27" s="1"/>
  <c r="T9" i="24"/>
  <c r="P44" i="24" l="1"/>
  <c r="AC44" i="24"/>
  <c r="N19" i="24" l="1"/>
  <c r="N15" i="24" l="1"/>
  <c r="AB19" i="24"/>
  <c r="AC19" i="24" s="1"/>
  <c r="AC51" i="24" s="1"/>
  <c r="O19" i="24"/>
  <c r="N51" i="24"/>
  <c r="AB15" i="24" l="1"/>
  <c r="N9" i="24"/>
  <c r="O15" i="24"/>
  <c r="N47" i="24"/>
  <c r="P19" i="24"/>
  <c r="O51" i="24"/>
  <c r="O47" i="24" l="1"/>
  <c r="P15" i="24"/>
  <c r="O9" i="24"/>
  <c r="P51" i="24"/>
  <c r="AB9" i="24"/>
  <c r="AC15" i="24"/>
  <c r="AD11" i="24" l="1"/>
  <c r="AD12" i="24" s="1"/>
  <c r="AF9" i="24"/>
  <c r="AC47" i="24"/>
  <c r="AC9" i="24"/>
  <c r="AD9" i="24" s="1"/>
  <c r="P47" i="24"/>
  <c r="P9" i="24"/>
  <c r="B29" i="27" l="1"/>
  <c r="B28" i="27"/>
  <c r="N28" i="27" s="1"/>
  <c r="P28" i="27" l="1"/>
  <c r="AB28" i="27" s="1"/>
  <c r="P29" i="27"/>
  <c r="N29" i="27"/>
  <c r="O32" i="30" s="1"/>
  <c r="B25" i="27"/>
  <c r="B24" i="27"/>
  <c r="O29" i="27" l="1"/>
  <c r="AB29" i="27"/>
  <c r="P25" i="27"/>
  <c r="AB25" i="27" s="1"/>
  <c r="P24" i="27"/>
  <c r="B26" i="27"/>
  <c r="B22" i="27" s="1"/>
  <c r="O28" i="27"/>
  <c r="O31" i="30" s="1"/>
  <c r="B17" i="27"/>
  <c r="N17" i="27" s="1"/>
  <c r="N25" i="27"/>
  <c r="N24" i="27"/>
  <c r="O14" i="30" l="1"/>
  <c r="O50" i="30" s="1"/>
  <c r="AB24" i="27"/>
  <c r="P17" i="27"/>
  <c r="AB17" i="27" s="1"/>
  <c r="P26" i="27"/>
  <c r="P22" i="27" s="1"/>
  <c r="O17" i="27"/>
  <c r="B42" i="27"/>
  <c r="B14" i="27"/>
  <c r="O25" i="27"/>
  <c r="O28" i="30" s="1"/>
  <c r="Q28" i="31" s="1"/>
  <c r="Q30" i="32" s="1"/>
  <c r="R30" i="33" s="1"/>
  <c r="N26" i="27"/>
  <c r="O29" i="30" s="1"/>
  <c r="Q29" i="31" s="1"/>
  <c r="Q31" i="32" s="1"/>
  <c r="R31" i="33" s="1"/>
  <c r="O24" i="27"/>
  <c r="R29" i="33" l="1"/>
  <c r="Q29" i="32"/>
  <c r="Q27" i="31"/>
  <c r="O26" i="30"/>
  <c r="N48" i="27"/>
  <c r="N22" i="27"/>
  <c r="N14" i="27"/>
  <c r="O11" i="30" s="1"/>
  <c r="B10" i="27"/>
  <c r="AB42" i="27"/>
  <c r="P42" i="27"/>
  <c r="AB26" i="27"/>
  <c r="AB22" i="27" s="1"/>
  <c r="AC22" i="27" s="1"/>
  <c r="N42" i="27"/>
  <c r="B38" i="27"/>
  <c r="P14" i="27"/>
  <c r="P10" i="27" s="1"/>
  <c r="O42" i="27"/>
  <c r="O26" i="27"/>
  <c r="O8" i="30" l="1"/>
  <c r="Q10" i="31"/>
  <c r="N49" i="27"/>
  <c r="N10" i="27"/>
  <c r="O22" i="27"/>
  <c r="AB14" i="27"/>
  <c r="N38" i="27"/>
  <c r="P38" i="27"/>
  <c r="O14" i="27"/>
  <c r="O10" i="27" s="1"/>
  <c r="Q8" i="31" l="1"/>
  <c r="Q10" i="32"/>
  <c r="R10" i="33" s="1"/>
  <c r="R8" i="33" s="1"/>
  <c r="Q50" i="31"/>
  <c r="O48" i="30"/>
  <c r="AB10" i="27"/>
  <c r="AC10" i="27" s="1"/>
  <c r="O38" i="27"/>
  <c r="AB38" i="27"/>
  <c r="R57" i="33" l="1"/>
  <c r="Q8" i="32"/>
  <c r="Q52"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31" authorId="0" shapeId="0" xr:uid="{00000000-0006-0000-0100-000001000000}">
      <text>
        <r>
          <rPr>
            <b/>
            <sz val="9"/>
            <color indexed="81"/>
            <rFont val="Tahoma"/>
            <family val="2"/>
          </rPr>
          <t>admin:</t>
        </r>
        <r>
          <rPr>
            <sz val="9"/>
            <color indexed="81"/>
            <rFont val="Tahoma"/>
            <family val="2"/>
          </rPr>
          <t xml:space="preserve">
Remaining 642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25" authorId="0" shapeId="0" xr:uid="{00000000-0006-0000-0200-000001000000}">
      <text>
        <r>
          <rPr>
            <b/>
            <sz val="9"/>
            <color indexed="81"/>
            <rFont val="Tahoma"/>
            <family val="2"/>
          </rPr>
          <t>admin:</t>
        </r>
        <r>
          <rPr>
            <sz val="9"/>
            <color indexed="81"/>
            <rFont val="Tahoma"/>
            <family val="2"/>
          </rPr>
          <t xml:space="preserve">
Remaining 642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13" authorId="0" shapeId="0" xr:uid="{00000000-0006-0000-0300-000001000000}">
      <text>
        <r>
          <rPr>
            <b/>
            <sz val="9"/>
            <color indexed="81"/>
            <rFont val="Tahoma"/>
            <family val="2"/>
          </rPr>
          <t>admin:</t>
        </r>
        <r>
          <rPr>
            <sz val="9"/>
            <color indexed="81"/>
            <rFont val="Tahoma"/>
            <family val="2"/>
          </rPr>
          <t xml:space="preserve">
Accumulative Completed Contract Amount</t>
        </r>
      </text>
    </comment>
    <comment ref="E14" authorId="0" shapeId="0" xr:uid="{00000000-0006-0000-0300-000002000000}">
      <text>
        <r>
          <rPr>
            <b/>
            <sz val="9"/>
            <color indexed="81"/>
            <rFont val="Tahoma"/>
            <family val="2"/>
          </rPr>
          <t>admin:</t>
        </r>
        <r>
          <rPr>
            <sz val="9"/>
            <color indexed="81"/>
            <rFont val="Tahoma"/>
            <family val="2"/>
          </rPr>
          <t xml:space="preserve">
Liquidation contract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N9" authorId="0" shapeId="0" xr:uid="{00000000-0006-0000-0400-000001000000}">
      <text>
        <r>
          <rPr>
            <b/>
            <sz val="9"/>
            <color indexed="81"/>
            <rFont val="Tahoma"/>
            <family val="2"/>
          </rPr>
          <t>admin:</t>
        </r>
        <r>
          <rPr>
            <sz val="9"/>
            <color indexed="81"/>
            <rFont val="Tahoma"/>
            <family val="2"/>
          </rPr>
          <t xml:space="preserve">
Included the renting revenue of garden house</t>
        </r>
      </text>
    </comment>
    <comment ref="J23" authorId="0" shapeId="0" xr:uid="{00000000-0006-0000-0400-000002000000}">
      <text>
        <r>
          <rPr>
            <b/>
            <sz val="9"/>
            <color indexed="81"/>
            <rFont val="Tahoma"/>
            <family val="2"/>
          </rPr>
          <t>admin:</t>
        </r>
        <r>
          <rPr>
            <sz val="9"/>
            <color indexed="81"/>
            <rFont val="Tahoma"/>
            <family val="2"/>
          </rPr>
          <t xml:space="preserve">
Settlement PC
</t>
        </r>
      </text>
    </comment>
    <comment ref="N33" authorId="0" shapeId="0" xr:uid="{00000000-0006-0000-0400-000003000000}">
      <text>
        <r>
          <rPr>
            <b/>
            <sz val="9"/>
            <color indexed="81"/>
            <rFont val="Tahoma"/>
            <family val="2"/>
          </rPr>
          <t>admin:</t>
        </r>
        <r>
          <rPr>
            <sz val="9"/>
            <color indexed="81"/>
            <rFont val="Tahoma"/>
            <family val="2"/>
          </rPr>
          <t xml:space="preserve">
The share service allocation of Q3.2025</t>
        </r>
      </text>
    </comment>
    <comment ref="N45" authorId="0" shapeId="0" xr:uid="{00000000-0006-0000-0400-000004000000}">
      <text>
        <r>
          <rPr>
            <b/>
            <sz val="9"/>
            <color indexed="81"/>
            <rFont val="Tahoma"/>
            <family val="2"/>
          </rPr>
          <t>admin:</t>
        </r>
        <r>
          <rPr>
            <sz val="9"/>
            <color indexed="81"/>
            <rFont val="Tahoma"/>
            <family val="2"/>
          </rPr>
          <t xml:space="preserve">
The share service allocation of Q3.2025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M9" authorId="0" shapeId="0" xr:uid="{00000000-0006-0000-0500-000001000000}">
      <text>
        <r>
          <rPr>
            <b/>
            <sz val="9"/>
            <color indexed="81"/>
            <rFont val="Tahoma"/>
            <family val="2"/>
          </rPr>
          <t>admin:</t>
        </r>
        <r>
          <rPr>
            <sz val="9"/>
            <color indexed="81"/>
            <rFont val="Tahoma"/>
            <family val="2"/>
          </rPr>
          <t xml:space="preserve">
Included the renting revenue of garden house</t>
        </r>
      </text>
    </comment>
    <comment ref="M33" authorId="0" shapeId="0" xr:uid="{00000000-0006-0000-0500-000002000000}">
      <text>
        <r>
          <rPr>
            <b/>
            <sz val="9"/>
            <color indexed="81"/>
            <rFont val="Tahoma"/>
            <family val="2"/>
          </rPr>
          <t>admin:</t>
        </r>
        <r>
          <rPr>
            <sz val="9"/>
            <color indexed="81"/>
            <rFont val="Tahoma"/>
            <family val="2"/>
          </rPr>
          <t xml:space="preserve">
The share service allocation of Q3.2025</t>
        </r>
      </text>
    </comment>
    <comment ref="E38" authorId="0" shapeId="0" xr:uid="{00000000-0006-0000-0500-000003000000}">
      <text>
        <r>
          <rPr>
            <b/>
            <sz val="9"/>
            <color indexed="81"/>
            <rFont val="Tahoma"/>
            <family val="2"/>
          </rPr>
          <t>admin:</t>
        </r>
        <r>
          <rPr>
            <sz val="9"/>
            <color indexed="81"/>
            <rFont val="Tahoma"/>
            <family val="2"/>
          </rPr>
          <t xml:space="preserve">
pay benefit to Lotte
</t>
        </r>
      </text>
    </comment>
    <comment ref="H45" authorId="0" shapeId="0" xr:uid="{00000000-0006-0000-0500-000004000000}">
      <text>
        <r>
          <rPr>
            <b/>
            <sz val="9"/>
            <color indexed="81"/>
            <rFont val="Tahoma"/>
            <family val="2"/>
          </rPr>
          <t>admin:</t>
        </r>
        <r>
          <rPr>
            <sz val="9"/>
            <color indexed="81"/>
            <rFont val="Tahoma"/>
            <family val="2"/>
          </rPr>
          <t xml:space="preserve">
TP service Q1.2025 allocation</t>
        </r>
      </text>
    </comment>
    <comment ref="M48" authorId="0" shapeId="0" xr:uid="{00000000-0006-0000-0500-000005000000}">
      <text>
        <r>
          <rPr>
            <b/>
            <sz val="9"/>
            <color indexed="81"/>
            <rFont val="Tahoma"/>
            <family val="2"/>
          </rPr>
          <t>admin:</t>
        </r>
        <r>
          <rPr>
            <sz val="9"/>
            <color indexed="81"/>
            <rFont val="Tahoma"/>
            <family val="2"/>
          </rPr>
          <t xml:space="preserve">
The share service allocation of Q3.2025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0" authorId="0" shapeId="0" xr:uid="{00000000-0006-0000-0600-000001000000}">
      <text>
        <r>
          <rPr>
            <b/>
            <sz val="9"/>
            <color indexed="81"/>
            <rFont val="Tahoma"/>
            <family val="2"/>
          </rPr>
          <t>admin:</t>
        </r>
        <r>
          <rPr>
            <sz val="9"/>
            <color indexed="81"/>
            <rFont val="Tahoma"/>
            <family val="2"/>
          </rPr>
          <t xml:space="preserve">
According to the Liquidation minutes dated 29 Apr
- 13th salary &amp; paid un-leave days of vienameses employees could not be claimed fully
- actual SOE is highier than 5%</t>
        </r>
      </text>
    </comment>
    <comment ref="L30" authorId="0" shapeId="0" xr:uid="{00000000-0006-0000-0600-000002000000}">
      <text>
        <r>
          <rPr>
            <b/>
            <sz val="9"/>
            <color indexed="81"/>
            <rFont val="Tahoma"/>
            <family val="2"/>
          </rPr>
          <t>admin:</t>
        </r>
        <r>
          <rPr>
            <sz val="9"/>
            <color indexed="81"/>
            <rFont val="Tahoma"/>
            <family val="2"/>
          </rPr>
          <t xml:space="preserve">
Adjust the DEC payment (TP)</t>
        </r>
      </text>
    </comment>
    <comment ref="H39" authorId="0" shapeId="0" xr:uid="{00000000-0006-0000-0600-000003000000}">
      <text>
        <r>
          <rPr>
            <b/>
            <sz val="9"/>
            <color indexed="81"/>
            <rFont val="Tahoma"/>
            <family val="2"/>
          </rPr>
          <t>admin:</t>
        </r>
        <r>
          <rPr>
            <sz val="9"/>
            <color indexed="81"/>
            <rFont val="Tahoma"/>
            <family val="2"/>
          </rPr>
          <t xml:space="preserve">
Repairing cost allowance</t>
        </r>
      </text>
    </comment>
    <comment ref="L39" authorId="0" shapeId="0" xr:uid="{00000000-0006-0000-0600-000004000000}">
      <text>
        <r>
          <rPr>
            <b/>
            <sz val="9"/>
            <color indexed="81"/>
            <rFont val="Tahoma"/>
            <family val="2"/>
          </rPr>
          <t>admin:</t>
        </r>
        <r>
          <rPr>
            <sz val="9"/>
            <color indexed="81"/>
            <rFont val="Tahoma"/>
            <family val="2"/>
          </rPr>
          <t xml:space="preserve">
Adjust the DEC payment (TP)
</t>
        </r>
      </text>
    </comment>
    <comment ref="L40" authorId="0" shapeId="0" xr:uid="{00000000-0006-0000-0600-000005000000}">
      <text>
        <r>
          <rPr>
            <b/>
            <sz val="9"/>
            <color indexed="81"/>
            <rFont val="Tahoma"/>
            <family val="2"/>
          </rPr>
          <t>admin:</t>
        </r>
        <r>
          <rPr>
            <sz val="9"/>
            <color indexed="81"/>
            <rFont val="Tahoma"/>
            <family val="2"/>
          </rPr>
          <t xml:space="preserve">
Adjust th DEC payment (TP)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author>
    <author>admin</author>
  </authors>
  <commentList>
    <comment ref="F14" authorId="0" shapeId="0" xr:uid="{00000000-0006-0000-0700-000001000000}">
      <text>
        <r>
          <rPr>
            <b/>
            <sz val="9"/>
            <color indexed="81"/>
            <rFont val="Tahoma"/>
            <family val="2"/>
          </rPr>
          <t>Admin:</t>
        </r>
        <r>
          <rPr>
            <sz val="9"/>
            <color indexed="81"/>
            <rFont val="Tahoma"/>
            <family val="2"/>
          </rPr>
          <t xml:space="preserve">
VE &amp; liquidation amount
</t>
        </r>
      </text>
    </comment>
    <comment ref="F32" authorId="0" shapeId="0" xr:uid="{00000000-0006-0000-0700-000002000000}">
      <text>
        <r>
          <rPr>
            <b/>
            <sz val="9"/>
            <color indexed="81"/>
            <rFont val="Tahoma"/>
            <family val="2"/>
          </rPr>
          <t>Admin:</t>
        </r>
        <r>
          <rPr>
            <sz val="9"/>
            <color indexed="81"/>
            <rFont val="Tahoma"/>
            <family val="2"/>
          </rPr>
          <t xml:space="preserve">
No expenses</t>
        </r>
      </text>
    </comment>
    <comment ref="L32" authorId="1" shapeId="0" xr:uid="{00000000-0006-0000-0700-000003000000}">
      <text>
        <r>
          <rPr>
            <b/>
            <sz val="9"/>
            <color indexed="81"/>
            <rFont val="Tahoma"/>
            <family val="2"/>
          </rPr>
          <t>admin:</t>
        </r>
        <r>
          <rPr>
            <sz val="9"/>
            <color indexed="81"/>
            <rFont val="Tahoma"/>
            <family val="2"/>
          </rPr>
          <t xml:space="preserve">
Included  provision</t>
        </r>
      </text>
    </comment>
    <comment ref="L50" authorId="1" shapeId="0" xr:uid="{00000000-0006-0000-0700-000004000000}">
      <text>
        <r>
          <rPr>
            <b/>
            <sz val="9"/>
            <color indexed="81"/>
            <rFont val="Tahoma"/>
            <family val="2"/>
          </rPr>
          <t>admin:</t>
        </r>
        <r>
          <rPr>
            <sz val="9"/>
            <color indexed="81"/>
            <rFont val="Tahoma"/>
            <family val="2"/>
          </rPr>
          <t xml:space="preserve">
Included provision of waranty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24" authorId="0" shapeId="0" xr:uid="{00000000-0006-0000-0800-000001000000}">
      <text>
        <r>
          <rPr>
            <b/>
            <sz val="9"/>
            <color indexed="81"/>
            <rFont val="Tahoma"/>
            <family val="2"/>
          </rPr>
          <t>admin:</t>
        </r>
        <r>
          <rPr>
            <sz val="9"/>
            <color indexed="81"/>
            <rFont val="Tahoma"/>
            <family val="2"/>
          </rPr>
          <t xml:space="preserve">
Adjust water fee of THT</t>
        </r>
      </text>
    </comment>
    <comment ref="L29" authorId="0" shapeId="0" xr:uid="{00000000-0006-0000-0800-000002000000}">
      <text>
        <r>
          <rPr>
            <b/>
            <sz val="9"/>
            <color indexed="81"/>
            <rFont val="Tahoma"/>
            <family val="2"/>
          </rPr>
          <t>admin:</t>
        </r>
        <r>
          <rPr>
            <sz val="9"/>
            <color indexed="81"/>
            <rFont val="Tahoma"/>
            <family val="2"/>
          </rPr>
          <t xml:space="preserve">
Included  provision</t>
        </r>
      </text>
    </comment>
    <comment ref="L42" authorId="0" shapeId="0" xr:uid="{00000000-0006-0000-0800-000003000000}">
      <text>
        <r>
          <rPr>
            <b/>
            <sz val="9"/>
            <color indexed="81"/>
            <rFont val="Tahoma"/>
            <family val="2"/>
          </rPr>
          <t>admin:</t>
        </r>
        <r>
          <rPr>
            <sz val="9"/>
            <color indexed="81"/>
            <rFont val="Tahoma"/>
            <family val="2"/>
          </rPr>
          <t xml:space="preserve">
Included provision of waranty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8" authorId="0" shapeId="0" xr:uid="{00000000-0006-0000-0900-000001000000}">
      <text>
        <r>
          <rPr>
            <b/>
            <sz val="9"/>
            <color indexed="81"/>
            <rFont val="Tahoma"/>
            <family val="2"/>
          </rPr>
          <t>admin:</t>
        </r>
        <r>
          <rPr>
            <sz val="9"/>
            <color indexed="81"/>
            <rFont val="Tahoma"/>
            <family val="2"/>
          </rPr>
          <t xml:space="preserve">
SOE actual &gt; SOE PC</t>
        </r>
      </text>
    </comment>
    <comment ref="R8" authorId="0" shapeId="0" xr:uid="{00000000-0006-0000-0900-000002000000}">
      <text>
        <r>
          <rPr>
            <b/>
            <sz val="9"/>
            <color indexed="81"/>
            <rFont val="Tahoma"/>
            <family val="2"/>
          </rPr>
          <t>admin:</t>
        </r>
        <r>
          <rPr>
            <sz val="9"/>
            <color indexed="81"/>
            <rFont val="Tahoma"/>
            <family val="2"/>
          </rPr>
          <t xml:space="preserve">
SOE actual &gt; SOE PC</t>
        </r>
      </text>
    </comment>
    <comment ref="B11" authorId="0" shapeId="0" xr:uid="{00000000-0006-0000-0900-000003000000}">
      <text>
        <r>
          <rPr>
            <b/>
            <sz val="9"/>
            <color indexed="81"/>
            <rFont val="Tahoma"/>
            <family val="2"/>
          </rPr>
          <t>admin: Already estimated in Dec, diff</t>
        </r>
      </text>
    </comment>
    <comment ref="B14" authorId="0" shapeId="0" xr:uid="{00000000-0006-0000-0900-000004000000}">
      <text>
        <r>
          <rPr>
            <b/>
            <sz val="9"/>
            <color indexed="81"/>
            <rFont val="Tahoma"/>
            <family val="2"/>
          </rPr>
          <t>admin:</t>
        </r>
        <r>
          <rPr>
            <sz val="9"/>
            <color indexed="81"/>
            <rFont val="Tahoma"/>
            <family val="2"/>
          </rPr>
          <t xml:space="preserve">
admin: Already estimated in Dec, diff</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20" authorId="0" shapeId="0" xr:uid="{00000000-0006-0000-0A00-000001000000}">
      <text>
        <r>
          <rPr>
            <b/>
            <sz val="9"/>
            <color indexed="81"/>
            <rFont val="Tahoma"/>
            <family val="2"/>
          </rPr>
          <t>admin:</t>
        </r>
        <r>
          <rPr>
            <sz val="9"/>
            <color indexed="81"/>
            <rFont val="Tahoma"/>
            <family val="2"/>
          </rPr>
          <t xml:space="preserve">
Include provision of warranty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8" authorId="0" shapeId="0" xr:uid="{00000000-0006-0000-0B00-000001000000}">
      <text>
        <r>
          <rPr>
            <b/>
            <sz val="9"/>
            <color indexed="81"/>
            <rFont val="Tahoma"/>
            <family val="2"/>
          </rPr>
          <t>admin:</t>
        </r>
        <r>
          <rPr>
            <sz val="9"/>
            <color indexed="81"/>
            <rFont val="Tahoma"/>
            <family val="2"/>
          </rPr>
          <t xml:space="preserve">
Already adjusted for Jan, feb, Mar (ratio)</t>
        </r>
      </text>
    </comment>
  </commentList>
</comments>
</file>

<file path=xl/sharedStrings.xml><?xml version="1.0" encoding="utf-8"?>
<sst xmlns="http://schemas.openxmlformats.org/spreadsheetml/2006/main" count="976" uniqueCount="250">
  <si>
    <t>SITE02</t>
  </si>
  <si>
    <t>Site02</t>
  </si>
  <si>
    <t>Month</t>
  </si>
  <si>
    <t>Revenue</t>
  </si>
  <si>
    <t>Site01</t>
  </si>
  <si>
    <t>VND</t>
  </si>
  <si>
    <t>USD</t>
  </si>
  <si>
    <t>Total USD</t>
  </si>
  <si>
    <t>Total VND</t>
  </si>
  <si>
    <t>Site04</t>
  </si>
  <si>
    <t>SITE03</t>
  </si>
  <si>
    <t>Site03</t>
  </si>
  <si>
    <t>Site 01</t>
  </si>
  <si>
    <t>Site 03</t>
  </si>
  <si>
    <t>Site 04</t>
  </si>
  <si>
    <t>COGS</t>
  </si>
  <si>
    <t>DAEWOO VINA</t>
  </si>
  <si>
    <t>SUMMARY SALES + COGS 2018</t>
  </si>
  <si>
    <t>SUMMARY SALES + COGS 2019</t>
  </si>
  <si>
    <t>ER</t>
  </si>
  <si>
    <t>May-19</t>
  </si>
  <si>
    <t>Site05</t>
  </si>
  <si>
    <t>Site06</t>
  </si>
  <si>
    <t>Site07</t>
  </si>
  <si>
    <t>SUMMARY SALES + COGS 2020</t>
  </si>
  <si>
    <t>TOTAL up to 2020</t>
  </si>
  <si>
    <t>SUMMARY  SALES + COGS 2017</t>
  </si>
  <si>
    <t>Thg11-17</t>
  </si>
  <si>
    <t>Thg12-17</t>
  </si>
  <si>
    <t>Cost of Goods sold</t>
  </si>
  <si>
    <t>Include provision of warranty</t>
  </si>
  <si>
    <t>Adjust
liquidation</t>
  </si>
  <si>
    <t>Adjust Site1+3
(Nov+Dec.19+
Jan .20)</t>
  </si>
  <si>
    <t>Site08</t>
  </si>
  <si>
    <t>Site09</t>
  </si>
  <si>
    <t>SUMMARY SALES + COGS 2021</t>
  </si>
  <si>
    <t>TOTAL up to 2021</t>
  </si>
  <si>
    <t>SITE05</t>
  </si>
  <si>
    <t>SITE06</t>
  </si>
  <si>
    <t>SITE07</t>
  </si>
  <si>
    <t>SITE09</t>
  </si>
  <si>
    <t>Estimate revenue</t>
  </si>
  <si>
    <t>Revenue on AS</t>
  </si>
  <si>
    <t>Dif</t>
  </si>
  <si>
    <t>Adjust in Apr</t>
  </si>
  <si>
    <t>Site10</t>
  </si>
  <si>
    <t>Site12</t>
  </si>
  <si>
    <t>SITE10</t>
  </si>
  <si>
    <t>SITE12</t>
  </si>
  <si>
    <t>OTHER</t>
  </si>
  <si>
    <t>Site11</t>
  </si>
  <si>
    <t>○ DECV - Site 실적</t>
    <phoneticPr fontId="184" type="noConversion"/>
  </si>
  <si>
    <t>구 분</t>
    <phoneticPr fontId="184" type="noConversion"/>
  </si>
  <si>
    <t>1월</t>
    <phoneticPr fontId="184" type="noConversion"/>
  </si>
  <si>
    <t>2월</t>
    <phoneticPr fontId="184" type="noConversion"/>
  </si>
  <si>
    <t>3월</t>
    <phoneticPr fontId="184" type="noConversion"/>
  </si>
  <si>
    <t>4월</t>
    <phoneticPr fontId="184" type="noConversion"/>
  </si>
  <si>
    <t>5월</t>
    <phoneticPr fontId="184" type="noConversion"/>
  </si>
  <si>
    <t>6월</t>
    <phoneticPr fontId="184" type="noConversion"/>
  </si>
  <si>
    <t>7월</t>
    <phoneticPr fontId="184" type="noConversion"/>
  </si>
  <si>
    <t>8월</t>
    <phoneticPr fontId="184" type="noConversion"/>
  </si>
  <si>
    <t>9월</t>
    <phoneticPr fontId="184" type="noConversion"/>
  </si>
  <si>
    <t>10월</t>
    <phoneticPr fontId="184" type="noConversion"/>
  </si>
  <si>
    <t>11월</t>
    <phoneticPr fontId="184" type="noConversion"/>
  </si>
  <si>
    <t>12월</t>
    <phoneticPr fontId="184" type="noConversion"/>
  </si>
  <si>
    <t>소계</t>
    <phoneticPr fontId="184" type="noConversion"/>
  </si>
  <si>
    <t>매출
(Sales)</t>
    <phoneticPr fontId="184" type="noConversion"/>
  </si>
  <si>
    <t>매출원가
(CGS)</t>
    <phoneticPr fontId="184" type="noConversion"/>
  </si>
  <si>
    <t>현장원가
(Site Cost)</t>
    <phoneticPr fontId="184" type="noConversion"/>
  </si>
  <si>
    <t>본사이체원가
(HQ Transfer)</t>
    <phoneticPr fontId="184" type="noConversion"/>
  </si>
  <si>
    <t>판관비
(S&amp;A Exp)</t>
    <phoneticPr fontId="184" type="noConversion"/>
  </si>
  <si>
    <t>아국인 인원수
(No. of Emplyee)</t>
    <phoneticPr fontId="184" type="noConversion"/>
  </si>
  <si>
    <t>Site 5
(Infra O&amp;M)</t>
  </si>
  <si>
    <t>Site 6
(Phase2 Infra)</t>
    <phoneticPr fontId="184" type="noConversion"/>
  </si>
  <si>
    <t>Site 8
(Consulting service)</t>
  </si>
  <si>
    <r>
      <t xml:space="preserve">총 매출원가
</t>
    </r>
    <r>
      <rPr>
        <sz val="8"/>
        <color theme="1"/>
        <rFont val="Calibri"/>
        <family val="3"/>
        <charset val="129"/>
        <scheme val="minor"/>
      </rPr>
      <t>(아국인시공현장)</t>
    </r>
    <phoneticPr fontId="184" type="noConversion"/>
  </si>
  <si>
    <t xml:space="preserve"> 총 아국인 인원수
(No. of Emplyee)</t>
    <phoneticPr fontId="184" type="noConversion"/>
  </si>
  <si>
    <t>FX rate</t>
    <phoneticPr fontId="184" type="noConversion"/>
  </si>
  <si>
    <t>인원수
(No. of Emplyee)</t>
    <phoneticPr fontId="184" type="noConversion"/>
  </si>
  <si>
    <t>Site 5
(Infra O&amp;M)</t>
    <phoneticPr fontId="184" type="noConversion"/>
  </si>
  <si>
    <t>매출</t>
    <phoneticPr fontId="184" type="noConversion"/>
  </si>
  <si>
    <t>4 lần,  lần 1,2,4 tách riêng, lần 3 gộp chung PC site 5</t>
  </si>
  <si>
    <t>TOTAL up to 2022</t>
  </si>
  <si>
    <t>RATE</t>
  </si>
  <si>
    <t>Mar.2020 ~ Mar.2022</t>
  </si>
  <si>
    <t>FINAL CONTRACT
 AMOUNT</t>
  </si>
  <si>
    <t>REPAIRING COST
 ALLOWANCE</t>
  </si>
  <si>
    <t>REMARK</t>
  </si>
  <si>
    <t>SITE</t>
  </si>
  <si>
    <t>DESCRIPTION</t>
  </si>
  <si>
    <t>Villa - Infra Phase 1</t>
  </si>
  <si>
    <t>H9CT1</t>
  </si>
  <si>
    <t>Villa K3</t>
  </si>
  <si>
    <t>Dec.2020 ~ Dec.2022</t>
  </si>
  <si>
    <t>Dec.2021 ~ Dec.2023</t>
  </si>
  <si>
    <t>TOTAL</t>
  </si>
  <si>
    <t>REMAINING 
AMOUNT</t>
  </si>
  <si>
    <t>Villa part</t>
  </si>
  <si>
    <t>Infra part</t>
  </si>
  <si>
    <t>SUMMARY OF REPAIRING COST ALLOWANCE</t>
  </si>
  <si>
    <t>A</t>
  </si>
  <si>
    <t>B</t>
  </si>
  <si>
    <t>C</t>
  </si>
  <si>
    <t>3=1*2</t>
  </si>
  <si>
    <t>5=3-4</t>
  </si>
  <si>
    <t>REFUND</t>
  </si>
  <si>
    <t>SUMMARY SALES + COGS 2022</t>
  </si>
  <si>
    <t>Jan</t>
  </si>
  <si>
    <t>Xây dựng</t>
  </si>
  <si>
    <t>quản lý</t>
  </si>
  <si>
    <t>tư vấn</t>
  </si>
  <si>
    <t>03</t>
  </si>
  <si>
    <t>07</t>
  </si>
  <si>
    <t>Villa K5K7</t>
  </si>
  <si>
    <t>Nov.2022~Nov.2024</t>
  </si>
  <si>
    <t>Included provision of waranty</t>
  </si>
  <si>
    <t>Site15</t>
  </si>
  <si>
    <t>Site16</t>
  </si>
  <si>
    <t>Site 16
(K8HH1 Precon)</t>
  </si>
  <si>
    <t>Revenue (PC) = (DC+IC+5%(DC+IC))*115%</t>
  </si>
  <si>
    <t>Method recording COGS/Revenue in Construction sites</t>
  </si>
  <si>
    <t>Estimate Revenue (Fast) =  (DC+IC+Actual SOE)*115% = COGS *115%</t>
  </si>
  <si>
    <t>=&gt;  By the month: COGS/Estimate Revenue (Fast)= 86.96%</t>
  </si>
  <si>
    <t xml:space="preserve">After Project finishs, the Revenue of Project has to be Revenue in PC </t>
  </si>
  <si>
    <t>Final COGS =  COGS + Provision for Reparing Cost</t>
  </si>
  <si>
    <t xml:space="preserve">=&gt; Final </t>
  </si>
  <si>
    <t>=&gt; Adjust the Estimate Revenue in Fast system to Revenue in PC: Grand Total Revenue (PC) = Estimate Revenue (Fast) +- Amount (A)</t>
  </si>
  <si>
    <t>Site 16
(K8CT1 Precon)</t>
  </si>
  <si>
    <t>SUMMARY SALES + COGS 2023</t>
  </si>
  <si>
    <t>TOTAL up to 2023</t>
  </si>
  <si>
    <t>Site 14
(B1CC4)</t>
  </si>
  <si>
    <t>Site 17
(H1HH1)</t>
  </si>
  <si>
    <t>매출원가</t>
  </si>
  <si>
    <t>SITE05 - Infra Management</t>
  </si>
  <si>
    <t>SITE08 - B3CC1</t>
  </si>
  <si>
    <t>SITE09 - H9CT1 management</t>
  </si>
  <si>
    <t>SITE10 - Villa K5&amp;K7</t>
  </si>
  <si>
    <t>SITE14 - B1CC4</t>
  </si>
  <si>
    <t>SITE15 - Precons K8HH1</t>
  </si>
  <si>
    <t>SITE16 - Precons K8CT1</t>
  </si>
  <si>
    <t>SITE17 - H1HH1</t>
  </si>
  <si>
    <t>SITE06 - Infra Phase II</t>
  </si>
  <si>
    <t>SITE02 - Villa H Management</t>
  </si>
  <si>
    <t>FX rate(1000USD/VND)</t>
  </si>
  <si>
    <t>1000 USD</t>
  </si>
  <si>
    <t>Total 1000 USD</t>
  </si>
  <si>
    <t>SITE 18 - Construction K8CT1</t>
  </si>
  <si>
    <t>SITE 20 - Precons K2CT1</t>
  </si>
  <si>
    <t>SITE 21 - Pile Testing K8HH1</t>
  </si>
  <si>
    <t>SITE 22 - Villa H&amp;K Management</t>
  </si>
  <si>
    <t>Site 18
(Construction K8CT1)</t>
  </si>
  <si>
    <t>Site 20 (Precons K2CT1)</t>
  </si>
  <si>
    <t>Site 22
(Villa H&amp;K management)</t>
  </si>
  <si>
    <t>SITE11 - Villa K management</t>
  </si>
  <si>
    <t xml:space="preserve"> 총 아국인 인원수
(No. of Employee)</t>
  </si>
  <si>
    <t>Site 20 
(Precons K2CT1)</t>
  </si>
  <si>
    <t>SITE 23 - Construction K8HH1</t>
  </si>
  <si>
    <t>Site 23
(Construction K8HH1)</t>
  </si>
  <si>
    <t>SITE 24 - Operation Office of THT</t>
  </si>
  <si>
    <r>
      <t xml:space="preserve">총 매출원가
</t>
    </r>
    <r>
      <rPr>
        <sz val="8"/>
        <color theme="1"/>
        <rFont val="Calibri"/>
        <family val="3"/>
        <charset val="129"/>
        <scheme val="minor"/>
      </rPr>
      <t>(시공현장)</t>
    </r>
  </si>
  <si>
    <t>SITE23</t>
  </si>
  <si>
    <t>SITE24</t>
  </si>
  <si>
    <t>TOTAL up to 2024</t>
  </si>
  <si>
    <t>매출</t>
  </si>
  <si>
    <t>SUMMARY SALES + COGS 2024</t>
  </si>
  <si>
    <t>SITE 25 - Testing Pile K2CT1</t>
  </si>
  <si>
    <t>Apr.2024~Apr.2025</t>
  </si>
  <si>
    <t>Operation office &amp; mock-up house of THT</t>
  </si>
  <si>
    <t>판관비
(S&amp;A Exp)</t>
  </si>
  <si>
    <t>Site 27
(Operation Office of THT-Phase 2)</t>
  </si>
  <si>
    <t>Site 24
(Operation Office of THT-Phase 1)</t>
  </si>
  <si>
    <t>SITE 26 - Testing Pile K8CT1</t>
  </si>
  <si>
    <t>SITE 24 - Mockup house of THT-Phase 1</t>
  </si>
  <si>
    <t>SITE 27 - Mockup house of THT-Phase 2</t>
  </si>
  <si>
    <t>아국인 인원수
(No. of Employee)</t>
  </si>
  <si>
    <t>SITE 28 - Nhon Trach Infra</t>
  </si>
  <si>
    <t>SITE 29 - TCI managing for K8CT1</t>
  </si>
  <si>
    <t>Site 28
(Nhon Trach Infra)</t>
  </si>
  <si>
    <t>SITE27</t>
  </si>
  <si>
    <t>SITE28</t>
  </si>
  <si>
    <t>SITE 30 - Brokerage for K8HH1 distribution</t>
  </si>
  <si>
    <t>Construction K8HH1</t>
  </si>
  <si>
    <t>Mockup house of THT-Phase 2</t>
  </si>
  <si>
    <t>Nhon Trach Infra</t>
  </si>
  <si>
    <t>SUMMARY SALES + COGS 2025</t>
  </si>
  <si>
    <t>TOTAL up to 2025</t>
  </si>
  <si>
    <t>Feb</t>
  </si>
  <si>
    <t>SITE 31 - Brokerage for H9CT1 &amp; K8HH1 Shophouse distribution</t>
  </si>
  <si>
    <t>SITE 32 - Preparing Admendment CIP of THT project</t>
  </si>
  <si>
    <t xml:space="preserve">SITE 33 - Preparing TCI for K2CT1 &amp; K2HH1 </t>
  </si>
  <si>
    <t>SITE 34 - Defect repairing for H9CT1</t>
  </si>
  <si>
    <t>SITE 30 - Brokerage for K8HH1 Building distribution</t>
  </si>
  <si>
    <t>Mar</t>
  </si>
  <si>
    <t>SITE34</t>
  </si>
  <si>
    <t>Site 30
(Brokerage for K8HH1 distribution)</t>
  </si>
  <si>
    <t>Site 31
(Brokerage for H9CT1 &amp; K8HH1 Shophouse distribution)</t>
  </si>
  <si>
    <t>Site 34
(Defect repairing for H9CT1)</t>
  </si>
  <si>
    <t>O&amp;M</t>
  </si>
  <si>
    <t>Construction</t>
  </si>
  <si>
    <t>Consulting</t>
  </si>
  <si>
    <t>Infra</t>
  </si>
  <si>
    <t>Housing</t>
  </si>
  <si>
    <t>Apr</t>
  </si>
  <si>
    <t>SITE 32 - Preparing Amendment CIP of THT project</t>
  </si>
  <si>
    <t>Mockup house</t>
  </si>
  <si>
    <t>SITE28 cost rate is fluctuations because HQ transfer cost could not be claimed and estimated to Revenue</t>
  </si>
  <si>
    <t>SITE 35 - Precons K2HH1</t>
  </si>
  <si>
    <t>May</t>
  </si>
  <si>
    <t>Jun</t>
  </si>
  <si>
    <t>Jul</t>
  </si>
  <si>
    <t>Aug</t>
  </si>
  <si>
    <t>Sep</t>
  </si>
  <si>
    <t>Site 35
(Precons K2HH1)</t>
  </si>
  <si>
    <t>Oct</t>
  </si>
  <si>
    <t>SITE 36 - Pile testing B1CC4</t>
  </si>
  <si>
    <t>SITE18</t>
  </si>
  <si>
    <t>Construction K8CT1</t>
  </si>
  <si>
    <t>Site 36
(Pile testing B1CC4)</t>
  </si>
  <si>
    <t>Nov</t>
  </si>
  <si>
    <t>Dec</t>
  </si>
  <si>
    <t>SUMMARY SALES + COGS 2026</t>
  </si>
  <si>
    <t>TOTAL up to 2026</t>
  </si>
  <si>
    <t>DATE OF COMPLETION</t>
  </si>
  <si>
    <t>2026년</t>
  </si>
  <si>
    <t>Site 37
(Pile testing H1HH1)</t>
  </si>
  <si>
    <t>Site 38
(Temporary gate &amp; Fence for H1HH1)</t>
  </si>
  <si>
    <t>Site 17
(H1HH1 Consulting)</t>
  </si>
  <si>
    <t>Site 14
(B1CC4 Consulting)</t>
  </si>
  <si>
    <t>REPAIRING COST ALLOWANCE</t>
  </si>
  <si>
    <t>SITE08</t>
  </si>
  <si>
    <t>SITE18 - Construction K8CT1</t>
  </si>
  <si>
    <t>SITE20 - Precons K2CT1</t>
  </si>
  <si>
    <t>SITE22 - Villa H&amp;K Management</t>
  </si>
  <si>
    <t>SITE23 - Construction K8HH1</t>
  </si>
  <si>
    <t>SITE27 - Mockup house of THT-Phase 2</t>
  </si>
  <si>
    <t>SITE28 - Nhon Trach Infra</t>
  </si>
  <si>
    <t>SITE30 - Brokerage for K8HH1 Building distribution</t>
  </si>
  <si>
    <t>SITE31 - Brokerage for H9CT1 &amp; K8HH1 Shophouse distribution</t>
  </si>
  <si>
    <t>SITE34 - Defect repairing for H9CT1</t>
  </si>
  <si>
    <t>SITE35 - Precons K2HH1</t>
  </si>
  <si>
    <t>SITE36 - Pile testing B1CC4</t>
  </si>
  <si>
    <t>SITE37 - Pile testing H1HH1</t>
  </si>
  <si>
    <t>SITE38 - Temporary gate &amp; Fence for H1HH1</t>
  </si>
  <si>
    <t>Long-term</t>
  </si>
  <si>
    <t>WARRANTY PERIOD</t>
  </si>
  <si>
    <t>12 months</t>
  </si>
  <si>
    <t>Short-term</t>
  </si>
  <si>
    <t>SITE39 - Mockup house of THT-Phase 3</t>
  </si>
  <si>
    <t>SITE39</t>
  </si>
  <si>
    <t>Site 39
(Mock-up house THT Ph.3)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</si>
</sst>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2">
    <numFmt numFmtId="41" formatCode="_-* #,##0_-;\-* #,##0_-;_-* &quot;-&quot;_-;_-@_-"/>
    <numFmt numFmtId="44" formatCode="_-&quot;₩&quot;* #,##0.00_-;\-&quot;₩&quot;* #,##0.00_-;_-&quot;₩&quot;* &quot;-&quot;??_-;_-@_-"/>
    <numFmt numFmtId="43" formatCode="_-* #,##0.00_-;\-* #,##0.00_-;_-* &quot;-&quot;??_-;_-@_-"/>
    <numFmt numFmtId="164" formatCode="_-&quot;£&quot;* #,##0_-;\-&quot;£&quot;* #,##0_-;_-&quot;£&quot;* &quot;-&quot;_-;_-@_-"/>
    <numFmt numFmtId="165" formatCode="&quot;$&quot;#,##0_);\(&quot;$&quot;#,##0\)"/>
    <numFmt numFmtId="166" formatCode="&quot;$&quot;#,##0_);[Red]\(&quot;$&quot;#,##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0_);[Red]\(\$#,##0\)"/>
    <numFmt numFmtId="172" formatCode="###,###,###,###,###,###.##"/>
    <numFmt numFmtId="173" formatCode="_-* #,##0_-;\-* #,##0_-;_-* &quot;-&quot;??_-;_-@_-"/>
    <numFmt numFmtId="174" formatCode="_-* #,##0.0_-;\-* #,##0.0_-;_-* &quot;-&quot;??_-;_-@_-"/>
    <numFmt numFmtId="175" formatCode="0.000%"/>
    <numFmt numFmtId="176" formatCode="0.00000%"/>
    <numFmt numFmtId="177" formatCode="0.0000000%"/>
    <numFmt numFmtId="178" formatCode="0.00000000%"/>
    <numFmt numFmtId="179" formatCode="_-* #,##0\ _₫_-;\-* #,##0\ _₫_-;_-* &quot;-&quot;\ _₫_-;_-@_-"/>
    <numFmt numFmtId="180" formatCode="_-* #,##0.00\ _₫_-;\-* #,##0.00\ _₫_-;_-* &quot;-&quot;??\ _₫_-;_-@_-"/>
    <numFmt numFmtId="181" formatCode="#"/>
    <numFmt numFmtId="182" formatCode="_(* #,##0_);_(* \(#,##0\);_(* &quot;-&quot;??_);_(@_)"/>
    <numFmt numFmtId="183" formatCode="_-* #,##0.00\ _€_-;\-* #,##0.00\ _€_-;_-* &quot;-&quot;??\ _€_-;_-@_-"/>
    <numFmt numFmtId="184" formatCode="[$-409]d\-mmm\-yyyy;@"/>
    <numFmt numFmtId="185" formatCode="&quot;₩&quot;\!\$#,##0_);[Red]&quot;₩&quot;\!\(&quot;₩&quot;\!\$#,##0&quot;₩&quot;\!\)"/>
    <numFmt numFmtId="186" formatCode="0_ "/>
    <numFmt numFmtId="187" formatCode="&quot;113-&quot;@"/>
    <numFmt numFmtId="188" formatCode="\(#,##0.0000\)"/>
    <numFmt numFmtId="189" formatCode="00.000"/>
    <numFmt numFmtId="190" formatCode="&quot;?&quot;#,##0;&quot;?&quot;\-#,##0"/>
    <numFmt numFmtId="191" formatCode="_-* #,##0\ _F_-;\-* #,##0\ _F_-;_-* &quot;-&quot;\ _F_-;_-@_-"/>
    <numFmt numFmtId="192" formatCode="_ &quot;₩&quot;* #,##0_ ;_ &quot;₩&quot;* \-#,##0_ ;_ &quot;₩&quot;* &quot;-&quot;_ ;_ @_ "/>
    <numFmt numFmtId="193" formatCode="_ &quot;₩&quot;* #,##0_ ;_ &quot;₩&quot;* &quot;₩&quot;\!\-#,##0_ ;_ &quot;₩&quot;* &quot;-&quot;_ ;_ @_ "/>
    <numFmt numFmtId="194" formatCode="#,##0_ "/>
    <numFmt numFmtId="195" formatCode="_ * #,##0_)\ _$_ ;_ * \(#,##0\)\ _$_ ;_ * &quot;-&quot;_)\ _$_ ;_ @_ "/>
    <numFmt numFmtId="196" formatCode="_ &quot;¡I&quot;* #,##0_ ;_ &quot;¡I&quot;* &quot;₩&quot;\!\-#,##0_ ;_ &quot;¡I&quot;* &quot;-&quot;_ ;_ @_ "/>
    <numFmt numFmtId="197" formatCode="_(&quot;$&quot;* #,##0.00_);_(&quot;$&quot;* &quot;₩&quot;\!\(#,##0.00&quot;₩&quot;\!\);_(&quot;$&quot;* &quot;-&quot;??_);_(@_)"/>
    <numFmt numFmtId="198" formatCode="_ &quot;₩&quot;* #,##0.00_ ;_ &quot;₩&quot;* \-#,##0.00_ ;_ &quot;₩&quot;* &quot;-&quot;??_ ;_ @_ "/>
    <numFmt numFmtId="199" formatCode="_ &quot;₩&quot;* #,##0.00_ ;_ &quot;₩&quot;* &quot;₩&quot;\!\-#,##0.00_ ;_ &quot;₩&quot;* &quot;-&quot;??_ ;_ @_ "/>
    <numFmt numFmtId="200" formatCode="0.0_ "/>
    <numFmt numFmtId="201" formatCode="&quot;₩&quot;#,##0;[Red]&quot;₩&quot;\-#,##0"/>
    <numFmt numFmtId="202" formatCode="_ &quot;¡I&quot;* #,##0.00_ ;_ &quot;¡I&quot;* &quot;₩&quot;\!\-#,##0.00_ ;_ &quot;¡I&quot;* &quot;-&quot;??_ ;_ @_ "/>
    <numFmt numFmtId="203" formatCode="&quot;Cr$&quot;&quot;₩&quot;\!\ #,##0_);&quot;₩&quot;\!\(&quot;Cr$&quot;&quot;₩&quot;\!\ #,##0&quot;₩&quot;\!\)"/>
    <numFmt numFmtId="204" formatCode="#,##0.0###&quot;A㎥/h/대&quot;;\-#,##0.0#####&quot;A㎥/h/대&quot;"/>
    <numFmt numFmtId="205" formatCode="_ * #,##0_ ;_ * \-#,##0_ ;_ * &quot;-&quot;_ ;_ @_ "/>
    <numFmt numFmtId="206" formatCode="_ * #,##0_ ;_ * &quot;₩&quot;\!\-#,##0_ ;_ * &quot;-&quot;_ ;_ @_ "/>
    <numFmt numFmtId="207" formatCode="0.00_ "/>
    <numFmt numFmtId="208" formatCode="_(* #,##0.0000000000000000000000000_);_(* \(#,##0.0000000000000000000000000\);_(* &quot;-&quot;??_);_(@_)"/>
    <numFmt numFmtId="209" formatCode="_-* #,##0_-;&quot;₩&quot;\!\-* #,##0_-;_-* &quot;-&quot;_-;_-@_-"/>
    <numFmt numFmtId="210" formatCode="_ * #,##0.00_ ;_ * \-#,##0.00_ ;_ * &quot;-&quot;??_ ;_ @_ "/>
    <numFmt numFmtId="211" formatCode="_ * #,##0.00_ ;_ * &quot;₩&quot;\!\-#,##0.00_ ;_ * &quot;-&quot;??_ ;_ @_ "/>
    <numFmt numFmtId="212" formatCode="0.0_);[Red]&quot;₩&quot;\!\(0.0&quot;₩&quot;\!\)"/>
    <numFmt numFmtId="213" formatCode="#,##0.00;[Red]&quot;-&quot;#,##0.00"/>
    <numFmt numFmtId="214" formatCode="_-* #,##0.00_-;&quot;₩&quot;\!\-* #,##0.00_-;_-* &quot;-&quot;??_-;_-@_-"/>
    <numFmt numFmtId="215" formatCode="0.000"/>
    <numFmt numFmtId="216" formatCode="#&quot;,&quot;##0.0_);\(#&quot;,&quot;##0.0\)"/>
    <numFmt numFmtId="217" formatCode="_(* #&quot;,&quot;##0.0000_);_(* \(#&quot;,&quot;##0.0000\);_(* &quot;-&quot;??_);_(@_)"/>
    <numFmt numFmtId="218" formatCode="0.0%;[Red]\(0.0%\)"/>
    <numFmt numFmtId="219" formatCode="_ * #&quot;,&quot;##0.00_)&quot;£&quot;_ ;_ * \(#&quot;,&quot;##0.00\)&quot;£&quot;_ ;_ * &quot;-&quot;??_)&quot;£&quot;_ ;_ @_ "/>
    <numFmt numFmtId="220" formatCode="_-&quot;$&quot;* #&quot;,&quot;##0.00_-;\-&quot;$&quot;* #&quot;,&quot;##0.00_-;_-&quot;$&quot;* &quot;-&quot;??_-;_-@_-"/>
    <numFmt numFmtId="221" formatCode="0.0%;\(0.0%\)"/>
    <numFmt numFmtId="222" formatCode="#,##0.0#&quot;CMH/대&quot;;\-#,##0.0#&quot;CMH/대&quot;"/>
    <numFmt numFmtId="223" formatCode="#,##0.0#&quot;CMM/대&quot;;\-#,##0.0#&quot;CMM/대&quot;"/>
    <numFmt numFmtId="224" formatCode="#,##0;\(#,##0\)"/>
    <numFmt numFmtId="225" formatCode="_-* #,##0.00_-;&quot;₩&quot;&quot;₩&quot;&quot;₩&quot;&quot;₩&quot;\-* #,##0.00_-;_-* &quot;-&quot;??_-;_-@_-"/>
    <numFmt numFmtId="226" formatCode="\$#,##0\ ;\(\$#,##0\)"/>
    <numFmt numFmtId="227" formatCode="\t0.00%"/>
    <numFmt numFmtId="228" formatCode="_ * #,##0.00_ ;_ * &quot;₩&quot;&quot;₩&quot;&quot;₩&quot;&quot;₩&quot;&quot;₩&quot;&quot;₩&quot;\-#,##0.00_ ;_ * &quot;-&quot;??_ ;_ @_ "/>
    <numFmt numFmtId="229" formatCode="_-* #,##0\ _D_M_-;\-* #,##0\ _D_M_-;_-* &quot;-&quot;\ _D_M_-;_-@_-"/>
    <numFmt numFmtId="230" formatCode="_-* #,##0.00\ _D_M_-;\-* #,##0.00\ _D_M_-;_-* &quot;-&quot;??\ _D_M_-;_-@_-"/>
    <numFmt numFmtId="231" formatCode="\t#\ ??/??"/>
    <numFmt numFmtId="232" formatCode="&quot;₩&quot;&quot;₩&quot;&quot;₩&quot;&quot;₩&quot;&quot;₩&quot;&quot;₩&quot;\$#,##0_);[Red]&quot;₩&quot;&quot;₩&quot;&quot;₩&quot;&quot;₩&quot;&quot;₩&quot;&quot;₩&quot;\(&quot;₩&quot;&quot;₩&quot;&quot;₩&quot;&quot;₩&quot;&quot;₩&quot;&quot;₩&quot;\$#,##0&quot;₩&quot;&quot;₩&quot;&quot;₩&quot;&quot;₩&quot;&quot;₩&quot;&quot;₩&quot;\)"/>
    <numFmt numFmtId="233" formatCode="_([$€]* #,##0.00_);_([$€]* \(#,##0.00\);_([$€]* &quot;-&quot;??_);_(@_)"/>
    <numFmt numFmtId="234" formatCode="#,##0&quot;kcal/h&quot;;\-#,##0&quot;kcal/h&quot;"/>
    <numFmt numFmtId="235" formatCode="#,##0.0###&quot;kg/h&quot;;\-#,##0.0#####&quot;kg/h&quot;"/>
    <numFmt numFmtId="236" formatCode="#,##0.0###&quot;kg/h/대&quot;;\-#,##0.0#####&quot;kg/h/대&quot;"/>
    <numFmt numFmtId="237" formatCode="#,##0.0###&quot;kg/대&quot;;\-#,##0.0#####&quot;kg/대&quot;"/>
    <numFmt numFmtId="238" formatCode="#,##0.0#&quot;kW/대&quot;;\-#,##0.0#&quot;kW/대&quot;"/>
    <numFmt numFmtId="239" formatCode="General&quot;m&quot;"/>
    <numFmt numFmtId="240" formatCode="#,##0.0##&quot;m&quot;;\-#,##0.0##&quot;m&quot;"/>
    <numFmt numFmtId="241" formatCode="#,##0.0###&quot;㎥/대&quot;;\-#,##0.0#####&quot;㎥/대&quot;"/>
    <numFmt numFmtId="242" formatCode="_-* #,##0.00\ _F_-;\-* #,##0.00\ _F_-;_-* &quot;-&quot;??\ _F_-;_-@_-"/>
    <numFmt numFmtId="243" formatCode="0.0\ ;\ &quot;△&quot;0.00\ \ "/>
    <numFmt numFmtId="244" formatCode="0.00\ ;\ &quot;△&quot;0.000\ \ "/>
    <numFmt numFmtId="245" formatCode="_-* #,##0\ &quot;F&quot;_-;\-* #,##0\ &quot;F&quot;_-;_-* &quot;-&quot;\ &quot;F&quot;_-;_-@_-"/>
    <numFmt numFmtId="246" formatCode="_-* #,##0.00\ &quot;F&quot;_-;\-* #,##0.00\ &quot;F&quot;_-;_-* &quot;-&quot;??\ &quot;F&quot;_-;_-@_-"/>
    <numFmt numFmtId="247" formatCode="#,##0.00\ &quot;kr&quot;;\-#,##0.00\ &quot;kr&quot;"/>
    <numFmt numFmtId="248" formatCode="&quot;PG1130&quot;@&quot;01&quot;"/>
    <numFmt numFmtId="249" formatCode="#,##0.00;[Red]#,##0.00"/>
    <numFmt numFmtId="250" formatCode="#&quot;,&quot;##0.000_);\(#&quot;,&quot;##0.000\)"/>
    <numFmt numFmtId="251" formatCode="#,##0.00\ &quot;F&quot;;[Red]\-#,##0.00\ &quot;F&quot;"/>
    <numFmt numFmtId="252" formatCode="#&quot;,&quot;##0\ &quot;F&quot;;\-#&quot;,&quot;##0\ &quot;F&quot;"/>
    <numFmt numFmtId="253" formatCode="#&quot;,&quot;##0\ &quot;F&quot;;[Red]\-#&quot;,&quot;##0\ &quot;F&quot;"/>
    <numFmt numFmtId="254" formatCode="#,##0.0###&quot;Ton&quot;;\-#,##0.0#####&quot;Ton&quot;"/>
    <numFmt numFmtId="255" formatCode="General&quot;ton/㎥&quot;"/>
    <numFmt numFmtId="256" formatCode="#,##0.0###&quot;Ton/set&quot;;\-#,##0.0#####&quot;Ton/대&quot;"/>
    <numFmt numFmtId="257" formatCode="#,##0.0###&quot;Ton/대&quot;;\-#,##0.0#####&quot;Ton/대&quot;"/>
    <numFmt numFmtId="258" formatCode="#,##0.0###&quot;TPH/대&quot;;\-#,##0.0#####&quot;TPH/대&quot;"/>
    <numFmt numFmtId="259" formatCode="_-&quot;L.&quot;\ * #,##0_-;\-&quot;L.&quot;\ * #,##0_-;_-&quot;L.&quot;\ * &quot;-&quot;_-;_-@_-"/>
    <numFmt numFmtId="260" formatCode="_-&quot;L.&quot;\ * #,##0.00_-;\-&quot;L.&quot;\ * #,##0.00_-;_-&quot;L.&quot;\ * &quot;-&quot;??_-;_-@_-"/>
    <numFmt numFmtId="261" formatCode="#,##0\ &quot;F&quot;;[Red]\-#,##0\ &quot;F&quot;"/>
    <numFmt numFmtId="262" formatCode="#,##0.00\ &quot;F&quot;;\-#,##0.00\ &quot;F&quot;"/>
    <numFmt numFmtId="263" formatCode="_-* #,##0\ &quot;DM&quot;_-;\-* #,##0\ &quot;DM&quot;_-;_-* &quot;-&quot;\ &quot;DM&quot;_-;_-@_-"/>
    <numFmt numFmtId="264" formatCode="_-* #,##0.00\ &quot;DM&quot;_-;\-* #,##0.00\ &quot;DM&quot;_-;_-* &quot;-&quot;??\ &quot;DM&quot;_-;_-@_-"/>
    <numFmt numFmtId="265" formatCode="&quot;₩&quot;#,##0;&quot;₩&quot;&quot;₩&quot;&quot;₩&quot;&quot;₩&quot;\-#,##0"/>
    <numFmt numFmtId="266" formatCode="&quot;₩&quot;#,##0;&quot;₩&quot;&quot;₩&quot;\!\-#,##0"/>
    <numFmt numFmtId="267" formatCode="&quot;₩&quot;#,##0.00;[Red]&quot;₩&quot;\-#,##0.00"/>
    <numFmt numFmtId="268" formatCode="&quot;₩&quot;#,##0;[Red]&quot;₩&quot;&quot;₩&quot;&quot;₩&quot;&quot;₩&quot;\-#,##0"/>
    <numFmt numFmtId="269" formatCode="\(#,##0\)\ "/>
    <numFmt numFmtId="270" formatCode="_-* #,##0.000_-;\-* #,##0.000_-;_-* &quot;-&quot;_-;_-@_-"/>
    <numFmt numFmtId="271" formatCode="#,##0.0000"/>
    <numFmt numFmtId="272" formatCode="yyyy/m/d"/>
    <numFmt numFmtId="273" formatCode="###,###,###,###,###&quot;차&quot;&quot;이&quot;"/>
    <numFmt numFmtId="274" formatCode="#,##0.0"/>
    <numFmt numFmtId="275" formatCode="#,##0.00&quot;      &quot;"/>
    <numFmt numFmtId="276" formatCode="\(0\)"/>
    <numFmt numFmtId="277" formatCode="&quot;₩&quot;\!\(0&quot;₩&quot;\!\)"/>
    <numFmt numFmtId="278" formatCode="0.\%"/>
    <numFmt numFmtId="279" formatCode="_ * #,##0.0_ ;_ * \-#,##0.0_ ;_ * &quot;-&quot;_ ;_ @_ "/>
    <numFmt numFmtId="280" formatCode="_ * #,##0.0000000_ ;_ * \-#,##0.0000000_ ;_ * &quot;-&quot;_ ;_ @_ "/>
    <numFmt numFmtId="281" formatCode="yy&quot;년&quot;m&quot;월&quot;d&quot;일&quot;"/>
    <numFmt numFmtId="282" formatCode="&quot;₩&quot;#,##0;[Red]&quot;₩&quot;\!\-&quot;₩&quot;#,##0"/>
    <numFmt numFmtId="283" formatCode="&quot;₩&quot;#,##0;[Red]&quot;₩&quot;&quot;₩&quot;\!\!\-&quot;₩&quot;#,##0"/>
    <numFmt numFmtId="284" formatCode="\$#,##0.0000_);\(\$#,##0.0000\)"/>
    <numFmt numFmtId="285" formatCode="&quot;₩&quot;\!\$#,##0.0000_);&quot;₩&quot;\!\(&quot;₩&quot;\!\$#,##0.0000&quot;₩&quot;\!\)"/>
    <numFmt numFmtId="286" formatCode="\(0.0%\)"/>
    <numFmt numFmtId="287" formatCode="&quot;₩&quot;\!\(&quot;₩&quot;\!\-0&quot;₩&quot;\!\)"/>
    <numFmt numFmtId="288" formatCode="\(\-0\)"/>
    <numFmt numFmtId="289" formatCode="&quot;RM &quot;#,##0"/>
    <numFmt numFmtId="290" formatCode="&quot;₩&quot;\!\$#,##0_);&quot;₩&quot;\!\(&quot;₩&quot;\!\$#,##0&quot;₩&quot;\!\)"/>
    <numFmt numFmtId="291" formatCode="&quot;₩&quot;#,##0.00;&quot;₩&quot;&quot;₩&quot;&quot;₩&quot;&quot;₩&quot;\-#,##0.00"/>
    <numFmt numFmtId="292" formatCode="_-* #,##0\ _$_-;\-* #,##0\ _$_-;_-* &quot;-&quot;\ _$_-;_-@_-"/>
    <numFmt numFmtId="293" formatCode="_-&quot;$&quot;* #,##0_-;\-&quot;$&quot;* #,##0_-;_-&quot;$&quot;* &quot;-&quot;_-;_-@_-"/>
    <numFmt numFmtId="294" formatCode="_-&quot;$&quot;* #,##0.00_-;\-&quot;$&quot;* #,##0.00_-;_-&quot;$&quot;* &quot;-&quot;??_-;_-@_-"/>
    <numFmt numFmtId="295" formatCode="_ * #,##0.000_ ;_ * \-#,##0.000_ ;_ * &quot;-&quot;_ ;_ @_ "/>
    <numFmt numFmtId="296" formatCode="_ * #,##0.0000_ ;_ * \-#,##0.0000_ ;_ * &quot;-&quot;_ ;_ @_ "/>
    <numFmt numFmtId="297" formatCode="#,##0_ ;\-#,##0\ "/>
    <numFmt numFmtId="298" formatCode="0.0000%"/>
    <numFmt numFmtId="299" formatCode="_-* #,##0.0000_-;\-* #,##0.0000_-;_-* &quot;-&quot;??_-;_-@_-"/>
    <numFmt numFmtId="300" formatCode="_-* #,##0.00000_-;\-* #,##0.00000_-;_-* &quot;-&quot;??_-;_-@_-"/>
    <numFmt numFmtId="301" formatCode="_-* #,##0.000000_-;\-* #,##0.000000_-;_-* &quot;-&quot;??_-;_-@_-"/>
    <numFmt numFmtId="302" formatCode="_-* #,##0.000_-;\-* #,##0.000_-;_-* &quot;-&quot;??_-;_-@_-"/>
  </numFmts>
  <fonts count="217">
    <font>
      <sz val="8.25"/>
      <name val="Microsoft Sans Serif"/>
    </font>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25"/>
      <name val="Microsoft Sans Serif"/>
      <family val="2"/>
    </font>
    <font>
      <sz val="14"/>
      <name val="Microsoft Sans Serif"/>
      <family val="2"/>
    </font>
    <font>
      <b/>
      <sz val="14"/>
      <color theme="5" tint="-0.249977111117893"/>
      <name val="Microsoft Sans Serif"/>
      <family val="2"/>
    </font>
    <font>
      <b/>
      <sz val="8.25"/>
      <name val="Microsoft Sans Serif"/>
      <family val="2"/>
    </font>
    <font>
      <sz val="20"/>
      <name val="Microsoft Sans Serif"/>
      <family val="2"/>
    </font>
    <font>
      <sz val="8.25"/>
      <name val="Microsoft Sans Serif"/>
      <family val="2"/>
      <charset val="163"/>
    </font>
    <font>
      <sz val="8.25"/>
      <color rgb="FFFF0000"/>
      <name val="Microsoft Sans Serif"/>
      <family val="2"/>
    </font>
    <font>
      <sz val="12"/>
      <name val="Microsoft Sans Serif"/>
      <family val="2"/>
    </font>
    <font>
      <sz val="10"/>
      <name val="Microsoft Sans Serif"/>
      <family val="2"/>
    </font>
    <font>
      <b/>
      <sz val="10"/>
      <name val="Microsoft Sans Serif"/>
      <family val="2"/>
    </font>
    <font>
      <sz val="10"/>
      <color rgb="FFFF0000"/>
      <name val="Microsoft Sans Serif"/>
      <family val="2"/>
    </font>
    <font>
      <b/>
      <sz val="25"/>
      <name val="Times New Roman"/>
      <family val="1"/>
      <charset val="163"/>
    </font>
    <font>
      <b/>
      <sz val="12"/>
      <name val="Microsoft Sans Serif"/>
      <family val="2"/>
    </font>
    <font>
      <b/>
      <sz val="14"/>
      <name val="Microsoft Sans Serif"/>
      <family val="2"/>
    </font>
    <font>
      <b/>
      <sz val="20"/>
      <name val="Microsoft Sans Serif"/>
      <family val="2"/>
    </font>
    <font>
      <sz val="10"/>
      <color theme="0"/>
      <name val="Microsoft Sans Serif"/>
      <family val="2"/>
    </font>
    <font>
      <sz val="9"/>
      <color indexed="81"/>
      <name val="Tahoma"/>
      <family val="2"/>
    </font>
    <font>
      <b/>
      <sz val="9"/>
      <color indexed="81"/>
      <name val="Tahoma"/>
      <family val="2"/>
    </font>
    <font>
      <sz val="8.25"/>
      <name val="Microsoft Sans Serif"/>
      <family val="2"/>
    </font>
    <font>
      <sz val="12"/>
      <color theme="1"/>
      <name val="Microsoft Sans Serif"/>
      <family val="2"/>
    </font>
    <font>
      <sz val="12"/>
      <color rgb="FFC00000"/>
      <name val="Microsoft Sans Serif"/>
      <family val="2"/>
    </font>
    <font>
      <sz val="11"/>
      <color theme="1"/>
      <name val="Calibri"/>
      <family val="2"/>
      <charset val="163"/>
      <scheme val="minor"/>
    </font>
    <font>
      <b/>
      <sz val="10"/>
      <name val="Arial"/>
      <family val="2"/>
    </font>
    <font>
      <sz val="12"/>
      <name val="굴림체"/>
      <family val="3"/>
      <charset val="129"/>
    </font>
    <font>
      <sz val="12"/>
      <name val=".VnTime"/>
      <family val="2"/>
    </font>
    <font>
      <sz val="11"/>
      <color theme="1"/>
      <name val="Calibri"/>
      <family val="2"/>
      <charset val="129"/>
      <scheme val="minor"/>
    </font>
    <font>
      <sz val="12"/>
      <name val="Times New Roman"/>
      <family val="1"/>
    </font>
    <font>
      <sz val="12"/>
      <name val="바탕체"/>
      <family val="1"/>
      <charset val="129"/>
    </font>
    <font>
      <sz val="10"/>
      <name val="Arial"/>
      <family val="2"/>
    </font>
    <font>
      <sz val="12"/>
      <name val="돋움체"/>
      <family val="3"/>
      <charset val="129"/>
    </font>
    <font>
      <sz val="10"/>
      <name val="MS Sans Serif"/>
      <family val="2"/>
    </font>
    <font>
      <sz val="11"/>
      <name val="돋움"/>
      <family val="3"/>
      <charset val="129"/>
    </font>
    <font>
      <sz val="12"/>
      <color indexed="8"/>
      <name val="굴림"/>
      <family val="3"/>
      <charset val="129"/>
    </font>
    <font>
      <sz val="12"/>
      <color indexed="8"/>
      <name val="굴림체"/>
      <family val="3"/>
      <charset val="129"/>
    </font>
    <font>
      <sz val="11"/>
      <name val="??"/>
      <family val="3"/>
    </font>
    <font>
      <sz val="10"/>
      <name val="?? ??"/>
      <family val="1"/>
      <charset val="136"/>
    </font>
    <font>
      <sz val="12"/>
      <name val=".VnTime"/>
      <family val="2"/>
      <charset val="163"/>
    </font>
    <font>
      <sz val="14"/>
      <name val="??"/>
      <family val="3"/>
    </font>
    <font>
      <sz val="12"/>
      <name val="????"/>
      <family val="1"/>
      <charset val="136"/>
    </font>
    <font>
      <sz val="12"/>
      <name val="Courier"/>
      <family val="3"/>
    </font>
    <font>
      <sz val="12"/>
      <name val="|??¢¥¢¬¨Ï"/>
      <family val="1"/>
      <charset val="129"/>
    </font>
    <font>
      <sz val="12"/>
      <name val="|??´¸ⓒ"/>
      <family val="1"/>
      <charset val="129"/>
    </font>
    <font>
      <sz val="12"/>
      <color indexed="8"/>
      <name val="?UAAA?"/>
      <family val="2"/>
      <charset val="204"/>
    </font>
    <font>
      <b/>
      <i/>
      <sz val="12"/>
      <name val="System"/>
      <family val="2"/>
      <charset val="129"/>
    </font>
    <font>
      <sz val="11"/>
      <name val="돋?o"/>
      <family val="3"/>
      <charset val="129"/>
    </font>
    <font>
      <sz val="10"/>
      <name val="Times New Roman"/>
      <family val="1"/>
    </font>
    <font>
      <sz val="10"/>
      <name val="굴림체"/>
      <family val="3"/>
      <charset val="129"/>
    </font>
    <font>
      <sz val="12"/>
      <name val="???"/>
    </font>
    <font>
      <sz val="20"/>
      <name val="돋움체"/>
      <family val="3"/>
      <charset val="129"/>
    </font>
    <font>
      <sz val="11"/>
      <color indexed="8"/>
      <name val="돋움"/>
      <family val="3"/>
      <charset val="129"/>
    </font>
    <font>
      <sz val="8"/>
      <color indexed="0"/>
      <name val="Courier"/>
      <family val="3"/>
    </font>
    <font>
      <b/>
      <sz val="11"/>
      <name val="Arial"/>
      <family val="2"/>
    </font>
    <font>
      <i/>
      <sz val="12"/>
      <color indexed="8"/>
      <name val=".VnBook-AntiquaH"/>
      <family val="2"/>
    </font>
    <font>
      <b/>
      <sz val="10"/>
      <name val="Arial Narrow"/>
      <family val="2"/>
    </font>
    <font>
      <b/>
      <sz val="12"/>
      <color indexed="8"/>
      <name val=".VnBook-Antiqua"/>
      <family val="2"/>
    </font>
    <font>
      <sz val="10"/>
      <color indexed="8"/>
      <name val="?? ??"/>
      <family val="2"/>
      <charset val="129"/>
    </font>
    <font>
      <i/>
      <sz val="12"/>
      <color indexed="8"/>
      <name val=".VnBook-Antiqua"/>
      <family val="2"/>
    </font>
    <font>
      <sz val="14"/>
      <name val=".VnTimeH"/>
      <family val="2"/>
    </font>
    <font>
      <sz val="12"/>
      <name val="?UAAA?"/>
      <family val="1"/>
    </font>
    <font>
      <sz val="11"/>
      <name val="??o"/>
      <family val="1"/>
    </font>
    <font>
      <sz val="12"/>
      <name val="ⓒoUAAA¨u"/>
      <family val="1"/>
      <charset val="129"/>
    </font>
    <font>
      <sz val="11"/>
      <name val="￥i￠￢￠?o"/>
      <family val="3"/>
      <charset val="129"/>
    </font>
    <font>
      <sz val="10"/>
      <name val="¹UAAA¼"/>
      <family val="1"/>
      <charset val="129"/>
    </font>
    <font>
      <sz val="10"/>
      <name val="¹ÙÅÁÃ¼"/>
      <family val="1"/>
      <charset val="129"/>
    </font>
    <font>
      <sz val="12"/>
      <name val="¹UAAA¼"/>
      <family val="1"/>
      <charset val="129"/>
    </font>
    <font>
      <sz val="11"/>
      <name val=".VnArial"/>
      <family val="2"/>
    </font>
    <font>
      <sz val="12"/>
      <name val="¹UAAA¼"/>
      <family val="3"/>
      <charset val="129"/>
    </font>
    <font>
      <sz val="11"/>
      <name val="±¼¸²Ã¼"/>
      <family val="3"/>
      <charset val="129"/>
    </font>
    <font>
      <sz val="11"/>
      <name val="μ¸¿o"/>
      <family val="3"/>
      <charset val="129"/>
    </font>
    <font>
      <sz val="11"/>
      <name val="µ¸¿ò"/>
      <family val="3"/>
      <charset val="129"/>
    </font>
    <font>
      <sz val="11"/>
      <name val="Arial"/>
      <family val="2"/>
    </font>
    <font>
      <sz val="10"/>
      <name val=".VnArial"/>
      <family val="2"/>
    </font>
    <font>
      <sz val="12"/>
      <name val="??oA?"/>
      <family val="2"/>
      <charset val="204"/>
    </font>
    <font>
      <sz val="12"/>
      <name val="System"/>
      <family val="2"/>
      <charset val="129"/>
    </font>
    <font>
      <sz val="12"/>
      <name val="µ¸¿òÃ¼"/>
      <family val="3"/>
      <charset val="129"/>
    </font>
    <font>
      <sz val="10"/>
      <name val="±¼¸²A¼"/>
      <family val="3"/>
      <charset val="129"/>
    </font>
    <font>
      <sz val="10"/>
      <name val="±¼¸²Ã¼"/>
      <family val="3"/>
      <charset val="129"/>
    </font>
    <font>
      <sz val="12"/>
      <name val="±¼¸²Ã¼"/>
      <family val="3"/>
      <charset val="129"/>
    </font>
    <font>
      <sz val="11"/>
      <name val="±¼¸²A¼"/>
      <family val="3"/>
      <charset val="129"/>
    </font>
    <font>
      <sz val="10"/>
      <name val="Helv"/>
      <family val="2"/>
    </font>
    <font>
      <b/>
      <sz val="10"/>
      <name val="Helv"/>
    </font>
    <font>
      <sz val="12"/>
      <color indexed="8"/>
      <name val="바탕체"/>
      <family val="1"/>
      <charset val="129"/>
    </font>
    <font>
      <sz val="10"/>
      <color theme="1"/>
      <name val="맑은 고딕"/>
      <family val="2"/>
      <charset val="129"/>
    </font>
    <font>
      <sz val="11"/>
      <color theme="1"/>
      <name val="Times New Roman"/>
      <family val="2"/>
    </font>
    <font>
      <sz val="11"/>
      <color theme="1"/>
      <name val="Times New Roman"/>
      <family val="2"/>
      <charset val="163"/>
    </font>
    <font>
      <sz val="12"/>
      <color theme="1"/>
      <name val="Times New Roman"/>
      <family val="2"/>
    </font>
    <font>
      <sz val="10"/>
      <name val="MS Serif"/>
      <family val="1"/>
    </font>
    <font>
      <sz val="8"/>
      <name val="돋움"/>
      <family val="3"/>
      <charset val="129"/>
    </font>
    <font>
      <sz val="12"/>
      <name val="Arial"/>
      <family val="2"/>
    </font>
    <font>
      <sz val="10"/>
      <color indexed="8"/>
      <name val="Arial"/>
      <family val="2"/>
    </font>
    <font>
      <sz val="10"/>
      <name val="Arial CE"/>
      <charset val="238"/>
    </font>
    <font>
      <sz val="10"/>
      <color indexed="16"/>
      <name val="MS Serif"/>
      <family val="1"/>
    </font>
    <font>
      <sz val="11"/>
      <name val="굴림체"/>
      <family val="3"/>
      <charset val="129"/>
    </font>
    <font>
      <sz val="1"/>
      <color indexed="8"/>
      <name val="Courier"/>
      <family val="3"/>
    </font>
    <font>
      <i/>
      <sz val="1"/>
      <color indexed="8"/>
      <name val="Courier"/>
      <family val="3"/>
    </font>
    <font>
      <sz val="8"/>
      <name val="Arial"/>
      <family val="2"/>
    </font>
    <font>
      <b/>
      <sz val="12"/>
      <name val="Helv"/>
    </font>
    <font>
      <b/>
      <sz val="12"/>
      <name val="Arial"/>
      <family val="2"/>
    </font>
    <font>
      <b/>
      <sz val="18"/>
      <name val="Arial"/>
      <family val="2"/>
    </font>
    <font>
      <b/>
      <sz val="10"/>
      <name val=".VnTime"/>
      <family val="2"/>
    </font>
    <font>
      <b/>
      <sz val="14"/>
      <name val=".VnTimeH"/>
      <family val="2"/>
    </font>
    <font>
      <u/>
      <sz val="10"/>
      <color theme="10"/>
      <name val="맑은 고딕"/>
      <family val="3"/>
      <charset val="129"/>
    </font>
    <font>
      <i/>
      <outline/>
      <shadow/>
      <u/>
      <sz val="1"/>
      <color indexed="24"/>
      <name val="Courier"/>
      <family val="3"/>
    </font>
    <font>
      <sz val="12"/>
      <name val="새굴림"/>
      <family val="1"/>
      <charset val="129"/>
    </font>
    <font>
      <b/>
      <sz val="11"/>
      <name val="Helv"/>
    </font>
    <font>
      <sz val="7"/>
      <name val="Small Fonts"/>
      <family val="2"/>
    </font>
    <font>
      <sz val="12"/>
      <name val="VNtimes new roman"/>
      <family val="2"/>
    </font>
    <font>
      <sz val="12"/>
      <name val="Helv"/>
      <family val="2"/>
    </font>
    <font>
      <sz val="11"/>
      <color indexed="8"/>
      <name val="Calibri"/>
      <family val="2"/>
      <charset val="129"/>
    </font>
    <font>
      <sz val="10"/>
      <name val="돋움"/>
      <family val="3"/>
      <charset val="129"/>
    </font>
    <font>
      <b/>
      <sz val="10"/>
      <name val="MS Sans Serif"/>
      <family val="2"/>
    </font>
    <font>
      <sz val="8"/>
      <name val="Helv"/>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sz val="10"/>
      <name val="Arial Narrow"/>
      <family val="2"/>
    </font>
    <font>
      <sz val="9"/>
      <name val="Times New Roman"/>
      <family val="1"/>
    </font>
    <font>
      <sz val="10"/>
      <name val=".VnTime"/>
      <family val="2"/>
    </font>
    <font>
      <b/>
      <sz val="8"/>
      <color indexed="8"/>
      <name val="Helv"/>
      <family val="2"/>
    </font>
    <font>
      <sz val="13"/>
      <name val=".VnTime"/>
      <family val="2"/>
    </font>
    <font>
      <b/>
      <sz val="8"/>
      <name val="VN Helvetica"/>
    </font>
    <font>
      <sz val="9"/>
      <name val=".VnTime"/>
      <family val="2"/>
    </font>
    <font>
      <b/>
      <sz val="12"/>
      <name val=".VnTime"/>
      <family val="2"/>
    </font>
    <font>
      <b/>
      <sz val="10"/>
      <name val="VN AvantGBook"/>
    </font>
    <font>
      <b/>
      <sz val="16"/>
      <name val=".VnTime"/>
      <family val="2"/>
    </font>
    <font>
      <sz val="14"/>
      <name val=".VnArial"/>
      <family val="2"/>
    </font>
    <font>
      <u/>
      <sz val="7.2"/>
      <color indexed="12"/>
      <name val="Helv"/>
      <family val="2"/>
    </font>
    <font>
      <sz val="10"/>
      <name val=" "/>
      <family val="1"/>
      <charset val="136"/>
    </font>
    <font>
      <b/>
      <sz val="1"/>
      <color indexed="8"/>
      <name val="Courier"/>
      <family val="3"/>
    </font>
    <font>
      <u/>
      <sz val="9.6"/>
      <color indexed="36"/>
      <name val="바탕체"/>
      <family val="1"/>
      <charset val="129"/>
    </font>
    <font>
      <sz val="14"/>
      <name val="뼻뮝"/>
      <family val="3"/>
      <charset val="129"/>
    </font>
    <font>
      <sz val="11"/>
      <name val="한양그래픽"/>
      <family val="3"/>
      <charset val="129"/>
    </font>
    <font>
      <sz val="12"/>
      <name val="뼻뮝"/>
      <family val="1"/>
      <charset val="129"/>
    </font>
    <font>
      <sz val="11"/>
      <color indexed="8"/>
      <name val="맑은 고딕"/>
      <family val="3"/>
      <charset val="129"/>
    </font>
    <font>
      <sz val="11"/>
      <color theme="1"/>
      <name val="Calibri"/>
      <family val="3"/>
      <charset val="129"/>
      <scheme val="minor"/>
    </font>
    <font>
      <sz val="12"/>
      <color theme="1"/>
      <name val="Times New Roman"/>
      <family val="1"/>
    </font>
    <font>
      <vertAlign val="superscript"/>
      <sz val="12"/>
      <color indexed="8"/>
      <name val="굴림체"/>
      <family val="3"/>
      <charset val="129"/>
    </font>
    <font>
      <sz val="10"/>
      <name val="명조"/>
      <family val="3"/>
      <charset val="129"/>
    </font>
    <font>
      <sz val="12"/>
      <name val="명조"/>
      <family val="3"/>
      <charset val="129"/>
    </font>
    <font>
      <sz val="12"/>
      <color indexed="22"/>
      <name val="바탕체"/>
      <family val="1"/>
      <charset val="129"/>
    </font>
    <font>
      <sz val="9"/>
      <name val="바탕체"/>
      <family val="1"/>
      <charset val="129"/>
    </font>
    <font>
      <sz val="10"/>
      <name val="Courier"/>
      <family val="3"/>
    </font>
    <font>
      <sz val="12"/>
      <name val="細明朝体"/>
      <family val="3"/>
      <charset val="129"/>
    </font>
    <font>
      <sz val="12"/>
      <name val="宋体"/>
      <family val="1"/>
      <charset val="129"/>
    </font>
    <font>
      <sz val="9"/>
      <name val="Arial"/>
      <family val="2"/>
    </font>
    <font>
      <sz val="10"/>
      <name val="PragmaticaCTT"/>
      <family val="1"/>
    </font>
    <font>
      <sz val="11"/>
      <name val="ＭＳ Ｐゴシック"/>
      <family val="3"/>
      <charset val="129"/>
    </font>
    <font>
      <sz val="10"/>
      <name val="標準明朝"/>
      <family val="1"/>
    </font>
    <font>
      <u/>
      <sz val="7.2"/>
      <color indexed="36"/>
      <name val="Helv"/>
      <family val="2"/>
    </font>
    <font>
      <sz val="11"/>
      <name val="ＭＳ ゴシック"/>
      <family val="3"/>
      <charset val="129"/>
    </font>
    <font>
      <sz val="11"/>
      <color rgb="FF9C6500"/>
      <name val="Calibri"/>
      <family val="2"/>
      <scheme val="minor"/>
    </font>
    <font>
      <b/>
      <sz val="20"/>
      <name val="Times New Roman"/>
      <family val="1"/>
      <charset val="163"/>
    </font>
    <font>
      <sz val="14"/>
      <color rgb="FFFF0000"/>
      <name val="Microsoft Sans Serif"/>
      <family val="2"/>
    </font>
    <font>
      <sz val="12"/>
      <name val="Times New Roman"/>
      <family val="1"/>
      <charset val="163"/>
    </font>
    <font>
      <sz val="12"/>
      <color rgb="FFFF0000"/>
      <name val="Microsoft Sans Serif"/>
      <family val="2"/>
    </font>
    <font>
      <sz val="8.25"/>
      <color rgb="FFC00000"/>
      <name val="Microsoft Sans Serif"/>
      <family val="2"/>
    </font>
    <font>
      <sz val="10"/>
      <color rgb="FFC00000"/>
      <name val="Microsoft Sans Serif"/>
      <family val="2"/>
    </font>
    <font>
      <b/>
      <sz val="14"/>
      <color theme="1"/>
      <name val="Calibri"/>
      <family val="3"/>
      <charset val="129"/>
      <scheme val="minor"/>
    </font>
    <font>
      <sz val="8"/>
      <name val="Calibri"/>
      <family val="2"/>
      <charset val="129"/>
      <scheme val="minor"/>
    </font>
    <font>
      <b/>
      <sz val="11"/>
      <color theme="1"/>
      <name val="Calibri"/>
      <family val="3"/>
      <charset val="129"/>
      <scheme val="minor"/>
    </font>
    <font>
      <b/>
      <sz val="11"/>
      <color theme="1"/>
      <name val="Calibri"/>
      <family val="2"/>
      <charset val="129"/>
      <scheme val="minor"/>
    </font>
    <font>
      <sz val="11"/>
      <name val="Arial Narrow"/>
      <family val="2"/>
    </font>
    <font>
      <b/>
      <sz val="11"/>
      <color theme="1"/>
      <name val="Arial Narrow"/>
      <family val="2"/>
    </font>
    <font>
      <sz val="11"/>
      <color theme="1"/>
      <name val="Arial Narrow"/>
      <family val="2"/>
    </font>
    <font>
      <sz val="8"/>
      <color theme="1"/>
      <name val="Calibri"/>
      <family val="3"/>
      <charset val="129"/>
      <scheme val="minor"/>
    </font>
    <font>
      <sz val="11"/>
      <color rgb="FFFF0000"/>
      <name val="Calibri"/>
      <family val="2"/>
      <charset val="129"/>
      <scheme val="minor"/>
    </font>
    <font>
      <sz val="10"/>
      <color theme="0" tint="-0.34998626667073579"/>
      <name val="Microsoft Sans Serif"/>
      <family val="2"/>
    </font>
    <font>
      <sz val="8.25"/>
      <color theme="0" tint="-0.34998626667073579"/>
      <name val="Microsoft Sans Serif"/>
      <family val="2"/>
    </font>
    <font>
      <b/>
      <sz val="14"/>
      <color rgb="FFFF0000"/>
      <name val="Microsoft Sans Serif"/>
      <family val="2"/>
    </font>
    <font>
      <b/>
      <sz val="12"/>
      <name val="Times New Roman"/>
      <family val="1"/>
    </font>
    <font>
      <sz val="12"/>
      <color rgb="FFC00000"/>
      <name val="Times New Roman"/>
      <family val="1"/>
    </font>
    <font>
      <i/>
      <sz val="10"/>
      <name val="Microsoft Sans Serif"/>
      <family val="2"/>
    </font>
    <font>
      <sz val="11"/>
      <color rgb="FFFF0000"/>
      <name val="Microsoft Sans Serif"/>
      <family val="2"/>
    </font>
    <font>
      <b/>
      <sz val="11"/>
      <color theme="5" tint="-0.249977111117893"/>
      <name val="Microsoft Sans Serif"/>
      <family val="2"/>
    </font>
    <font>
      <b/>
      <sz val="11"/>
      <name val="Microsoft Sans Serif"/>
      <family val="2"/>
    </font>
    <font>
      <sz val="11"/>
      <name val="Microsoft Sans Serif"/>
      <family val="2"/>
    </font>
    <font>
      <sz val="11"/>
      <color theme="0" tint="-0.34998626667073579"/>
      <name val="Microsoft Sans Serif"/>
      <family val="2"/>
    </font>
    <font>
      <sz val="11"/>
      <color theme="1"/>
      <name val="Microsoft Sans Serif"/>
      <family val="2"/>
    </font>
    <font>
      <sz val="11"/>
      <color rgb="FFC00000"/>
      <name val="Microsoft Sans Serif"/>
      <family val="2"/>
    </font>
    <font>
      <b/>
      <sz val="9"/>
      <name val="Microsoft Sans Serif"/>
      <family val="2"/>
    </font>
    <font>
      <sz val="8.5"/>
      <name val="Microsoft Sans Serif"/>
      <family val="2"/>
    </font>
    <font>
      <sz val="8.5"/>
      <color rgb="FFFF0000"/>
      <name val="Microsoft Sans Serif"/>
      <family val="2"/>
    </font>
    <font>
      <sz val="8.5"/>
      <name val="Times New Roman"/>
      <family val="1"/>
      <charset val="163"/>
    </font>
    <font>
      <sz val="11"/>
      <color theme="1"/>
      <name val="Calibri"/>
      <family val="2"/>
    </font>
    <font>
      <b/>
      <sz val="10"/>
      <name val="Times New Roman"/>
      <family val="1"/>
      <charset val="163"/>
    </font>
    <font>
      <sz val="9"/>
      <name val="Microsoft Sans Serif"/>
      <family val="2"/>
    </font>
    <font>
      <b/>
      <sz val="9"/>
      <color theme="5" tint="-0.249977111117893"/>
      <name val="Microsoft Sans Serif"/>
      <family val="2"/>
    </font>
    <font>
      <sz val="9"/>
      <color theme="1"/>
      <name val="Microsoft Sans Serif"/>
      <family val="2"/>
    </font>
    <font>
      <u/>
      <sz val="11"/>
      <color rgb="FFFF0000"/>
      <name val="Microsoft Sans Serif"/>
      <family val="2"/>
    </font>
    <font>
      <u/>
      <sz val="8.25"/>
      <name val="Microsoft Sans Serif"/>
      <family val="2"/>
    </font>
    <font>
      <u/>
      <sz val="11"/>
      <name val="Microsoft Sans Serif"/>
      <family val="2"/>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indexed="27"/>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0"/>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15"/>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79998168889431442"/>
        <bgColor indexed="64"/>
      </patternFill>
    </fill>
    <fill>
      <patternFill patternType="solid">
        <fgColor rgb="FFF1F7ED"/>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59999389629810485"/>
        <bgColor indexed="64"/>
      </patternFill>
    </fill>
  </fills>
  <borders count="7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style="hair">
        <color auto="1"/>
      </right>
      <top style="hair">
        <color auto="1"/>
      </top>
      <bottom style="hair">
        <color auto="1"/>
      </bottom>
      <diagonal/>
    </border>
    <border>
      <left/>
      <right/>
      <top/>
      <bottom style="thin">
        <color indexed="64"/>
      </bottom>
      <diagonal/>
    </border>
    <border>
      <left/>
      <right/>
      <top style="medium">
        <color indexed="64"/>
      </top>
      <bottom style="medium">
        <color indexed="64"/>
      </bottom>
      <diagonal/>
    </border>
    <border>
      <left/>
      <right/>
      <top/>
      <bottom style="hair">
        <color auto="1"/>
      </bottom>
      <diagonal/>
    </border>
    <border>
      <left/>
      <right/>
      <top/>
      <bottom style="medium">
        <color indexed="64"/>
      </bottom>
      <diagonal/>
    </border>
    <border>
      <left style="thin">
        <color auto="1"/>
      </left>
      <right style="thin">
        <color auto="1"/>
      </right>
      <top style="thin">
        <color auto="1"/>
      </top>
      <bottom style="hair">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bottom style="thin">
        <color auto="1"/>
      </bottom>
      <diagonal/>
    </border>
    <border>
      <left/>
      <right/>
      <top style="double">
        <color auto="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hair">
        <color auto="1"/>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hair">
        <color auto="1"/>
      </right>
      <top style="hair">
        <color auto="1"/>
      </top>
      <bottom style="thin">
        <color auto="1"/>
      </bottom>
      <diagonal/>
    </border>
    <border>
      <left style="hair">
        <color indexed="64"/>
      </left>
      <right style="hair">
        <color indexed="64"/>
      </right>
      <top style="hair">
        <color indexed="64"/>
      </top>
      <bottom style="thin">
        <color indexed="64"/>
      </bottom>
      <diagonal/>
    </border>
    <border>
      <left style="hair">
        <color auto="1"/>
      </left>
      <right/>
      <top/>
      <bottom/>
      <diagonal/>
    </border>
    <border>
      <left style="hair">
        <color auto="1"/>
      </left>
      <right/>
      <top style="thin">
        <color indexed="64"/>
      </top>
      <bottom/>
      <diagonal/>
    </border>
    <border>
      <left style="thin">
        <color auto="1"/>
      </left>
      <right style="hair">
        <color auto="1"/>
      </right>
      <top/>
      <bottom/>
      <diagonal/>
    </border>
    <border>
      <left style="thin">
        <color indexed="64"/>
      </left>
      <right style="thin">
        <color indexed="64"/>
      </right>
      <top style="hair">
        <color indexed="64"/>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style="thin">
        <color indexed="64"/>
      </left>
      <right/>
      <top style="thin">
        <color indexed="64"/>
      </top>
      <bottom style="hair">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bottom/>
      <diagonal/>
    </border>
    <border>
      <left/>
      <right/>
      <top/>
      <bottom style="double">
        <color indexed="64"/>
      </bottom>
      <diagonal/>
    </border>
  </borders>
  <cellStyleXfs count="2739">
    <xf numFmtId="0" fontId="0" fillId="0" borderId="0">
      <alignment vertical="top"/>
    </xf>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12" fillId="3" borderId="0" applyNumberFormat="0" applyBorder="0" applyAlignment="0" applyProtection="0"/>
    <xf numFmtId="0" fontId="16" fillId="6" borderId="4" applyNumberFormat="0" applyAlignment="0" applyProtection="0"/>
    <xf numFmtId="0" fontId="18" fillId="7" borderId="7" applyNumberFormat="0" applyAlignment="0" applyProtection="0"/>
    <xf numFmtId="43" fontId="6" fillId="0" borderId="0" applyFont="0" applyFill="0" applyBorder="0" applyAlignment="0" applyProtection="0"/>
    <xf numFmtId="0" fontId="20" fillId="0" borderId="0" applyNumberFormat="0" applyFill="0" applyBorder="0" applyAlignment="0" applyProtection="0"/>
    <xf numFmtId="0" fontId="11" fillId="2" borderId="0" applyNumberFormat="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4" fillId="5" borderId="4" applyNumberFormat="0" applyAlignment="0" applyProtection="0"/>
    <xf numFmtId="0" fontId="17" fillId="0" borderId="6" applyNumberFormat="0" applyFill="0" applyAlignment="0" applyProtection="0"/>
    <xf numFmtId="0" fontId="13" fillId="4" borderId="0" applyNumberFormat="0" applyBorder="0" applyAlignment="0" applyProtection="0"/>
    <xf numFmtId="0" fontId="6" fillId="8" borderId="8" applyNumberFormat="0" applyFont="0" applyAlignment="0" applyProtection="0"/>
    <xf numFmtId="0" fontId="15" fillId="6" borderId="5" applyNumberFormat="0" applyAlignment="0" applyProtection="0"/>
    <xf numFmtId="0" fontId="7" fillId="0" borderId="0" applyNumberFormat="0" applyFill="0" applyBorder="0" applyAlignment="0" applyProtection="0"/>
    <xf numFmtId="0" fontId="21" fillId="0" borderId="9" applyNumberFormat="0" applyFill="0" applyAlignment="0" applyProtection="0"/>
    <xf numFmtId="0" fontId="19" fillId="0" borderId="0" applyNumberFormat="0" applyFill="0" applyBorder="0" applyAlignment="0" applyProtection="0"/>
    <xf numFmtId="0" fontId="23" fillId="0" borderId="0">
      <alignment vertical="top"/>
    </xf>
    <xf numFmtId="0" fontId="28" fillId="0" borderId="0">
      <alignment vertical="top"/>
    </xf>
    <xf numFmtId="9" fontId="41" fillId="0" borderId="0" applyFont="0" applyFill="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12" borderId="0" applyNumberFormat="0" applyBorder="0" applyAlignment="0" applyProtection="0"/>
    <xf numFmtId="0" fontId="5" fillId="16" borderId="0" applyNumberFormat="0" applyBorder="0" applyAlignment="0" applyProtection="0"/>
    <xf numFmtId="0" fontId="5" fillId="20" borderId="0" applyNumberFormat="0" applyBorder="0" applyAlignment="0" applyProtection="0"/>
    <xf numFmtId="0" fontId="5" fillId="24"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23" fillId="0" borderId="0">
      <alignment vertical="top"/>
    </xf>
    <xf numFmtId="170" fontId="23" fillId="0" borderId="0" applyFont="0" applyFill="0" applyBorder="0" applyAlignment="0" applyProtection="0"/>
    <xf numFmtId="9" fontId="23" fillId="0" borderId="0" applyFont="0" applyFill="0" applyBorder="0" applyAlignment="0" applyProtection="0"/>
    <xf numFmtId="0" fontId="28" fillId="0" borderId="0">
      <alignment vertical="top"/>
    </xf>
    <xf numFmtId="0" fontId="28" fillId="0" borderId="0">
      <alignment vertical="top"/>
    </xf>
    <xf numFmtId="170" fontId="23" fillId="0" borderId="0" applyFont="0" applyFill="0" applyBorder="0" applyAlignment="0" applyProtection="0"/>
    <xf numFmtId="9" fontId="23" fillId="0" borderId="0" applyFont="0" applyFill="0" applyBorder="0" applyAlignment="0" applyProtection="0"/>
    <xf numFmtId="43" fontId="5" fillId="0" borderId="0" applyFont="0" applyFill="0" applyBorder="0" applyAlignment="0" applyProtection="0"/>
    <xf numFmtId="43" fontId="4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47" fillId="0" borderId="0" applyFont="0" applyFill="0" applyBorder="0" applyAlignment="0" applyProtection="0">
      <alignment vertic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83" fontId="48" fillId="0" borderId="0" applyFont="0" applyFill="0" applyBorder="0" applyAlignment="0" applyProtection="0"/>
    <xf numFmtId="184" fontId="47"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9" fontId="46" fillId="0" borderId="0" applyFont="0" applyFill="0" applyBorder="0" applyAlignment="0" applyProtection="0"/>
    <xf numFmtId="168" fontId="47" fillId="0" borderId="0" applyFont="0" applyFill="0" applyBorder="0" applyAlignment="0" applyProtection="0"/>
    <xf numFmtId="170" fontId="47" fillId="0" borderId="0" applyFont="0" applyFill="0" applyBorder="0" applyAlignment="0" applyProtection="0"/>
    <xf numFmtId="184" fontId="47" fillId="0" borderId="0"/>
    <xf numFmtId="0" fontId="28" fillId="0" borderId="0">
      <alignment vertical="top"/>
    </xf>
    <xf numFmtId="0" fontId="50" fillId="0" borderId="0">
      <protection locked="0"/>
    </xf>
    <xf numFmtId="0" fontId="51" fillId="0" borderId="0"/>
    <xf numFmtId="0" fontId="50" fillId="0" borderId="0">
      <protection locked="0"/>
    </xf>
    <xf numFmtId="0" fontId="50" fillId="0" borderId="0">
      <protection locked="0"/>
    </xf>
    <xf numFmtId="0" fontId="50" fillId="0" borderId="0">
      <protection locked="0"/>
    </xf>
    <xf numFmtId="3" fontId="52" fillId="0" borderId="11"/>
    <xf numFmtId="171" fontId="53" fillId="0" borderId="0" applyFont="0" applyFill="0" applyBorder="0" applyAlignment="0" applyProtection="0"/>
    <xf numFmtId="185" fontId="53" fillId="0" borderId="0" applyFont="0" applyFill="0" applyBorder="0" applyAlignment="0" applyProtection="0"/>
    <xf numFmtId="171" fontId="53" fillId="0" borderId="0" applyFont="0" applyFill="0" applyBorder="0" applyAlignment="0" applyProtection="0"/>
    <xf numFmtId="171" fontId="53" fillId="0" borderId="0" applyFont="0" applyFill="0" applyBorder="0" applyAlignment="0" applyProtection="0"/>
    <xf numFmtId="185" fontId="53" fillId="0" borderId="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71" fontId="53" fillId="0" borderId="0" applyFont="0" applyFill="0" applyBorder="0" applyAlignment="0" applyProtection="0"/>
    <xf numFmtId="171" fontId="53" fillId="0" borderId="0" applyFont="0" applyFill="0" applyBorder="0" applyAlignment="0" applyProtection="0"/>
    <xf numFmtId="185" fontId="53" fillId="0" borderId="0" applyFont="0" applyFill="0" applyBorder="0" applyAlignment="0" applyProtection="0"/>
    <xf numFmtId="185" fontId="53" fillId="0" borderId="0" applyFont="0" applyFill="0" applyBorder="0" applyAlignment="0" applyProtection="0"/>
    <xf numFmtId="171" fontId="53" fillId="0" borderId="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6"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87" fontId="54" fillId="0" borderId="0" applyNumberFormat="0" applyFont="0" applyFill="0" applyBorder="0" applyAlignment="0" applyProtection="0"/>
    <xf numFmtId="171" fontId="53" fillId="0" borderId="0" applyFont="0" applyFill="0" applyBorder="0" applyAlignment="0" applyProtection="0"/>
    <xf numFmtId="171" fontId="53" fillId="0" borderId="0" applyFont="0" applyFill="0" applyBorder="0" applyAlignment="0" applyProtection="0"/>
    <xf numFmtId="185" fontId="53" fillId="0" borderId="0" applyFont="0" applyFill="0" applyBorder="0" applyAlignment="0" applyProtection="0"/>
    <xf numFmtId="185" fontId="53" fillId="0" borderId="0" applyFont="0" applyFill="0" applyBorder="0" applyAlignment="0" applyProtection="0"/>
    <xf numFmtId="185" fontId="53" fillId="0" borderId="0" applyFont="0" applyFill="0" applyBorder="0" applyAlignment="0" applyProtection="0"/>
    <xf numFmtId="171" fontId="53" fillId="0" borderId="0" applyFont="0" applyFill="0" applyBorder="0" applyAlignment="0" applyProtection="0"/>
    <xf numFmtId="0" fontId="55" fillId="0" borderId="0"/>
    <xf numFmtId="188" fontId="56" fillId="0" borderId="11" applyFill="0" applyBorder="0" applyProtection="0">
      <alignment horizontal="right" vertical="center"/>
    </xf>
    <xf numFmtId="189" fontId="57" fillId="0" borderId="0" applyFont="0" applyFill="0" applyBorder="0" applyAlignment="0" applyProtection="0"/>
    <xf numFmtId="0" fontId="58" fillId="0" borderId="0" applyFont="0" applyFill="0" applyBorder="0" applyAlignment="0" applyProtection="0"/>
    <xf numFmtId="190" fontId="57" fillId="0" borderId="0" applyFont="0" applyFill="0" applyBorder="0" applyAlignment="0" applyProtection="0"/>
    <xf numFmtId="43" fontId="59" fillId="0" borderId="0" applyFont="0" applyFill="0" applyBorder="0" applyAlignment="0" applyProtection="0"/>
    <xf numFmtId="0" fontId="50" fillId="0" borderId="0"/>
    <xf numFmtId="0" fontId="50"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40" fontId="60" fillId="0" borderId="0" applyFont="0" applyFill="0" applyBorder="0" applyAlignment="0" applyProtection="0"/>
    <xf numFmtId="38" fontId="60" fillId="0" borderId="0" applyFont="0" applyFill="0" applyBorder="0" applyAlignment="0" applyProtection="0"/>
    <xf numFmtId="41" fontId="61" fillId="0" borderId="0" applyFont="0" applyFill="0" applyBorder="0" applyAlignment="0" applyProtection="0"/>
    <xf numFmtId="43" fontId="61" fillId="0" borderId="0" applyFont="0" applyFill="0" applyBorder="0" applyAlignment="0" applyProtection="0"/>
    <xf numFmtId="166" fontId="62" fillId="0" borderId="0" applyFont="0" applyFill="0" applyBorder="0" applyAlignment="0" applyProtection="0"/>
    <xf numFmtId="0" fontId="49" fillId="0" borderId="0">
      <alignment vertical="center"/>
    </xf>
    <xf numFmtId="0" fontId="51" fillId="0" borderId="0" applyFont="0" applyFill="0" applyBorder="0" applyAlignment="0" applyProtection="0"/>
    <xf numFmtId="0" fontId="51" fillId="0" borderId="0" applyFont="0" applyFill="0" applyBorder="0" applyAlignment="0" applyProtection="0"/>
    <xf numFmtId="0" fontId="63" fillId="0" borderId="0"/>
    <xf numFmtId="0" fontId="64" fillId="0" borderId="0"/>
    <xf numFmtId="0" fontId="51" fillId="0" borderId="0" applyNumberFormat="0" applyFill="0" applyBorder="0" applyAlignment="0" applyProtection="0"/>
    <xf numFmtId="0" fontId="51" fillId="0" borderId="0" applyNumberForma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0" fontId="67"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xf numFmtId="0" fontId="68" fillId="0" borderId="0"/>
    <xf numFmtId="0" fontId="55" fillId="0" borderId="0"/>
    <xf numFmtId="191" fontId="47" fillId="0" borderId="0" applyFont="0" applyFill="0" applyBorder="0" applyAlignment="0" applyProtection="0"/>
    <xf numFmtId="0" fontId="51" fillId="0" borderId="0"/>
    <xf numFmtId="0" fontId="69" fillId="0" borderId="0" applyFont="0" applyFill="0" applyBorder="0" applyAlignment="0" applyProtection="0"/>
    <xf numFmtId="0" fontId="55" fillId="0" borderId="0"/>
    <xf numFmtId="0" fontId="55" fillId="0" borderId="0"/>
    <xf numFmtId="0" fontId="68" fillId="0" borderId="0"/>
    <xf numFmtId="0" fontId="69"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69" fillId="0" borderId="0"/>
    <xf numFmtId="0" fontId="51" fillId="0" borderId="0"/>
    <xf numFmtId="0" fontId="51" fillId="0" borderId="0"/>
    <xf numFmtId="0" fontId="53" fillId="0" borderId="0"/>
    <xf numFmtId="0" fontId="53" fillId="0" borderId="0"/>
    <xf numFmtId="0" fontId="51" fillId="0" borderId="0"/>
    <xf numFmtId="0" fontId="55" fillId="0" borderId="0"/>
    <xf numFmtId="0" fontId="51" fillId="0" borderId="0"/>
    <xf numFmtId="0" fontId="53" fillId="0" borderId="0"/>
    <xf numFmtId="0" fontId="68" fillId="0" borderId="0"/>
    <xf numFmtId="0" fontId="51" fillId="0" borderId="0"/>
    <xf numFmtId="0" fontId="53"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1" fillId="0" borderId="0"/>
    <xf numFmtId="0" fontId="5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40" fontId="53" fillId="0" borderId="0" applyFont="0" applyFill="0" applyBorder="0" applyAlignment="0" applyProtection="0"/>
    <xf numFmtId="0" fontId="51" fillId="0" borderId="0"/>
    <xf numFmtId="0" fontId="51" fillId="0" borderId="0"/>
    <xf numFmtId="0" fontId="51" fillId="0" borderId="0"/>
    <xf numFmtId="0" fontId="51" fillId="0" borderId="0"/>
    <xf numFmtId="0" fontId="68" fillId="0" borderId="0"/>
    <xf numFmtId="0" fontId="53" fillId="0" borderId="0"/>
    <xf numFmtId="0" fontId="51" fillId="0" borderId="0"/>
    <xf numFmtId="0" fontId="51" fillId="0" borderId="0"/>
    <xf numFmtId="0" fontId="51" fillId="0" borderId="0"/>
    <xf numFmtId="0" fontId="53" fillId="0" borderId="0"/>
    <xf numFmtId="0" fontId="53" fillId="0" borderId="0"/>
    <xf numFmtId="0" fontId="68" fillId="0" borderId="0"/>
    <xf numFmtId="0" fontId="51" fillId="0" borderId="0"/>
    <xf numFmtId="0" fontId="51" fillId="0" borderId="0"/>
    <xf numFmtId="0" fontId="53" fillId="0" borderId="0"/>
    <xf numFmtId="192" fontId="70" fillId="0" borderId="0" applyFont="0" applyFill="0" applyBorder="0" applyAlignment="0" applyProtection="0"/>
    <xf numFmtId="0" fontId="49" fillId="0" borderId="0"/>
    <xf numFmtId="0" fontId="71" fillId="0" borderId="0">
      <alignment horizontal="centerContinuous"/>
    </xf>
    <xf numFmtId="0" fontId="51" fillId="0" borderId="0"/>
    <xf numFmtId="0" fontId="72" fillId="0" borderId="0"/>
    <xf numFmtId="3" fontId="52" fillId="0" borderId="11"/>
    <xf numFmtId="3" fontId="52" fillId="0" borderId="11"/>
    <xf numFmtId="0" fontId="54" fillId="0" borderId="0"/>
    <xf numFmtId="192" fontId="70" fillId="0" borderId="0" applyFont="0" applyFill="0" applyBorder="0" applyAlignment="0" applyProtection="0"/>
    <xf numFmtId="0" fontId="51" fillId="0" borderId="0" applyNumberFormat="0" applyFill="0" applyBorder="0" applyAlignment="0" applyProtection="0"/>
    <xf numFmtId="181" fontId="73" fillId="0" borderId="0">
      <alignment vertical="center"/>
      <protection locked="0"/>
    </xf>
    <xf numFmtId="1" fontId="74" fillId="38" borderId="18">
      <alignment vertical="center"/>
    </xf>
    <xf numFmtId="0" fontId="75" fillId="39" borderId="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1" fontId="76" fillId="40" borderId="18">
      <alignment vertical="center"/>
    </xf>
    <xf numFmtId="0" fontId="77" fillId="39" borderId="0"/>
    <xf numFmtId="0" fontId="78" fillId="0" borderId="0">
      <alignment vertical="center"/>
    </xf>
    <xf numFmtId="0" fontId="79" fillId="0" borderId="0">
      <alignment wrapText="1"/>
    </xf>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182" fontId="80" fillId="0" borderId="19" applyNumberFormat="0" applyFont="0" applyBorder="0" applyAlignment="0">
      <alignment horizontal="center" vertical="center"/>
    </xf>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81"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82" fillId="0" borderId="0" applyFont="0" applyFill="0" applyBorder="0" applyAlignment="0" applyProtection="0"/>
    <xf numFmtId="0" fontId="67" fillId="0" borderId="0" applyFont="0" applyFill="0" applyBorder="0" applyAlignment="0" applyProtection="0"/>
    <xf numFmtId="0" fontId="67" fillId="0" borderId="0" applyFont="0" applyFill="0" applyBorder="0" applyAlignment="0" applyProtection="0"/>
    <xf numFmtId="0" fontId="83" fillId="0" borderId="0" applyFont="0" applyFill="0" applyBorder="0" applyAlignment="0" applyProtection="0"/>
    <xf numFmtId="0" fontId="84" fillId="0" borderId="0" applyFont="0" applyFill="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181" fontId="73" fillId="0" borderId="0">
      <alignment vertical="center"/>
      <protection locked="0"/>
    </xf>
    <xf numFmtId="181" fontId="73" fillId="0" borderId="0">
      <alignment vertical="center"/>
      <protection locked="0"/>
    </xf>
    <xf numFmtId="192" fontId="85" fillId="0" borderId="0" applyFont="0" applyFill="0" applyBorder="0" applyAlignment="0" applyProtection="0"/>
    <xf numFmtId="192"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0" fontId="85" fillId="0" borderId="0" applyFont="0" applyFill="0" applyBorder="0" applyAlignment="0" applyProtection="0"/>
    <xf numFmtId="192"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3" fontId="85" fillId="0" borderId="0" applyFont="0" applyFill="0" applyBorder="0" applyAlignment="0" applyProtection="0"/>
    <xf numFmtId="193" fontId="86" fillId="0" borderId="0" applyFont="0" applyFill="0" applyBorder="0" applyAlignment="0" applyProtection="0"/>
    <xf numFmtId="192" fontId="85" fillId="0" borderId="0" applyFont="0" applyFill="0" applyBorder="0" applyAlignment="0" applyProtection="0"/>
    <xf numFmtId="192" fontId="86" fillId="0" borderId="0" applyFont="0" applyFill="0" applyBorder="0" applyAlignment="0" applyProtection="0"/>
    <xf numFmtId="194" fontId="87" fillId="0" borderId="0" applyFont="0" applyFill="0" applyBorder="0" applyAlignment="0" applyProtection="0"/>
    <xf numFmtId="195" fontId="88" fillId="0" borderId="0" applyFont="0" applyFill="0" applyBorder="0" applyAlignment="0" applyProtection="0"/>
    <xf numFmtId="0" fontId="89" fillId="0" borderId="0" applyFont="0" applyFill="0" applyBorder="0" applyAlignment="0" applyProtection="0"/>
    <xf numFmtId="192" fontId="90" fillId="0" borderId="0" applyFont="0" applyFill="0" applyBorder="0" applyAlignment="0" applyProtection="0"/>
    <xf numFmtId="196" fontId="87" fillId="0" borderId="0" applyFont="0" applyFill="0" applyBorder="0" applyAlignment="0" applyProtection="0"/>
    <xf numFmtId="197" fontId="91" fillId="0" borderId="0" applyFont="0" applyFill="0" applyBorder="0" applyAlignment="0" applyProtection="0"/>
    <xf numFmtId="196" fontId="87"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1" fillId="0" borderId="0" applyFont="0" applyFill="0" applyBorder="0" applyAlignment="0" applyProtection="0"/>
    <xf numFmtId="0" fontId="54"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0" fontId="85" fillId="0" borderId="0" applyFont="0" applyFill="0" applyBorder="0" applyAlignment="0" applyProtection="0"/>
    <xf numFmtId="198"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9" fontId="85" fillId="0" borderId="0" applyFont="0" applyFill="0" applyBorder="0" applyAlignment="0" applyProtection="0"/>
    <xf numFmtId="199" fontId="86" fillId="0" borderId="0" applyFont="0" applyFill="0" applyBorder="0" applyAlignment="0" applyProtection="0"/>
    <xf numFmtId="198" fontId="85" fillId="0" borderId="0" applyFont="0" applyFill="0" applyBorder="0" applyAlignment="0" applyProtection="0"/>
    <xf numFmtId="198" fontId="86" fillId="0" borderId="0" applyFont="0" applyFill="0" applyBorder="0" applyAlignment="0" applyProtection="0"/>
    <xf numFmtId="200" fontId="87" fillId="0" borderId="0" applyFont="0" applyFill="0" applyBorder="0" applyAlignment="0" applyProtection="0"/>
    <xf numFmtId="44" fontId="92" fillId="0" borderId="0" applyFont="0" applyFill="0" applyBorder="0" applyAlignment="0" applyProtection="0"/>
    <xf numFmtId="198" fontId="89" fillId="0" borderId="0" applyFont="0" applyFill="0" applyBorder="0" applyAlignment="0" applyProtection="0"/>
    <xf numFmtId="201" fontId="53" fillId="0" borderId="0" applyFont="0" applyFill="0" applyBorder="0" applyAlignment="0" applyProtection="0"/>
    <xf numFmtId="0" fontId="89" fillId="0" borderId="0" applyFont="0" applyFill="0" applyBorder="0" applyAlignment="0" applyProtection="0"/>
    <xf numFmtId="198" fontId="90" fillId="0" borderId="0" applyFont="0" applyFill="0" applyBorder="0" applyAlignment="0" applyProtection="0"/>
    <xf numFmtId="202" fontId="87" fillId="0" borderId="0" applyFont="0" applyFill="0" applyBorder="0" applyAlignment="0" applyProtection="0"/>
    <xf numFmtId="203" fontId="91" fillId="0" borderId="0" applyFont="0" applyFill="0" applyBorder="0" applyAlignment="0" applyProtection="0"/>
    <xf numFmtId="202" fontId="87"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53" fillId="0" borderId="0"/>
    <xf numFmtId="204" fontId="56" fillId="0" borderId="11" applyFont="0" applyFill="0" applyBorder="0">
      <alignment horizontal="right" vertical="center"/>
    </xf>
    <xf numFmtId="0" fontId="93" fillId="0" borderId="0" applyFont="0"/>
    <xf numFmtId="181" fontId="73" fillId="0" borderId="0">
      <alignment vertical="center"/>
      <protection locked="0"/>
    </xf>
    <xf numFmtId="181" fontId="73" fillId="0" borderId="0">
      <alignment vertical="center"/>
      <protection locked="0"/>
    </xf>
    <xf numFmtId="205" fontId="85" fillId="0" borderId="0" applyFont="0" applyFill="0" applyBorder="0" applyAlignment="0" applyProtection="0"/>
    <xf numFmtId="205"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0" fontId="85" fillId="0" borderId="0" applyFont="0" applyFill="0" applyBorder="0" applyAlignment="0" applyProtection="0"/>
    <xf numFmtId="205"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6" fontId="85" fillId="0" borderId="0" applyFont="0" applyFill="0" applyBorder="0" applyAlignment="0" applyProtection="0"/>
    <xf numFmtId="206" fontId="86" fillId="0" borderId="0" applyFont="0" applyFill="0" applyBorder="0" applyAlignment="0" applyProtection="0"/>
    <xf numFmtId="205" fontId="85" fillId="0" borderId="0" applyFont="0" applyFill="0" applyBorder="0" applyAlignment="0" applyProtection="0"/>
    <xf numFmtId="205" fontId="86" fillId="0" borderId="0" applyFont="0" applyFill="0" applyBorder="0" applyAlignment="0" applyProtection="0"/>
    <xf numFmtId="207" fontId="87" fillId="0" borderId="0" applyFont="0" applyFill="0" applyBorder="0" applyAlignment="0" applyProtection="0"/>
    <xf numFmtId="208" fontId="94" fillId="0" borderId="0" applyFont="0" applyFill="0" applyBorder="0" applyAlignment="0" applyProtection="0"/>
    <xf numFmtId="0" fontId="89" fillId="0" borderId="0" applyFont="0" applyFill="0" applyBorder="0" applyAlignment="0" applyProtection="0"/>
    <xf numFmtId="205" fontId="90" fillId="0" borderId="0" applyFont="0" applyFill="0" applyBorder="0" applyAlignment="0" applyProtection="0"/>
    <xf numFmtId="209" fontId="87" fillId="0" borderId="0" applyFont="0" applyFill="0" applyBorder="0" applyAlignment="0" applyProtection="0"/>
    <xf numFmtId="210" fontId="85" fillId="0" borderId="0" applyFont="0" applyFill="0" applyBorder="0" applyAlignment="0" applyProtection="0"/>
    <xf numFmtId="210"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0" fontId="85" fillId="0" borderId="0" applyFont="0" applyFill="0" applyBorder="0" applyAlignment="0" applyProtection="0"/>
    <xf numFmtId="210" fontId="86" fillId="0" borderId="0" applyFont="0" applyFill="0" applyBorder="0" applyAlignment="0" applyProtection="0"/>
    <xf numFmtId="210" fontId="85" fillId="0" borderId="0" applyFont="0" applyFill="0" applyBorder="0" applyAlignment="0" applyProtection="0"/>
    <xf numFmtId="210"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0" fontId="85" fillId="0" borderId="0" applyFont="0" applyFill="0" applyBorder="0" applyAlignment="0" applyProtection="0"/>
    <xf numFmtId="210"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1" fontId="85" fillId="0" borderId="0" applyFont="0" applyFill="0" applyBorder="0" applyAlignment="0" applyProtection="0"/>
    <xf numFmtId="211" fontId="86" fillId="0" borderId="0" applyFont="0" applyFill="0" applyBorder="0" applyAlignment="0" applyProtection="0"/>
    <xf numFmtId="210" fontId="85" fillId="0" borderId="0" applyFont="0" applyFill="0" applyBorder="0" applyAlignment="0" applyProtection="0"/>
    <xf numFmtId="210" fontId="86" fillId="0" borderId="0" applyFont="0" applyFill="0" applyBorder="0" applyAlignment="0" applyProtection="0"/>
    <xf numFmtId="212" fontId="87" fillId="0" borderId="0" applyFont="0" applyFill="0" applyBorder="0" applyAlignment="0" applyProtection="0"/>
    <xf numFmtId="43" fontId="92" fillId="0" borderId="0" applyFont="0" applyFill="0" applyBorder="0" applyAlignment="0" applyProtection="0"/>
    <xf numFmtId="210" fontId="89" fillId="0" borderId="0" applyFont="0" applyFill="0" applyBorder="0" applyAlignment="0" applyProtection="0"/>
    <xf numFmtId="213" fontId="53" fillId="0" borderId="0" applyFont="0" applyFill="0" applyBorder="0" applyAlignment="0" applyProtection="0"/>
    <xf numFmtId="0" fontId="89" fillId="0" borderId="0" applyFont="0" applyFill="0" applyBorder="0" applyAlignment="0" applyProtection="0"/>
    <xf numFmtId="210" fontId="90" fillId="0" borderId="0" applyFont="0" applyFill="0" applyBorder="0" applyAlignment="0" applyProtection="0"/>
    <xf numFmtId="214" fontId="87" fillId="0" borderId="0" applyFont="0" applyFill="0" applyBorder="0" applyAlignment="0" applyProtection="0"/>
    <xf numFmtId="0" fontId="12" fillId="3" borderId="0" applyNumberFormat="0" applyBorder="0" applyAlignment="0" applyProtection="0"/>
    <xf numFmtId="0" fontId="95" fillId="0" borderId="0"/>
    <xf numFmtId="0" fontId="89" fillId="0" borderId="0"/>
    <xf numFmtId="0" fontId="96" fillId="0" borderId="0"/>
    <xf numFmtId="181" fontId="73" fillId="0" borderId="0">
      <alignment vertical="center"/>
      <protection locked="0"/>
    </xf>
    <xf numFmtId="0" fontId="87" fillId="0" borderId="0"/>
    <xf numFmtId="0" fontId="97" fillId="0" borderId="0"/>
    <xf numFmtId="0" fontId="98" fillId="0" borderId="0"/>
    <xf numFmtId="0" fontId="99" fillId="0" borderId="0"/>
    <xf numFmtId="0" fontId="85" fillId="0" borderId="0"/>
    <xf numFmtId="0" fontId="86" fillId="0" borderId="0"/>
    <xf numFmtId="0" fontId="89" fillId="0" borderId="0"/>
    <xf numFmtId="0" fontId="97" fillId="0" borderId="0"/>
    <xf numFmtId="0" fontId="87" fillId="0" borderId="0"/>
    <xf numFmtId="0" fontId="92" fillId="0" borderId="0"/>
    <xf numFmtId="0" fontId="87" fillId="0" borderId="0"/>
    <xf numFmtId="0" fontId="100" fillId="0" borderId="0"/>
    <xf numFmtId="0" fontId="87" fillId="0" borderId="0"/>
    <xf numFmtId="0" fontId="92" fillId="0" borderId="0"/>
    <xf numFmtId="0" fontId="91" fillId="0" borderId="0"/>
    <xf numFmtId="0" fontId="90" fillId="0" borderId="0"/>
    <xf numFmtId="0" fontId="101" fillId="0" borderId="0"/>
    <xf numFmtId="0" fontId="51" fillId="0" borderId="0"/>
    <xf numFmtId="0" fontId="87" fillId="0" borderId="0"/>
    <xf numFmtId="215" fontId="51" fillId="0" borderId="0" applyFill="0" applyBorder="0" applyAlignment="0"/>
    <xf numFmtId="216" fontId="102" fillId="0" borderId="0" applyFill="0" applyBorder="0" applyAlignment="0"/>
    <xf numFmtId="217" fontId="102" fillId="0" borderId="0" applyFill="0" applyBorder="0" applyAlignment="0"/>
    <xf numFmtId="218" fontId="102" fillId="0" borderId="0" applyFill="0" applyBorder="0" applyAlignment="0"/>
    <xf numFmtId="219" fontId="51" fillId="0" borderId="0" applyFill="0" applyBorder="0" applyAlignment="0"/>
    <xf numFmtId="220" fontId="102" fillId="0" borderId="0" applyFill="0" applyBorder="0" applyAlignment="0"/>
    <xf numFmtId="221" fontId="102" fillId="0" borderId="0" applyFill="0" applyBorder="0" applyAlignment="0"/>
    <xf numFmtId="216" fontId="102" fillId="0" borderId="0" applyFill="0" applyBorder="0" applyAlignment="0"/>
    <xf numFmtId="0" fontId="16" fillId="6" borderId="4" applyNumberFormat="0" applyAlignment="0" applyProtection="0"/>
    <xf numFmtId="0" fontId="103" fillId="0" borderId="0"/>
    <xf numFmtId="222" fontId="104" fillId="0" borderId="11" applyFont="0" applyFill="0" applyBorder="0">
      <alignment horizontal="right" vertical="center"/>
    </xf>
    <xf numFmtId="223" fontId="56" fillId="0" borderId="11" applyFill="0" applyBorder="0" applyProtection="0">
      <alignment horizontal="righ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48" fillId="0" borderId="0" applyFont="0" applyFill="0" applyBorder="0" applyAlignment="0" applyProtection="0">
      <alignment vertical="center"/>
    </xf>
    <xf numFmtId="41" fontId="48"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3" fontId="53" fillId="0" borderId="0" applyFont="0" applyFill="0" applyBorder="0" applyAlignment="0" applyProtection="0"/>
    <xf numFmtId="41" fontId="46" fillId="0" borderId="0" applyFont="0" applyFill="0" applyBorder="0" applyAlignment="0" applyProtection="0"/>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41" fontId="105" fillId="0" borderId="0" applyFont="0" applyFill="0" applyBorder="0" applyAlignment="0" applyProtection="0">
      <alignment vertical="center"/>
    </xf>
    <xf numFmtId="220" fontId="102" fillId="0" borderId="0" applyFont="0" applyFill="0" applyBorder="0" applyAlignment="0" applyProtection="0"/>
    <xf numFmtId="170" fontId="106" fillId="0" borderId="0" applyFont="0" applyFill="0" applyBorder="0" applyAlignment="0" applyProtection="0"/>
    <xf numFmtId="43" fontId="106"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70" fontId="106" fillId="0" borderId="0" applyFont="0" applyFill="0" applyBorder="0" applyAlignment="0" applyProtection="0"/>
    <xf numFmtId="43" fontId="106"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43" fontId="5"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180" fontId="44" fillId="0" borderId="0" applyFont="0" applyFill="0" applyBorder="0" applyAlignment="0" applyProtection="0"/>
    <xf numFmtId="43" fontId="48" fillId="0" borderId="0" applyFont="0" applyFill="0" applyBorder="0" applyAlignment="0" applyProtection="0"/>
    <xf numFmtId="180" fontId="107" fillId="0" borderId="0" applyFont="0" applyFill="0" applyBorder="0" applyAlignment="0" applyProtection="0"/>
    <xf numFmtId="180" fontId="10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80" fontId="10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108"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108" fillId="0" borderId="0" applyFont="0" applyFill="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108"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106" fillId="0" borderId="0" applyFont="0" applyFill="0" applyBorder="0" applyAlignment="0" applyProtection="0"/>
    <xf numFmtId="43" fontId="10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0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224" fontId="68" fillId="0" borderId="0"/>
    <xf numFmtId="225" fontId="54" fillId="0" borderId="0"/>
    <xf numFmtId="225" fontId="54" fillId="0" borderId="0"/>
    <xf numFmtId="225" fontId="54" fillId="0" borderId="0"/>
    <xf numFmtId="225" fontId="54" fillId="0" borderId="0"/>
    <xf numFmtId="225" fontId="54" fillId="0" borderId="0"/>
    <xf numFmtId="225" fontId="54" fillId="0" borderId="0"/>
    <xf numFmtId="225" fontId="54" fillId="0" borderId="0"/>
    <xf numFmtId="225" fontId="54" fillId="0" borderId="0"/>
    <xf numFmtId="225" fontId="54" fillId="0" borderId="0"/>
    <xf numFmtId="225" fontId="54" fillId="0" borderId="0"/>
    <xf numFmtId="0" fontId="50" fillId="0" borderId="0"/>
    <xf numFmtId="3" fontId="51" fillId="0" borderId="0" applyFont="0" applyFill="0" applyBorder="0" applyAlignment="0" applyProtection="0"/>
    <xf numFmtId="0" fontId="109" fillId="0" borderId="0" applyNumberFormat="0" applyAlignment="0">
      <alignment horizontal="left"/>
    </xf>
    <xf numFmtId="0" fontId="69" fillId="0" borderId="0" applyFont="0" applyFill="0" applyBorder="0" applyAlignment="0" applyProtection="0"/>
    <xf numFmtId="0" fontId="110" fillId="0" borderId="0" applyFont="0" applyFill="0" applyBorder="0" applyAlignment="0" applyProtection="0"/>
    <xf numFmtId="216" fontId="102" fillId="0" borderId="0" applyFont="0" applyFill="0" applyBorder="0" applyAlignment="0" applyProtection="0"/>
    <xf numFmtId="169" fontId="51" fillId="0" borderId="0" applyNumberFormat="0" applyFont="0" applyFill="0" applyBorder="0" applyAlignment="0" applyProtection="0"/>
    <xf numFmtId="226" fontId="51" fillId="0" borderId="0" applyFont="0" applyFill="0" applyBorder="0" applyAlignment="0" applyProtection="0"/>
    <xf numFmtId="227" fontId="51" fillId="0" borderId="0"/>
    <xf numFmtId="228" fontId="54" fillId="0" borderId="0"/>
    <xf numFmtId="0" fontId="54" fillId="0" borderId="0" applyFont="0" applyFill="0" applyBorder="0" applyAlignment="0" applyProtection="0"/>
    <xf numFmtId="0" fontId="18" fillId="7" borderId="7" applyNumberFormat="0" applyAlignment="0" applyProtection="0"/>
    <xf numFmtId="182" fontId="94" fillId="0" borderId="0" applyFont="0" applyFill="0" applyBorder="0" applyAlignment="0" applyProtection="0"/>
    <xf numFmtId="0" fontId="51" fillId="0" borderId="0" applyFont="0" applyFill="0" applyBorder="0" applyAlignment="0" applyProtection="0"/>
    <xf numFmtId="0" fontId="111" fillId="0" borderId="0" applyFill="0" applyBorder="0" applyAlignment="0" applyProtection="0"/>
    <xf numFmtId="14" fontId="112" fillId="0" borderId="0" applyFill="0" applyBorder="0" applyAlignment="0"/>
    <xf numFmtId="229" fontId="51" fillId="0" borderId="0" applyFont="0" applyFill="0" applyBorder="0" applyAlignment="0" applyProtection="0"/>
    <xf numFmtId="230" fontId="51" fillId="0" borderId="0" applyFont="0" applyFill="0" applyBorder="0" applyAlignment="0" applyProtection="0"/>
    <xf numFmtId="231" fontId="51" fillId="0" borderId="0"/>
    <xf numFmtId="232" fontId="54" fillId="0" borderId="0"/>
    <xf numFmtId="232" fontId="54" fillId="0" borderId="0"/>
    <xf numFmtId="232" fontId="54" fillId="0" borderId="0"/>
    <xf numFmtId="232" fontId="54" fillId="0" borderId="0"/>
    <xf numFmtId="232" fontId="54" fillId="0" borderId="0"/>
    <xf numFmtId="232" fontId="54" fillId="0" borderId="0"/>
    <xf numFmtId="232" fontId="54" fillId="0" borderId="0"/>
    <xf numFmtId="232" fontId="54" fillId="0" borderId="0"/>
    <xf numFmtId="232" fontId="54" fillId="0" borderId="0"/>
    <xf numFmtId="232" fontId="54" fillId="0" borderId="0"/>
    <xf numFmtId="41" fontId="113" fillId="0" borderId="0" applyFont="0" applyFill="0" applyBorder="0" applyAlignment="0" applyProtection="0"/>
    <xf numFmtId="43" fontId="113" fillId="0" borderId="0" applyFont="0" applyFill="0" applyBorder="0" applyAlignment="0" applyProtection="0"/>
    <xf numFmtId="41" fontId="113" fillId="0" borderId="0" applyFont="0" applyFill="0" applyBorder="0" applyAlignment="0" applyProtection="0"/>
    <xf numFmtId="41" fontId="113" fillId="0" borderId="0" applyFont="0" applyFill="0" applyBorder="0" applyAlignment="0" applyProtection="0"/>
    <xf numFmtId="41" fontId="113" fillId="0" borderId="0" applyFont="0" applyFill="0" applyBorder="0" applyAlignment="0" applyProtection="0"/>
    <xf numFmtId="41" fontId="113" fillId="0" borderId="0" applyFont="0" applyFill="0" applyBorder="0" applyAlignment="0" applyProtection="0"/>
    <xf numFmtId="168" fontId="113" fillId="0" borderId="0" applyFont="0" applyFill="0" applyBorder="0" applyAlignment="0" applyProtection="0"/>
    <xf numFmtId="168" fontId="113" fillId="0" borderId="0" applyFont="0" applyFill="0" applyBorder="0" applyAlignment="0" applyProtection="0"/>
    <xf numFmtId="168" fontId="113" fillId="0" borderId="0" applyFont="0" applyFill="0" applyBorder="0" applyAlignment="0" applyProtection="0"/>
    <xf numFmtId="41" fontId="113" fillId="0" borderId="0" applyFont="0" applyFill="0" applyBorder="0" applyAlignment="0" applyProtection="0"/>
    <xf numFmtId="41" fontId="113" fillId="0" borderId="0" applyFont="0" applyFill="0" applyBorder="0" applyAlignment="0" applyProtection="0"/>
    <xf numFmtId="41" fontId="113" fillId="0" borderId="0" applyFont="0" applyFill="0" applyBorder="0" applyAlignment="0" applyProtection="0"/>
    <xf numFmtId="168" fontId="113" fillId="0" borderId="0" applyFont="0" applyFill="0" applyBorder="0" applyAlignment="0" applyProtection="0"/>
    <xf numFmtId="168" fontId="113" fillId="0" borderId="0" applyFont="0" applyFill="0" applyBorder="0" applyAlignment="0" applyProtection="0"/>
    <xf numFmtId="179" fontId="113" fillId="0" borderId="0" applyFont="0" applyFill="0" applyBorder="0" applyAlignment="0" applyProtection="0"/>
    <xf numFmtId="179" fontId="113" fillId="0" borderId="0" applyFont="0" applyFill="0" applyBorder="0" applyAlignment="0" applyProtection="0"/>
    <xf numFmtId="168"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170" fontId="113" fillId="0" borderId="0" applyFont="0" applyFill="0" applyBorder="0" applyAlignment="0" applyProtection="0"/>
    <xf numFmtId="170" fontId="113" fillId="0" borderId="0" applyFont="0" applyFill="0" applyBorder="0" applyAlignment="0" applyProtection="0"/>
    <xf numFmtId="170"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170" fontId="113" fillId="0" borderId="0" applyFont="0" applyFill="0" applyBorder="0" applyAlignment="0" applyProtection="0"/>
    <xf numFmtId="170" fontId="113" fillId="0" borderId="0" applyFont="0" applyFill="0" applyBorder="0" applyAlignment="0" applyProtection="0"/>
    <xf numFmtId="180" fontId="113" fillId="0" borderId="0" applyFont="0" applyFill="0" applyBorder="0" applyAlignment="0" applyProtection="0"/>
    <xf numFmtId="180" fontId="113" fillId="0" borderId="0" applyFont="0" applyFill="0" applyBorder="0" applyAlignment="0" applyProtection="0"/>
    <xf numFmtId="170" fontId="113" fillId="0" borderId="0" applyFont="0" applyFill="0" applyBorder="0" applyAlignment="0" applyProtection="0"/>
    <xf numFmtId="220" fontId="102" fillId="0" borderId="0" applyFill="0" applyBorder="0" applyAlignment="0"/>
    <xf numFmtId="216" fontId="102" fillId="0" borderId="0" applyFill="0" applyBorder="0" applyAlignment="0"/>
    <xf numFmtId="220" fontId="102" fillId="0" borderId="0" applyFill="0" applyBorder="0" applyAlignment="0"/>
    <xf numFmtId="221" fontId="102" fillId="0" borderId="0" applyFill="0" applyBorder="0" applyAlignment="0"/>
    <xf numFmtId="216" fontId="102" fillId="0" borderId="0" applyFill="0" applyBorder="0" applyAlignment="0"/>
    <xf numFmtId="0" fontId="114" fillId="0" borderId="0" applyNumberFormat="0" applyAlignment="0">
      <alignment horizontal="left"/>
    </xf>
    <xf numFmtId="233" fontId="51"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0" fontId="20" fillId="0" borderId="0" applyNumberFormat="0" applyFill="0" applyBorder="0" applyAlignment="0" applyProtection="0"/>
    <xf numFmtId="0" fontId="116" fillId="0" borderId="0">
      <protection locked="0"/>
    </xf>
    <xf numFmtId="0" fontId="116" fillId="0" borderId="0">
      <protection locked="0"/>
    </xf>
    <xf numFmtId="0" fontId="117" fillId="0" borderId="0">
      <protection locked="0"/>
    </xf>
    <xf numFmtId="0" fontId="116" fillId="0" borderId="0">
      <protection locked="0"/>
    </xf>
    <xf numFmtId="0" fontId="116" fillId="0" borderId="0">
      <protection locked="0"/>
    </xf>
    <xf numFmtId="0" fontId="116" fillId="0" borderId="0">
      <protection locked="0"/>
    </xf>
    <xf numFmtId="0" fontId="117" fillId="0" borderId="0">
      <protection locked="0"/>
    </xf>
    <xf numFmtId="2" fontId="51" fillId="0" borderId="0" applyFont="0" applyFill="0" applyBorder="0" applyAlignment="0" applyProtection="0"/>
    <xf numFmtId="2" fontId="111" fillId="0" borderId="0" applyFill="0" applyBorder="0" applyAlignment="0" applyProtection="0"/>
    <xf numFmtId="0" fontId="11" fillId="2" borderId="0" applyNumberFormat="0" applyBorder="0" applyAlignment="0" applyProtection="0"/>
    <xf numFmtId="38" fontId="118" fillId="41" borderId="0" applyNumberFormat="0" applyBorder="0" applyAlignment="0" applyProtection="0"/>
    <xf numFmtId="38" fontId="118" fillId="41" borderId="0" applyNumberFormat="0" applyBorder="0" applyAlignment="0" applyProtection="0"/>
    <xf numFmtId="0" fontId="119" fillId="0" borderId="0">
      <alignment horizontal="left"/>
    </xf>
    <xf numFmtId="0" fontId="120" fillId="0" borderId="20" applyNumberFormat="0" applyAlignment="0" applyProtection="0">
      <alignment horizontal="left" vertical="center"/>
    </xf>
    <xf numFmtId="0" fontId="120" fillId="0" borderId="13">
      <alignment horizontal="left" vertical="center"/>
    </xf>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21" fillId="0" borderId="0" applyProtection="0"/>
    <xf numFmtId="0" fontId="121" fillId="0" borderId="0" applyNumberFormat="0" applyFill="0" applyBorder="0" applyAlignment="0" applyProtection="0"/>
    <xf numFmtId="0" fontId="120" fillId="0" borderId="0" applyProtection="0"/>
    <xf numFmtId="0" fontId="120" fillId="0" borderId="0" applyNumberFormat="0" applyFill="0" applyBorder="0" applyAlignment="0" applyProtection="0"/>
    <xf numFmtId="165" fontId="122" fillId="42" borderId="11" applyNumberFormat="0" applyAlignment="0">
      <alignment horizontal="left" vertical="top"/>
    </xf>
    <xf numFmtId="49" fontId="123" fillId="0" borderId="11">
      <alignment vertical="center"/>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10" fontId="118" fillId="41" borderId="11" applyNumberFormat="0" applyBorder="0" applyAlignment="0" applyProtection="0"/>
    <xf numFmtId="10" fontId="118" fillId="41" borderId="11" applyNumberFormat="0" applyBorder="0" applyAlignment="0" applyProtection="0"/>
    <xf numFmtId="0" fontId="14" fillId="5" borderId="4" applyNumberFormat="0" applyAlignment="0" applyProtection="0"/>
    <xf numFmtId="0" fontId="46" fillId="0" borderId="0" applyFont="0" applyFill="0" applyBorder="0" applyAlignment="0" applyProtection="0"/>
    <xf numFmtId="234" fontId="46" fillId="0" borderId="21" applyFont="0" applyFill="0" applyBorder="0">
      <alignment horizontal="right" vertical="center"/>
    </xf>
    <xf numFmtId="235" fontId="56" fillId="0" borderId="11" applyFill="0" applyBorder="0" applyProtection="0">
      <alignment horizontal="right" vertical="center"/>
    </xf>
    <xf numFmtId="236" fontId="56" fillId="0" borderId="11" applyFont="0" applyFill="0" applyBorder="0">
      <alignment horizontal="right" vertical="center"/>
    </xf>
    <xf numFmtId="237" fontId="46" fillId="0" borderId="11" applyFill="0" applyBorder="0" applyProtection="0">
      <alignment horizontal="right" vertical="center"/>
    </xf>
    <xf numFmtId="238" fontId="104" fillId="0" borderId="11" applyFont="0" applyFill="0" applyBorder="0">
      <alignment horizontal="right" vertical="center"/>
    </xf>
    <xf numFmtId="0" fontId="47" fillId="0" borderId="0"/>
    <xf numFmtId="0" fontId="125" fillId="0" borderId="22">
      <protection locked="0"/>
    </xf>
    <xf numFmtId="220" fontId="102" fillId="0" borderId="0" applyFill="0" applyBorder="0" applyAlignment="0"/>
    <xf numFmtId="216" fontId="102" fillId="0" borderId="0" applyFill="0" applyBorder="0" applyAlignment="0"/>
    <xf numFmtId="220" fontId="102" fillId="0" borderId="0" applyFill="0" applyBorder="0" applyAlignment="0"/>
    <xf numFmtId="221" fontId="102" fillId="0" borderId="0" applyFill="0" applyBorder="0" applyAlignment="0"/>
    <xf numFmtId="216" fontId="102" fillId="0" borderId="0" applyFill="0" applyBorder="0" applyAlignment="0"/>
    <xf numFmtId="0" fontId="17" fillId="0" borderId="6" applyNumberFormat="0" applyFill="0" applyAlignment="0" applyProtection="0"/>
    <xf numFmtId="239" fontId="126" fillId="0" borderId="0" applyFill="0" applyBorder="0" applyProtection="0">
      <alignment vertical="center"/>
    </xf>
    <xf numFmtId="239" fontId="126" fillId="0" borderId="0" applyFill="0" applyBorder="0" applyProtection="0">
      <alignment vertical="center"/>
    </xf>
    <xf numFmtId="239" fontId="126" fillId="0" borderId="0" applyFill="0" applyBorder="0" applyProtection="0">
      <alignment vertical="center"/>
    </xf>
    <xf numFmtId="239" fontId="126" fillId="0" borderId="0" applyFill="0" applyBorder="0" applyProtection="0">
      <alignment vertical="center"/>
    </xf>
    <xf numFmtId="240" fontId="46" fillId="0" borderId="21" applyFill="0">
      <alignment horizontal="right" vertical="center"/>
    </xf>
    <xf numFmtId="240" fontId="46" fillId="0" borderId="21" applyFill="0">
      <alignment horizontal="right" vertical="center"/>
    </xf>
    <xf numFmtId="240" fontId="46" fillId="0" borderId="21" applyFill="0">
      <alignment horizontal="right" vertical="center"/>
    </xf>
    <xf numFmtId="240" fontId="46" fillId="0" borderId="21" applyFill="0">
      <alignment horizontal="right" vertical="center"/>
    </xf>
    <xf numFmtId="240" fontId="46" fillId="0" borderId="21" applyFill="0">
      <alignment horizontal="right" vertical="center"/>
    </xf>
    <xf numFmtId="240" fontId="46" fillId="0" borderId="21" applyFill="0">
      <alignment horizontal="right" vertical="center"/>
    </xf>
    <xf numFmtId="240" fontId="46" fillId="0" borderId="21" applyFill="0">
      <alignment horizontal="right" vertical="center"/>
    </xf>
    <xf numFmtId="239" fontId="126" fillId="0" borderId="0" applyFill="0" applyBorder="0" applyProtection="0">
      <alignment vertical="center"/>
    </xf>
    <xf numFmtId="240" fontId="46" fillId="0" borderId="21" applyFill="0">
      <alignment horizontal="right" vertical="center"/>
    </xf>
    <xf numFmtId="241" fontId="56" fillId="0" borderId="11" applyFont="0" applyFill="0" applyBorder="0">
      <alignment horizontal="right" vertical="center"/>
    </xf>
    <xf numFmtId="0" fontId="45" fillId="40" borderId="11">
      <alignment vertical="center" wrapText="1"/>
    </xf>
    <xf numFmtId="41" fontId="51" fillId="0" borderId="0" applyFont="0" applyFill="0" applyBorder="0" applyAlignment="0" applyProtection="0"/>
    <xf numFmtId="43" fontId="51" fillId="0" borderId="0" applyFont="0" applyFill="0" applyBorder="0" applyAlignment="0" applyProtection="0"/>
    <xf numFmtId="191" fontId="51" fillId="0" borderId="0" applyFont="0" applyFill="0" applyBorder="0" applyAlignment="0" applyProtection="0"/>
    <xf numFmtId="242" fontId="51" fillId="0" borderId="0" applyFont="0" applyFill="0" applyBorder="0" applyAlignment="0" applyProtection="0"/>
    <xf numFmtId="0" fontId="46" fillId="0" borderId="0" applyFont="0" applyFill="0" applyBorder="0">
      <alignment vertical="center"/>
    </xf>
    <xf numFmtId="0" fontId="46" fillId="0" borderId="0" applyFont="0" applyFill="0" applyBorder="0" applyAlignment="0" applyProtection="0"/>
    <xf numFmtId="0" fontId="127" fillId="0" borderId="22"/>
    <xf numFmtId="164" fontId="51" fillId="0" borderId="23"/>
    <xf numFmtId="243" fontId="54" fillId="0" borderId="0" applyFont="0" applyFill="0" applyBorder="0" applyAlignment="0" applyProtection="0"/>
    <xf numFmtId="244" fontId="54" fillId="0" borderId="0" applyFont="0" applyFill="0" applyBorder="0" applyAlignment="0" applyProtection="0"/>
    <xf numFmtId="245" fontId="51" fillId="0" borderId="0" applyFont="0" applyFill="0" applyBorder="0" applyAlignment="0" applyProtection="0"/>
    <xf numFmtId="246" fontId="51" fillId="0" borderId="0" applyFont="0" applyFill="0" applyBorder="0" applyAlignment="0" applyProtection="0"/>
    <xf numFmtId="237" fontId="46" fillId="0" borderId="11">
      <alignment horizontal="right" vertical="center"/>
    </xf>
    <xf numFmtId="0" fontId="111" fillId="0" borderId="0" applyNumberFormat="0" applyFont="0" applyFill="0" applyAlignment="0"/>
    <xf numFmtId="0" fontId="13" fillId="4" borderId="0" applyNumberFormat="0" applyBorder="0" applyAlignment="0" applyProtection="0"/>
    <xf numFmtId="0" fontId="68" fillId="0" borderId="0"/>
    <xf numFmtId="37" fontId="128" fillId="0" borderId="0"/>
    <xf numFmtId="247" fontId="129" fillId="0" borderId="0"/>
    <xf numFmtId="248" fontId="5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23" fillId="0" borderId="0">
      <alignment vertical="top"/>
    </xf>
    <xf numFmtId="0" fontId="5" fillId="0" borderId="0"/>
    <xf numFmtId="0" fontId="51" fillId="0" borderId="0"/>
    <xf numFmtId="0" fontId="23" fillId="0" borderId="0">
      <alignment vertical="top"/>
    </xf>
    <xf numFmtId="0" fontId="48" fillId="0" borderId="0">
      <alignment vertical="center"/>
    </xf>
    <xf numFmtId="0" fontId="131" fillId="0" borderId="0">
      <alignment vertical="center"/>
    </xf>
    <xf numFmtId="0" fontId="106" fillId="0" borderId="0"/>
    <xf numFmtId="0" fontId="107" fillId="0" borderId="0"/>
    <xf numFmtId="0" fontId="107" fillId="0" borderId="0"/>
    <xf numFmtId="0" fontId="107" fillId="0" borderId="0"/>
    <xf numFmtId="0" fontId="107" fillId="0" borderId="0"/>
    <xf numFmtId="0" fontId="5" fillId="0" borderId="0"/>
    <xf numFmtId="0" fontId="5"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5" fillId="0" borderId="0"/>
    <xf numFmtId="0" fontId="5" fillId="0" borderId="0"/>
    <xf numFmtId="0" fontId="5" fillId="0" borderId="0"/>
    <xf numFmtId="0" fontId="23" fillId="0" borderId="0">
      <alignment vertical="top"/>
    </xf>
    <xf numFmtId="0" fontId="5" fillId="0" borderId="0"/>
    <xf numFmtId="0" fontId="5" fillId="0" borderId="0"/>
    <xf numFmtId="0" fontId="107" fillId="0" borderId="0"/>
    <xf numFmtId="0" fontId="107" fillId="0" borderId="0"/>
    <xf numFmtId="0" fontId="107" fillId="0" borderId="0"/>
    <xf numFmtId="0" fontId="107" fillId="0" borderId="0"/>
    <xf numFmtId="0" fontId="108" fillId="0" borderId="0"/>
    <xf numFmtId="0" fontId="108" fillId="0" borderId="0"/>
    <xf numFmtId="0" fontId="107" fillId="0" borderId="0"/>
    <xf numFmtId="0" fontId="5" fillId="0" borderId="0"/>
    <xf numFmtId="0" fontId="5" fillId="0" borderId="0"/>
    <xf numFmtId="0" fontId="28" fillId="0" borderId="0">
      <alignment vertical="top"/>
    </xf>
    <xf numFmtId="0" fontId="5" fillId="0" borderId="0"/>
    <xf numFmtId="0" fontId="5" fillId="0" borderId="0"/>
    <xf numFmtId="0" fontId="5" fillId="0" borderId="0"/>
    <xf numFmtId="0" fontId="5" fillId="0" borderId="0"/>
    <xf numFmtId="0" fontId="23" fillId="0" borderId="0">
      <alignment vertical="top"/>
    </xf>
    <xf numFmtId="0" fontId="23" fillId="0" borderId="0">
      <alignment vertical="top"/>
    </xf>
    <xf numFmtId="0" fontId="28" fillId="0" borderId="0">
      <alignment vertical="top"/>
    </xf>
    <xf numFmtId="0" fontId="5" fillId="0" borderId="0"/>
    <xf numFmtId="0" fontId="5" fillId="0" borderId="0"/>
    <xf numFmtId="0" fontId="5"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08" fillId="0" borderId="0"/>
    <xf numFmtId="0" fontId="23" fillId="0" borderId="0">
      <alignment vertical="top"/>
    </xf>
    <xf numFmtId="0" fontId="23" fillId="0" borderId="0">
      <alignment vertical="top"/>
    </xf>
    <xf numFmtId="0" fontId="5"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8"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8" fillId="0" borderId="0">
      <alignment vertical="top"/>
    </xf>
    <xf numFmtId="0" fontId="105"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08" fillId="0" borderId="0"/>
    <xf numFmtId="0" fontId="132" fillId="0" borderId="0">
      <alignment vertical="center"/>
    </xf>
    <xf numFmtId="0" fontId="108" fillId="0" borderId="0"/>
    <xf numFmtId="0" fontId="108" fillId="0" borderId="0"/>
    <xf numFmtId="0" fontId="108"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08" fillId="0" borderId="0"/>
    <xf numFmtId="0" fontId="108" fillId="0" borderId="0"/>
    <xf numFmtId="0" fontId="108" fillId="0" borderId="0"/>
    <xf numFmtId="0" fontId="108" fillId="0" borderId="0"/>
    <xf numFmtId="0" fontId="47" fillId="0" borderId="0"/>
    <xf numFmtId="0" fontId="68" fillId="0" borderId="0" applyFont="0" applyFill="0" applyBorder="0" applyAlignment="0" applyProtection="0">
      <alignment horizontal="centerContinuous"/>
    </xf>
    <xf numFmtId="0" fontId="68" fillId="0" borderId="0" applyFont="0" applyFill="0" applyBorder="0" applyAlignment="0" applyProtection="0">
      <alignment horizontal="centerContinuous"/>
    </xf>
    <xf numFmtId="249" fontId="50" fillId="0" borderId="0" applyFont="0" applyFill="0" applyBorder="0" applyAlignment="0" applyProtection="0">
      <alignment horizontal="centerContinuous"/>
    </xf>
    <xf numFmtId="0" fontId="51" fillId="0" borderId="0"/>
    <xf numFmtId="0" fontId="113" fillId="0" borderId="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15" fillId="6" borderId="5" applyNumberFormat="0" applyAlignment="0" applyProtection="0"/>
    <xf numFmtId="219" fontId="51" fillId="0" borderId="0" applyFont="0" applyFill="0" applyBorder="0" applyAlignment="0" applyProtection="0"/>
    <xf numFmtId="250" fontId="51" fillId="0" borderId="0" applyFont="0" applyFill="0" applyBorder="0" applyAlignment="0" applyProtection="0"/>
    <xf numFmtId="10" fontId="51" fillId="0" borderId="0" applyFont="0" applyFill="0" applyBorder="0" applyAlignment="0" applyProtection="0"/>
    <xf numFmtId="9" fontId="48" fillId="0" borderId="0" applyFont="0" applyFill="0" applyBorder="0" applyAlignment="0" applyProtection="0">
      <alignment vertical="center"/>
    </xf>
    <xf numFmtId="0" fontId="116" fillId="0" borderId="0">
      <protection locked="0"/>
    </xf>
    <xf numFmtId="220" fontId="102" fillId="0" borderId="0" applyFill="0" applyBorder="0" applyAlignment="0"/>
    <xf numFmtId="216" fontId="102" fillId="0" borderId="0" applyFill="0" applyBorder="0" applyAlignment="0"/>
    <xf numFmtId="220" fontId="102" fillId="0" borderId="0" applyFill="0" applyBorder="0" applyAlignment="0"/>
    <xf numFmtId="221" fontId="102" fillId="0" borderId="0" applyFill="0" applyBorder="0" applyAlignment="0"/>
    <xf numFmtId="216" fontId="102" fillId="0" borderId="0" applyFill="0" applyBorder="0" applyAlignment="0"/>
    <xf numFmtId="0" fontId="130" fillId="0" borderId="0"/>
    <xf numFmtId="0" fontId="53" fillId="0" borderId="0" applyNumberFormat="0" applyFont="0" applyFill="0" applyBorder="0" applyAlignment="0" applyProtection="0">
      <alignment horizontal="left"/>
    </xf>
    <xf numFmtId="0" fontId="133" fillId="0" borderId="22">
      <alignment horizontal="center"/>
    </xf>
    <xf numFmtId="14" fontId="134" fillId="0" borderId="0" applyNumberFormat="0" applyFill="0" applyBorder="0" applyAlignment="0" applyProtection="0">
      <alignment horizontal="left"/>
    </xf>
    <xf numFmtId="0" fontId="115" fillId="0" borderId="0"/>
    <xf numFmtId="4" fontId="135" fillId="43" borderId="24" applyNumberFormat="0" applyProtection="0">
      <alignment vertical="center"/>
    </xf>
    <xf numFmtId="4" fontId="136" fillId="43" borderId="24" applyNumberFormat="0" applyProtection="0">
      <alignment vertical="center"/>
    </xf>
    <xf numFmtId="4" fontId="137" fillId="43" borderId="24" applyNumberFormat="0" applyProtection="0">
      <alignment horizontal="left" vertical="center" indent="1"/>
    </xf>
    <xf numFmtId="4" fontId="137" fillId="44" borderId="0" applyNumberFormat="0" applyProtection="0">
      <alignment horizontal="left" vertical="center" indent="1"/>
    </xf>
    <xf numFmtId="4" fontId="137" fillId="45" borderId="24" applyNumberFormat="0" applyProtection="0">
      <alignment horizontal="right" vertical="center"/>
    </xf>
    <xf numFmtId="4" fontId="137" fillId="46" borderId="24" applyNumberFormat="0" applyProtection="0">
      <alignment horizontal="right" vertical="center"/>
    </xf>
    <xf numFmtId="4" fontId="137" fillId="47" borderId="24" applyNumberFormat="0" applyProtection="0">
      <alignment horizontal="right" vertical="center"/>
    </xf>
    <xf numFmtId="4" fontId="137" fillId="48" borderId="24" applyNumberFormat="0" applyProtection="0">
      <alignment horizontal="right" vertical="center"/>
    </xf>
    <xf numFmtId="4" fontId="137" fillId="49" borderId="24" applyNumberFormat="0" applyProtection="0">
      <alignment horizontal="right" vertical="center"/>
    </xf>
    <xf numFmtId="4" fontId="137" fillId="50" borderId="24" applyNumberFormat="0" applyProtection="0">
      <alignment horizontal="right" vertical="center"/>
    </xf>
    <xf numFmtId="4" fontId="137" fillId="51" borderId="24" applyNumberFormat="0" applyProtection="0">
      <alignment horizontal="right" vertical="center"/>
    </xf>
    <xf numFmtId="4" fontId="137" fillId="52" borderId="24" applyNumberFormat="0" applyProtection="0">
      <alignment horizontal="right" vertical="center"/>
    </xf>
    <xf numFmtId="4" fontId="137" fillId="53" borderId="24" applyNumberFormat="0" applyProtection="0">
      <alignment horizontal="right" vertical="center"/>
    </xf>
    <xf numFmtId="4" fontId="135" fillId="54" borderId="25" applyNumberFormat="0" applyProtection="0">
      <alignment horizontal="left" vertical="center" indent="1"/>
    </xf>
    <xf numFmtId="4" fontId="135" fillId="55" borderId="0" applyNumberFormat="0" applyProtection="0">
      <alignment horizontal="left" vertical="center" indent="1"/>
    </xf>
    <xf numFmtId="4" fontId="135" fillId="44" borderId="0" applyNumberFormat="0" applyProtection="0">
      <alignment horizontal="left" vertical="center" indent="1"/>
    </xf>
    <xf numFmtId="4" fontId="137" fillId="55" borderId="24" applyNumberFormat="0" applyProtection="0">
      <alignment horizontal="right" vertical="center"/>
    </xf>
    <xf numFmtId="4" fontId="112" fillId="55" borderId="0" applyNumberFormat="0" applyProtection="0">
      <alignment horizontal="left" vertical="center" indent="1"/>
    </xf>
    <xf numFmtId="4" fontId="112" fillId="44" borderId="0" applyNumberFormat="0" applyProtection="0">
      <alignment horizontal="left" vertical="center" indent="1"/>
    </xf>
    <xf numFmtId="4" fontId="137" fillId="56" borderId="24" applyNumberFormat="0" applyProtection="0">
      <alignment vertical="center"/>
    </xf>
    <xf numFmtId="4" fontId="138" fillId="56" borderId="24" applyNumberFormat="0" applyProtection="0">
      <alignment vertical="center"/>
    </xf>
    <xf numFmtId="4" fontId="135" fillId="55" borderId="26" applyNumberFormat="0" applyProtection="0">
      <alignment horizontal="left" vertical="center" indent="1"/>
    </xf>
    <xf numFmtId="4" fontId="137" fillId="56" borderId="24" applyNumberFormat="0" applyProtection="0">
      <alignment horizontal="right" vertical="center"/>
    </xf>
    <xf numFmtId="4" fontId="138" fillId="56" borderId="24" applyNumberFormat="0" applyProtection="0">
      <alignment horizontal="right" vertical="center"/>
    </xf>
    <xf numFmtId="4" fontId="135" fillId="55" borderId="24" applyNumberFormat="0" applyProtection="0">
      <alignment horizontal="left" vertical="center" indent="1"/>
    </xf>
    <xf numFmtId="4" fontId="139" fillId="42" borderId="26" applyNumberFormat="0" applyProtection="0">
      <alignment horizontal="left" vertical="center" indent="1"/>
    </xf>
    <xf numFmtId="4" fontId="140" fillId="56" borderId="24" applyNumberFormat="0" applyProtection="0">
      <alignment horizontal="right" vertical="center"/>
    </xf>
    <xf numFmtId="0" fontId="141" fillId="48" borderId="11">
      <alignment vertical="center" wrapText="1"/>
    </xf>
    <xf numFmtId="0" fontId="51" fillId="0" borderId="0"/>
    <xf numFmtId="0" fontId="118" fillId="0" borderId="16" applyAlignment="0"/>
    <xf numFmtId="0" fontId="142" fillId="0" borderId="16"/>
    <xf numFmtId="0" fontId="121" fillId="57" borderId="0"/>
    <xf numFmtId="0" fontId="120" fillId="57" borderId="0"/>
    <xf numFmtId="0" fontId="143" fillId="0" borderId="0" applyNumberFormat="0" applyFill="0" applyBorder="0" applyAlignment="0" applyProtection="0"/>
    <xf numFmtId="182" fontId="94" fillId="0" borderId="0" applyFont="0" applyFill="0" applyBorder="0" applyAlignment="0" applyProtection="0"/>
    <xf numFmtId="0" fontId="127" fillId="0" borderId="0"/>
    <xf numFmtId="40" fontId="144" fillId="0" borderId="0" applyBorder="0">
      <alignment horizontal="right"/>
    </xf>
    <xf numFmtId="251" fontId="145" fillId="0" borderId="27">
      <alignment horizontal="right" vertical="center"/>
    </xf>
    <xf numFmtId="0" fontId="51" fillId="0" borderId="11">
      <alignment horizontal="center" vertical="center" wrapText="1"/>
    </xf>
    <xf numFmtId="49" fontId="112" fillId="0" borderId="0" applyFill="0" applyBorder="0" applyAlignment="0"/>
    <xf numFmtId="252" fontId="51" fillId="0" borderId="0" applyFill="0" applyBorder="0" applyAlignment="0"/>
    <xf numFmtId="253" fontId="51" fillId="0" borderId="0" applyFill="0" applyBorder="0" applyAlignment="0"/>
    <xf numFmtId="43" fontId="54" fillId="0" borderId="0" applyFont="0" applyFill="0" applyBorder="0" applyAlignment="0" applyProtection="0"/>
    <xf numFmtId="43" fontId="54" fillId="0" borderId="0" applyFont="0" applyFill="0" applyBorder="0" applyAlignment="0" applyProtection="0"/>
    <xf numFmtId="0" fontId="7" fillId="0" borderId="0" applyNumberFormat="0" applyFill="0" applyBorder="0" applyAlignment="0" applyProtection="0"/>
    <xf numFmtId="254" fontId="56" fillId="0" borderId="11" applyFont="0" applyFill="0" applyBorder="0">
      <alignment horizontal="right" vertical="center"/>
    </xf>
    <xf numFmtId="255" fontId="50" fillId="0" borderId="0" applyFill="0" applyBorder="0" applyProtection="0"/>
    <xf numFmtId="256" fontId="50" fillId="0" borderId="11" applyFont="0" applyFill="0" applyBorder="0" applyProtection="0">
      <alignment horizontal="right" vertical="center"/>
    </xf>
    <xf numFmtId="257" fontId="50" fillId="0" borderId="11" applyFont="0" applyFill="0" applyBorder="0">
      <alignment horizontal="right" vertical="center"/>
    </xf>
    <xf numFmtId="254" fontId="56" fillId="0" borderId="11" applyFont="0" applyFill="0" applyBorder="0">
      <alignment horizontal="right" vertical="center"/>
    </xf>
    <xf numFmtId="0" fontId="21" fillId="0" borderId="9" applyNumberFormat="0" applyFill="0" applyAlignment="0" applyProtection="0"/>
    <xf numFmtId="258" fontId="56" fillId="0" borderId="11" applyFont="0" applyFill="0" applyBorder="0">
      <alignment horizontal="right" vertical="center"/>
    </xf>
    <xf numFmtId="245" fontId="145" fillId="0" borderId="27">
      <alignment horizontal="center"/>
    </xf>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259" fontId="51" fillId="0" borderId="0" applyFont="0" applyFill="0" applyBorder="0" applyAlignment="0" applyProtection="0"/>
    <xf numFmtId="260" fontId="51" fillId="0" borderId="0" applyFont="0" applyFill="0" applyBorder="0" applyAlignment="0" applyProtection="0"/>
    <xf numFmtId="261" fontId="145" fillId="0" borderId="0"/>
    <xf numFmtId="262" fontId="145" fillId="0" borderId="11"/>
    <xf numFmtId="165" fontId="146" fillId="58" borderId="28">
      <alignment vertical="top"/>
    </xf>
    <xf numFmtId="165" fontId="143" fillId="0" borderId="16">
      <alignment horizontal="left" vertical="top"/>
    </xf>
    <xf numFmtId="0" fontId="147" fillId="0" borderId="16">
      <alignment horizontal="left" vertical="center"/>
    </xf>
    <xf numFmtId="0" fontId="148" fillId="59" borderId="11">
      <alignment horizontal="left" vertical="center"/>
    </xf>
    <xf numFmtId="166" fontId="149" fillId="60" borderId="28"/>
    <xf numFmtId="165" fontId="122" fillId="0" borderId="28">
      <alignment horizontal="left" vertical="top"/>
    </xf>
    <xf numFmtId="0" fontId="150" fillId="61" borderId="0">
      <alignment horizontal="left" vertical="center"/>
    </xf>
    <xf numFmtId="167" fontId="51" fillId="0" borderId="0" applyFont="0" applyFill="0" applyBorder="0" applyAlignment="0" applyProtection="0"/>
    <xf numFmtId="169" fontId="51" fillId="0" borderId="0" applyFont="0" applyFill="0" applyBorder="0" applyAlignment="0" applyProtection="0"/>
    <xf numFmtId="263" fontId="51" fillId="0" borderId="0" applyFont="0" applyFill="0" applyBorder="0" applyAlignment="0" applyProtection="0"/>
    <xf numFmtId="264" fontId="51" fillId="0" borderId="0" applyFont="0" applyFill="0" applyBorder="0" applyAlignment="0" applyProtection="0"/>
    <xf numFmtId="167" fontId="113" fillId="0" borderId="0" applyFont="0" applyFill="0" applyBorder="0" applyAlignment="0" applyProtection="0"/>
    <xf numFmtId="169" fontId="113" fillId="0" borderId="0" applyFont="0" applyFill="0" applyBorder="0" applyAlignment="0" applyProtection="0"/>
    <xf numFmtId="0" fontId="19" fillId="0" borderId="0" applyNumberFormat="0" applyFill="0" applyBorder="0" applyAlignment="0" applyProtection="0"/>
    <xf numFmtId="167" fontId="51" fillId="0" borderId="0" applyFont="0" applyFill="0" applyBorder="0" applyAlignment="0" applyProtection="0"/>
    <xf numFmtId="169" fontId="51" fillId="0" borderId="0" applyFont="0" applyFill="0" applyBorder="0" applyAlignment="0" applyProtection="0"/>
    <xf numFmtId="0" fontId="151" fillId="0" borderId="0" applyNumberFormat="0" applyFill="0" applyBorder="0" applyAlignment="0" applyProtection="0"/>
    <xf numFmtId="0" fontId="152" fillId="0" borderId="0" applyNumberFormat="0" applyFill="0" applyBorder="0" applyAlignment="0" applyProtection="0">
      <alignment vertical="top"/>
      <protection locked="0"/>
    </xf>
    <xf numFmtId="0" fontId="115" fillId="0" borderId="0">
      <protection locked="0"/>
    </xf>
    <xf numFmtId="0" fontId="153" fillId="0" borderId="0" applyFont="0" applyFill="0" applyBorder="0" applyAlignment="0" applyProtection="0"/>
    <xf numFmtId="0" fontId="153" fillId="0" borderId="0" applyFont="0" applyFill="0" applyBorder="0" applyAlignment="0" applyProtection="0"/>
    <xf numFmtId="0" fontId="49" fillId="0" borderId="0">
      <alignment vertical="center"/>
    </xf>
    <xf numFmtId="265" fontId="50" fillId="0" borderId="0">
      <protection locked="0"/>
    </xf>
    <xf numFmtId="0" fontId="154" fillId="0" borderId="0">
      <protection locked="0"/>
    </xf>
    <xf numFmtId="0" fontId="154" fillId="0" borderId="0">
      <protection locked="0"/>
    </xf>
    <xf numFmtId="266" fontId="50" fillId="0" borderId="11">
      <alignment horizontal="right" vertical="center" shrinkToFit="1"/>
    </xf>
    <xf numFmtId="38" fontId="115" fillId="0" borderId="0"/>
    <xf numFmtId="0" fontId="125" fillId="0" borderId="0">
      <protection locked="0"/>
    </xf>
    <xf numFmtId="0" fontId="116" fillId="0" borderId="0">
      <protection locked="0"/>
    </xf>
    <xf numFmtId="0" fontId="116" fillId="0" borderId="0">
      <protection locked="0"/>
    </xf>
    <xf numFmtId="0" fontId="155" fillId="0" borderId="0" applyNumberFormat="0" applyFill="0" applyBorder="0" applyAlignment="0" applyProtection="0">
      <alignment vertical="top"/>
      <protection locked="0"/>
    </xf>
    <xf numFmtId="0" fontId="51" fillId="0" borderId="0" applyFont="0" applyFill="0" applyBorder="0" applyAlignment="0" applyProtection="0"/>
    <xf numFmtId="0" fontId="51" fillId="0" borderId="0" applyFont="0" applyFill="0" applyBorder="0" applyAlignment="0" applyProtection="0"/>
    <xf numFmtId="40" fontId="156" fillId="0" borderId="0" applyFont="0" applyFill="0" applyBorder="0" applyAlignment="0" applyProtection="0"/>
    <xf numFmtId="38" fontId="156"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39" fontId="56" fillId="0" borderId="11" applyFont="0" applyFill="0" applyBorder="0">
      <alignment horizontal="right" vertical="center"/>
    </xf>
    <xf numFmtId="0" fontId="156" fillId="0" borderId="0" applyFont="0" applyFill="0" applyBorder="0" applyAlignment="0" applyProtection="0"/>
    <xf numFmtId="0" fontId="156"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57" fillId="0" borderId="0" applyFont="0" applyFill="0" applyBorder="0" applyAlignment="0" applyProtection="0"/>
    <xf numFmtId="9" fontId="157" fillId="0" borderId="0" applyFont="0" applyFill="0" applyBorder="0" applyAlignment="0" applyProtection="0"/>
    <xf numFmtId="0" fontId="54" fillId="0" borderId="11" applyFont="0" applyBorder="0" applyAlignment="0">
      <alignment horizontal="center" vertical="center"/>
    </xf>
    <xf numFmtId="267" fontId="54" fillId="0" borderId="29" applyFont="0" applyFill="0" applyAlignment="0" applyProtection="0">
      <alignment horizontal="center" vertical="center"/>
    </xf>
    <xf numFmtId="267" fontId="54" fillId="0" borderId="29" applyFont="0" applyFill="0" applyAlignment="0" applyProtection="0">
      <alignment horizontal="center" vertical="center"/>
    </xf>
    <xf numFmtId="0" fontId="158" fillId="0" borderId="0"/>
    <xf numFmtId="0" fontId="54" fillId="0" borderId="0" applyFont="0" applyFill="0" applyBorder="0" applyAlignment="0" applyProtection="0"/>
    <xf numFmtId="0" fontId="54" fillId="0" borderId="0" applyFont="0" applyFill="0" applyBorder="0" applyAlignment="0" applyProtection="0"/>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268" fontId="54" fillId="0" borderId="0">
      <alignment vertical="center"/>
    </xf>
    <xf numFmtId="41" fontId="54" fillId="0" borderId="0" applyFont="0" applyFill="0" applyBorder="0" applyAlignment="0" applyProtection="0"/>
    <xf numFmtId="41" fontId="132" fillId="0" borderId="0" applyFont="0" applyFill="0" applyBorder="0" applyAlignment="0" applyProtection="0">
      <alignment vertical="center"/>
    </xf>
    <xf numFmtId="41" fontId="132"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159" fillId="0" borderId="0" applyFont="0" applyFill="0" applyBorder="0" applyAlignment="0" applyProtection="0">
      <alignment vertical="center"/>
    </xf>
    <xf numFmtId="41" fontId="159" fillId="0" borderId="0" applyFont="0" applyFill="0" applyBorder="0" applyAlignment="0" applyProtection="0">
      <alignment vertical="center"/>
    </xf>
    <xf numFmtId="41" fontId="159" fillId="0" borderId="0" applyFont="0" applyFill="0" applyBorder="0" applyAlignment="0" applyProtection="0">
      <alignment vertical="center"/>
    </xf>
    <xf numFmtId="41" fontId="159"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260" fontId="157" fillId="0" borderId="0" applyFont="0" applyFill="0" applyBorder="0" applyAlignment="0" applyProtection="0"/>
    <xf numFmtId="41" fontId="160" fillId="0" borderId="0" applyFont="0" applyFill="0" applyBorder="0" applyAlignment="0" applyProtection="0">
      <alignment vertical="center"/>
    </xf>
    <xf numFmtId="269" fontId="160" fillId="0" borderId="0" applyFont="0" applyFill="0" applyBorder="0" applyAlignment="0" applyProtection="0">
      <alignment vertical="center"/>
    </xf>
    <xf numFmtId="41" fontId="160" fillId="0" borderId="0" applyFont="0" applyFill="0" applyBorder="0" applyAlignment="0" applyProtection="0">
      <alignment vertical="center"/>
    </xf>
    <xf numFmtId="270" fontId="51" fillId="0" borderId="0" applyFont="0" applyFill="0" applyBorder="0" applyAlignment="0" applyProtection="0"/>
    <xf numFmtId="43" fontId="47" fillId="0" borderId="0" applyFont="0" applyFill="0" applyBorder="0" applyAlignment="0" applyProtection="0"/>
    <xf numFmtId="194" fontId="161" fillId="0" borderId="0" applyFont="0" applyFill="0" applyBorder="0" applyAlignment="0" applyProtection="0"/>
    <xf numFmtId="4" fontId="116" fillId="0" borderId="0">
      <protection locked="0"/>
    </xf>
    <xf numFmtId="0" fontId="51" fillId="0" borderId="0"/>
    <xf numFmtId="40" fontId="53" fillId="0" borderId="0" applyFont="0" applyFill="0" applyBorder="0" applyAlignment="0" applyProtection="0"/>
    <xf numFmtId="0" fontId="68" fillId="0" borderId="0"/>
    <xf numFmtId="0" fontId="68" fillId="0" borderId="0"/>
    <xf numFmtId="0" fontId="68" fillId="0" borderId="0"/>
    <xf numFmtId="0" fontId="162" fillId="0" borderId="13" applyFill="0" applyBorder="0">
      <alignment horizontal="left" vertical="center"/>
    </xf>
    <xf numFmtId="0" fontId="163" fillId="0" borderId="21"/>
    <xf numFmtId="271" fontId="56" fillId="0" borderId="11" applyFill="0">
      <alignment horizontal="right" vertical="center"/>
    </xf>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248" fontId="50"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274"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5"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76"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10"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48" fontId="50"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8"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79" fontId="54"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48" fontId="50"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81"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84" fontId="69" fillId="0" borderId="0" applyFont="0" applyFill="0" applyBorder="0" applyAlignment="0" applyProtection="0"/>
    <xf numFmtId="285" fontId="69" fillId="0" borderId="0" applyFont="0" applyFill="0" applyBorder="0" applyAlignment="0" applyProtection="0"/>
    <xf numFmtId="284" fontId="69" fillId="0" borderId="0" applyFont="0" applyFill="0" applyBorder="0" applyAlignment="0" applyProtection="0"/>
    <xf numFmtId="284" fontId="69" fillId="0" borderId="0" applyFont="0" applyFill="0" applyBorder="0" applyAlignment="0" applyProtection="0"/>
    <xf numFmtId="285" fontId="69" fillId="0" borderId="0" applyFont="0" applyFill="0" applyBorder="0" applyAlignment="0" applyProtection="0"/>
    <xf numFmtId="284"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285" fontId="69" fillId="0" borderId="0" applyFont="0" applyFill="0" applyBorder="0" applyAlignment="0" applyProtection="0"/>
    <xf numFmtId="284" fontId="69"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3"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82"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74" fontId="54"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10" fontId="69" fillId="0" borderId="0" applyFont="0" applyFill="0" applyBorder="0" applyAlignment="0" applyProtection="0"/>
    <xf numFmtId="211" fontId="69" fillId="0" borderId="0" applyFont="0" applyFill="0" applyBorder="0" applyAlignment="0" applyProtection="0"/>
    <xf numFmtId="210" fontId="69" fillId="0" borderId="0" applyFont="0" applyFill="0" applyBorder="0" applyAlignment="0" applyProtection="0"/>
    <xf numFmtId="210" fontId="69" fillId="0" borderId="0" applyFont="0" applyFill="0" applyBorder="0" applyAlignment="0" applyProtection="0"/>
    <xf numFmtId="211" fontId="69" fillId="0" borderId="0" applyFont="0" applyFill="0" applyBorder="0" applyAlignment="0" applyProtection="0"/>
    <xf numFmtId="21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211" fontId="69" fillId="0" borderId="0" applyFont="0" applyFill="0" applyBorder="0" applyAlignment="0" applyProtection="0"/>
    <xf numFmtId="210" fontId="69"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3"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70" fontId="54" fillId="0" borderId="0" applyFont="0" applyFill="0" applyBorder="0" applyAlignment="0" applyProtection="0"/>
    <xf numFmtId="248" fontId="50"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286"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7" fontId="50" fillId="0" borderId="0" applyFont="0" applyFill="0" applyBorder="0" applyAlignment="0" applyProtection="0"/>
    <xf numFmtId="288" fontId="50"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74" fontId="50" fillId="0" borderId="0" applyFont="0" applyFill="0" applyBorder="0" applyAlignment="0" applyProtection="0"/>
    <xf numFmtId="274" fontId="50" fillId="0" borderId="0" applyFont="0" applyFill="0" applyBorder="0" applyAlignment="0" applyProtection="0"/>
    <xf numFmtId="274" fontId="50"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80"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77"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72" fontId="54"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248" fontId="50" fillId="0" borderId="0" applyFont="0" applyFill="0" applyBorder="0" applyAlignment="0" applyProtection="0"/>
    <xf numFmtId="0" fontId="50" fillId="0" borderId="0" applyFont="0" applyFill="0" applyBorder="0" applyAlignment="0" applyProtection="0"/>
    <xf numFmtId="4" fontId="116" fillId="0" borderId="0">
      <protection locked="0"/>
    </xf>
    <xf numFmtId="0" fontId="164" fillId="0" borderId="0"/>
    <xf numFmtId="4" fontId="165" fillId="0" borderId="0" applyFont="0" applyFill="0" applyBorder="0" applyAlignment="0" applyProtection="0"/>
    <xf numFmtId="268" fontId="50" fillId="0" borderId="0">
      <protection locked="0"/>
    </xf>
    <xf numFmtId="0" fontId="50" fillId="0" borderId="0"/>
    <xf numFmtId="0" fontId="50" fillId="0" borderId="0" applyFont="0" applyFill="0" applyBorder="0" applyAlignment="0" applyProtection="0"/>
    <xf numFmtId="3" fontId="50" fillId="0" borderId="0" applyFont="0" applyFill="0" applyBorder="0" applyAlignment="0" applyProtection="0"/>
    <xf numFmtId="0" fontId="50" fillId="0" borderId="18">
      <alignment vertical="center"/>
    </xf>
    <xf numFmtId="9" fontId="166" fillId="0" borderId="0"/>
    <xf numFmtId="0" fontId="50" fillId="0" borderId="0" applyFont="0" applyFill="0" applyBorder="0" applyAlignment="0" applyProtection="0"/>
    <xf numFmtId="289" fontId="54" fillId="0" borderId="0" applyFont="0" applyFill="0" applyBorder="0" applyAlignment="0" applyProtection="0">
      <alignment vertical="center"/>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185" fontId="54" fillId="0" borderId="0">
      <protection locked="0"/>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6" fillId="0" borderId="0"/>
    <xf numFmtId="0" fontId="54" fillId="0" borderId="0"/>
    <xf numFmtId="0" fontId="132" fillId="0" borderId="0">
      <alignment vertical="center"/>
    </xf>
    <xf numFmtId="0" fontId="54" fillId="0" borderId="0">
      <alignment vertical="center"/>
    </xf>
    <xf numFmtId="0" fontId="132" fillId="0" borderId="0">
      <alignment vertical="center"/>
    </xf>
    <xf numFmtId="0" fontId="167" fillId="0" borderId="0"/>
    <xf numFmtId="0" fontId="54" fillId="0" borderId="0">
      <alignment vertical="center"/>
    </xf>
    <xf numFmtId="0" fontId="54" fillId="0" borderId="0">
      <alignment vertical="center"/>
    </xf>
    <xf numFmtId="0" fontId="157" fillId="0" borderId="0"/>
    <xf numFmtId="0" fontId="161" fillId="0" borderId="0"/>
    <xf numFmtId="0" fontId="160" fillId="0" borderId="0">
      <alignment vertical="center"/>
    </xf>
    <xf numFmtId="0" fontId="132" fillId="0" borderId="0">
      <alignment vertical="center"/>
    </xf>
    <xf numFmtId="0" fontId="160" fillId="0" borderId="0">
      <alignment vertical="center"/>
    </xf>
    <xf numFmtId="0" fontId="46" fillId="0" borderId="0"/>
    <xf numFmtId="0" fontId="116" fillId="0" borderId="3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0" fontId="54" fillId="0" borderId="0">
      <protection locked="0"/>
    </xf>
    <xf numFmtId="291" fontId="50" fillId="0" borderId="0">
      <protection locked="0"/>
    </xf>
    <xf numFmtId="0" fontId="111" fillId="0" borderId="0"/>
    <xf numFmtId="0" fontId="168" fillId="0" borderId="0">
      <alignment vertical="center"/>
    </xf>
    <xf numFmtId="41" fontId="169" fillId="0" borderId="0" applyFont="0" applyFill="0" applyBorder="0" applyAlignment="0" applyProtection="0"/>
    <xf numFmtId="43" fontId="169" fillId="0" borderId="0" applyFont="0" applyFill="0" applyBorder="0" applyAlignment="0" applyProtection="0"/>
    <xf numFmtId="41" fontId="170" fillId="0" borderId="0" applyFont="0" applyFill="0" applyBorder="0" applyAlignment="0" applyProtection="0"/>
    <xf numFmtId="43" fontId="170" fillId="0" borderId="0" applyFont="0" applyFill="0" applyBorder="0" applyAlignment="0" applyProtection="0"/>
    <xf numFmtId="0" fontId="171" fillId="0" borderId="0"/>
    <xf numFmtId="0" fontId="54" fillId="0" borderId="0"/>
    <xf numFmtId="0" fontId="49" fillId="0" borderId="0"/>
    <xf numFmtId="40" fontId="172" fillId="0" borderId="0" applyFont="0" applyFill="0" applyBorder="0" applyAlignment="0" applyProtection="0"/>
    <xf numFmtId="292" fontId="51" fillId="0" borderId="0" applyFont="0" applyFill="0" applyBorder="0" applyAlignment="0" applyProtection="0"/>
    <xf numFmtId="0" fontId="173" fillId="0" borderId="0"/>
    <xf numFmtId="0" fontId="174" fillId="0" borderId="0" applyNumberFormat="0" applyFill="0" applyBorder="0" applyAlignment="0" applyProtection="0">
      <alignment vertical="top"/>
      <protection locked="0"/>
    </xf>
    <xf numFmtId="293" fontId="170" fillId="0" borderId="0" applyFont="0" applyFill="0" applyBorder="0" applyAlignment="0" applyProtection="0"/>
    <xf numFmtId="166" fontId="62" fillId="0" borderId="0" applyFont="0" applyFill="0" applyBorder="0" applyAlignment="0" applyProtection="0"/>
    <xf numFmtId="294" fontId="170" fillId="0" borderId="0" applyFont="0" applyFill="0" applyBorder="0" applyAlignment="0" applyProtection="0"/>
    <xf numFmtId="295" fontId="54" fillId="0" borderId="0" applyFont="0" applyFill="0" applyBorder="0" applyAlignment="0" applyProtection="0"/>
    <xf numFmtId="296" fontId="54" fillId="0" borderId="0" applyFont="0" applyFill="0" applyBorder="0" applyAlignment="0" applyProtection="0"/>
    <xf numFmtId="267" fontId="172" fillId="0" borderId="0" applyFont="0" applyFill="0" applyBorder="0" applyAlignment="0" applyProtection="0"/>
    <xf numFmtId="201" fontId="175" fillId="0" borderId="0" applyFont="0" applyFill="0" applyBorder="0" applyAlignment="0" applyProtection="0"/>
    <xf numFmtId="170" fontId="23" fillId="0" borderId="0" applyFont="0" applyFill="0" applyBorder="0" applyAlignment="0" applyProtection="0"/>
    <xf numFmtId="9" fontId="23" fillId="0" borderId="0" applyFont="0" applyFill="0" applyBorder="0" applyAlignment="0" applyProtection="0"/>
    <xf numFmtId="3" fontId="52" fillId="0" borderId="31"/>
    <xf numFmtId="188" fontId="56" fillId="0" borderId="31" applyFill="0" applyBorder="0" applyProtection="0">
      <alignment horizontal="right" vertical="center"/>
    </xf>
    <xf numFmtId="3" fontId="52" fillId="0" borderId="31"/>
    <xf numFmtId="3" fontId="52" fillId="0" borderId="31"/>
    <xf numFmtId="204" fontId="56" fillId="0" borderId="31" applyFont="0" applyFill="0" applyBorder="0">
      <alignment horizontal="right" vertical="center"/>
    </xf>
    <xf numFmtId="222" fontId="104" fillId="0" borderId="31" applyFont="0" applyFill="0" applyBorder="0">
      <alignment horizontal="right" vertical="center"/>
    </xf>
    <xf numFmtId="223" fontId="56" fillId="0" borderId="31" applyFill="0" applyBorder="0" applyProtection="0">
      <alignment horizontal="right" vertical="center"/>
    </xf>
    <xf numFmtId="0" fontId="120" fillId="0" borderId="32">
      <alignment horizontal="left" vertical="center"/>
    </xf>
    <xf numFmtId="165" fontId="122" fillId="42" borderId="31" applyNumberFormat="0" applyAlignment="0">
      <alignment horizontal="left" vertical="top"/>
    </xf>
    <xf numFmtId="49" fontId="123" fillId="0" borderId="31">
      <alignment vertical="center"/>
    </xf>
    <xf numFmtId="10" fontId="118" fillId="41" borderId="31" applyNumberFormat="0" applyBorder="0" applyAlignment="0" applyProtection="0"/>
    <xf numFmtId="10" fontId="118" fillId="41" borderId="31" applyNumberFormat="0" applyBorder="0" applyAlignment="0" applyProtection="0"/>
    <xf numFmtId="235" fontId="56" fillId="0" borderId="31" applyFill="0" applyBorder="0" applyProtection="0">
      <alignment horizontal="right" vertical="center"/>
    </xf>
    <xf numFmtId="236" fontId="56" fillId="0" borderId="31" applyFont="0" applyFill="0" applyBorder="0">
      <alignment horizontal="right" vertical="center"/>
    </xf>
    <xf numFmtId="237" fontId="46" fillId="0" borderId="31" applyFill="0" applyBorder="0" applyProtection="0">
      <alignment horizontal="right" vertical="center"/>
    </xf>
    <xf numFmtId="238" fontId="104" fillId="0" borderId="31" applyFont="0" applyFill="0" applyBorder="0">
      <alignment horizontal="right" vertical="center"/>
    </xf>
    <xf numFmtId="241" fontId="56" fillId="0" borderId="31" applyFont="0" applyFill="0" applyBorder="0">
      <alignment horizontal="right" vertical="center"/>
    </xf>
    <xf numFmtId="0" fontId="45" fillId="40" borderId="31">
      <alignment vertical="center" wrapText="1"/>
    </xf>
    <xf numFmtId="164" fontId="51" fillId="0" borderId="33"/>
    <xf numFmtId="237" fontId="46" fillId="0" borderId="31">
      <alignment horizontal="right" vertical="center"/>
    </xf>
    <xf numFmtId="4" fontId="135" fillId="43" borderId="34" applyNumberFormat="0" applyProtection="0">
      <alignment vertical="center"/>
    </xf>
    <xf numFmtId="4" fontId="136" fillId="43" borderId="34" applyNumberFormat="0" applyProtection="0">
      <alignment vertical="center"/>
    </xf>
    <xf numFmtId="4" fontId="137" fillId="43" borderId="34" applyNumberFormat="0" applyProtection="0">
      <alignment horizontal="left" vertical="center" indent="1"/>
    </xf>
    <xf numFmtId="4" fontId="137" fillId="45" borderId="34" applyNumberFormat="0" applyProtection="0">
      <alignment horizontal="right" vertical="center"/>
    </xf>
    <xf numFmtId="4" fontId="137" fillId="46" borderId="34" applyNumberFormat="0" applyProtection="0">
      <alignment horizontal="right" vertical="center"/>
    </xf>
    <xf numFmtId="4" fontId="137" fillId="47" borderId="34" applyNumberFormat="0" applyProtection="0">
      <alignment horizontal="right" vertical="center"/>
    </xf>
    <xf numFmtId="4" fontId="137" fillId="48" borderId="34" applyNumberFormat="0" applyProtection="0">
      <alignment horizontal="right" vertical="center"/>
    </xf>
    <xf numFmtId="4" fontId="137" fillId="49" borderId="34" applyNumberFormat="0" applyProtection="0">
      <alignment horizontal="right" vertical="center"/>
    </xf>
    <xf numFmtId="4" fontId="137" fillId="50" borderId="34" applyNumberFormat="0" applyProtection="0">
      <alignment horizontal="right" vertical="center"/>
    </xf>
    <xf numFmtId="4" fontId="137" fillId="51" borderId="34" applyNumberFormat="0" applyProtection="0">
      <alignment horizontal="right" vertical="center"/>
    </xf>
    <xf numFmtId="4" fontId="137" fillId="52" borderId="34" applyNumberFormat="0" applyProtection="0">
      <alignment horizontal="right" vertical="center"/>
    </xf>
    <xf numFmtId="4" fontId="137" fillId="53" borderId="34" applyNumberFormat="0" applyProtection="0">
      <alignment horizontal="right" vertical="center"/>
    </xf>
    <xf numFmtId="4" fontId="137" fillId="55" borderId="34" applyNumberFormat="0" applyProtection="0">
      <alignment horizontal="right" vertical="center"/>
    </xf>
    <xf numFmtId="4" fontId="137" fillId="56" borderId="34" applyNumberFormat="0" applyProtection="0">
      <alignment vertical="center"/>
    </xf>
    <xf numFmtId="4" fontId="138" fillId="56" borderId="34" applyNumberFormat="0" applyProtection="0">
      <alignment vertical="center"/>
    </xf>
    <xf numFmtId="4" fontId="135" fillId="55" borderId="35" applyNumberFormat="0" applyProtection="0">
      <alignment horizontal="left" vertical="center" indent="1"/>
    </xf>
    <xf numFmtId="4" fontId="137" fillId="56" borderId="34" applyNumberFormat="0" applyProtection="0">
      <alignment horizontal="right" vertical="center"/>
    </xf>
    <xf numFmtId="4" fontId="138" fillId="56" borderId="34" applyNumberFormat="0" applyProtection="0">
      <alignment horizontal="right" vertical="center"/>
    </xf>
    <xf numFmtId="4" fontId="135" fillId="55" borderId="34" applyNumberFormat="0" applyProtection="0">
      <alignment horizontal="left" vertical="center" indent="1"/>
    </xf>
    <xf numFmtId="4" fontId="139" fillId="42" borderId="35" applyNumberFormat="0" applyProtection="0">
      <alignment horizontal="left" vertical="center" indent="1"/>
    </xf>
    <xf numFmtId="4" fontId="140" fillId="56" borderId="34" applyNumberFormat="0" applyProtection="0">
      <alignment horizontal="right" vertical="center"/>
    </xf>
    <xf numFmtId="0" fontId="141" fillId="48" borderId="31">
      <alignment vertical="center" wrapText="1"/>
    </xf>
    <xf numFmtId="0" fontId="51" fillId="0" borderId="31">
      <alignment horizontal="center" vertical="center" wrapText="1"/>
    </xf>
    <xf numFmtId="254" fontId="56" fillId="0" borderId="31" applyFont="0" applyFill="0" applyBorder="0">
      <alignment horizontal="right" vertical="center"/>
    </xf>
    <xf numFmtId="256" fontId="50" fillId="0" borderId="31" applyFont="0" applyFill="0" applyBorder="0" applyProtection="0">
      <alignment horizontal="right" vertical="center"/>
    </xf>
    <xf numFmtId="257" fontId="50" fillId="0" borderId="31" applyFont="0" applyFill="0" applyBorder="0">
      <alignment horizontal="right" vertical="center"/>
    </xf>
    <xf numFmtId="258" fontId="56" fillId="0" borderId="31" applyFont="0" applyFill="0" applyBorder="0">
      <alignment horizontal="right" vertical="center"/>
    </xf>
    <xf numFmtId="262" fontId="145" fillId="0" borderId="31"/>
    <xf numFmtId="0" fontId="148" fillId="59" borderId="31">
      <alignment horizontal="left" vertical="center"/>
    </xf>
    <xf numFmtId="266" fontId="50" fillId="0" borderId="31">
      <alignment horizontal="right" vertical="center" shrinkToFit="1"/>
    </xf>
    <xf numFmtId="39" fontId="56" fillId="0" borderId="31" applyFont="0" applyFill="0" applyBorder="0">
      <alignment horizontal="right" vertical="center"/>
    </xf>
    <xf numFmtId="0" fontId="54" fillId="0" borderId="31" applyFont="0" applyBorder="0" applyAlignment="0">
      <alignment horizontal="center" vertical="center"/>
    </xf>
    <xf numFmtId="0" fontId="162" fillId="0" borderId="32" applyFill="0" applyBorder="0">
      <alignment horizontal="left" vertical="center"/>
    </xf>
    <xf numFmtId="271" fontId="56" fillId="0" borderId="31" applyFill="0">
      <alignment horizontal="right" vertical="center"/>
    </xf>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170" fontId="23" fillId="0" borderId="0" applyFont="0" applyFill="0" applyBorder="0" applyAlignment="0" applyProtection="0"/>
    <xf numFmtId="9"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23" fillId="0" borderId="0" applyFont="0" applyFill="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165" fontId="122" fillId="0" borderId="37">
      <alignment horizontal="left" vertical="top"/>
    </xf>
    <xf numFmtId="166" fontId="149" fillId="60" borderId="37"/>
    <xf numFmtId="165" fontId="146" fillId="58" borderId="37">
      <alignment vertical="top"/>
    </xf>
    <xf numFmtId="245" fontId="145" fillId="0" borderId="36">
      <alignment horizontal="center"/>
    </xf>
    <xf numFmtId="251" fontId="145" fillId="0" borderId="36">
      <alignment horizontal="right" vertical="center"/>
    </xf>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170" fontId="23" fillId="0" borderId="0" applyFont="0" applyFill="0" applyBorder="0" applyAlignment="0" applyProtection="0"/>
    <xf numFmtId="170" fontId="4" fillId="0" borderId="0" applyFont="0" applyFill="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176" fillId="4" borderId="0" applyNumberFormat="0" applyBorder="0" applyAlignment="0" applyProtection="0"/>
    <xf numFmtId="0" fontId="4" fillId="8" borderId="8" applyNumberFormat="0" applyFont="0" applyAlignment="0" applyProtection="0"/>
    <xf numFmtId="0" fontId="23" fillId="0" borderId="0">
      <alignment vertical="top"/>
    </xf>
    <xf numFmtId="0" fontId="23" fillId="0" borderId="0">
      <alignment vertical="top"/>
    </xf>
    <xf numFmtId="0" fontId="23" fillId="0" borderId="0">
      <alignment vertical="top"/>
    </xf>
    <xf numFmtId="0" fontId="23" fillId="0" borderId="0">
      <alignment vertical="top"/>
    </xf>
    <xf numFmtId="43" fontId="3" fillId="0" borderId="0" applyFont="0" applyFill="0" applyBorder="0" applyAlignment="0" applyProtection="0"/>
    <xf numFmtId="9" fontId="28" fillId="0" borderId="0" applyFont="0" applyFill="0" applyBorder="0" applyAlignment="0" applyProtection="0"/>
    <xf numFmtId="170" fontId="2" fillId="0" borderId="0" applyFont="0" applyFill="0" applyBorder="0" applyAlignment="0" applyProtection="0"/>
    <xf numFmtId="0" fontId="1" fillId="0" borderId="0">
      <alignment vertical="center"/>
    </xf>
    <xf numFmtId="170" fontId="1" fillId="0" borderId="0" applyFont="0" applyFill="0" applyBorder="0" applyAlignment="0" applyProtection="0"/>
    <xf numFmtId="41" fontId="1" fillId="0" borderId="0" applyFont="0" applyFill="0" applyBorder="0" applyAlignment="0" applyProtection="0">
      <alignment vertical="center"/>
    </xf>
    <xf numFmtId="9" fontId="1" fillId="0" borderId="0" applyFont="0" applyFill="0" applyBorder="0" applyAlignment="0" applyProtection="0"/>
  </cellStyleXfs>
  <cellXfs count="447">
    <xf numFmtId="0" fontId="0" fillId="0" borderId="0" xfId="0">
      <alignment vertical="top"/>
    </xf>
    <xf numFmtId="0" fontId="23" fillId="0" borderId="0" xfId="43">
      <alignment vertical="top"/>
    </xf>
    <xf numFmtId="17" fontId="25" fillId="35" borderId="11" xfId="43" applyNumberFormat="1" applyFont="1" applyFill="1" applyBorder="1" applyAlignment="1">
      <alignment horizontal="center" vertical="center"/>
    </xf>
    <xf numFmtId="3" fontId="23" fillId="0" borderId="0" xfId="43" applyNumberFormat="1">
      <alignment vertical="top"/>
    </xf>
    <xf numFmtId="0" fontId="25" fillId="36" borderId="11" xfId="43" applyFont="1" applyFill="1" applyBorder="1" applyAlignment="1">
      <alignment horizontal="center" vertical="center"/>
    </xf>
    <xf numFmtId="0" fontId="23" fillId="37" borderId="0" xfId="43" applyFill="1">
      <alignment vertical="top"/>
    </xf>
    <xf numFmtId="3" fontId="23" fillId="37" borderId="0" xfId="43" applyNumberFormat="1" applyFill="1">
      <alignment vertical="top"/>
    </xf>
    <xf numFmtId="10" fontId="23" fillId="37" borderId="0" xfId="43" applyNumberFormat="1" applyFill="1">
      <alignment vertical="top"/>
    </xf>
    <xf numFmtId="10" fontId="29" fillId="37" borderId="0" xfId="43" applyNumberFormat="1" applyFont="1" applyFill="1">
      <alignment vertical="top"/>
    </xf>
    <xf numFmtId="173" fontId="30" fillId="37" borderId="0" xfId="28" applyNumberFormat="1" applyFont="1" applyFill="1" applyAlignment="1">
      <alignment vertical="top"/>
    </xf>
    <xf numFmtId="0" fontId="23" fillId="0" borderId="0" xfId="43" applyAlignment="1">
      <alignment vertical="center"/>
    </xf>
    <xf numFmtId="0" fontId="26" fillId="33" borderId="0" xfId="43" applyFont="1" applyFill="1" applyAlignment="1">
      <alignment vertical="center"/>
    </xf>
    <xf numFmtId="3" fontId="24" fillId="34" borderId="11" xfId="28" applyNumberFormat="1" applyFont="1" applyFill="1" applyBorder="1" applyAlignment="1">
      <alignment vertical="center"/>
    </xf>
    <xf numFmtId="4" fontId="24" fillId="34" borderId="11" xfId="28" applyNumberFormat="1" applyFont="1" applyFill="1" applyBorder="1" applyAlignment="1">
      <alignment vertical="center"/>
    </xf>
    <xf numFmtId="0" fontId="23" fillId="34" borderId="0" xfId="43" applyFill="1" applyAlignment="1">
      <alignment vertical="center"/>
    </xf>
    <xf numFmtId="3" fontId="24" fillId="0" borderId="11" xfId="43" applyNumberFormat="1" applyFont="1" applyBorder="1" applyAlignment="1">
      <alignment vertical="center"/>
    </xf>
    <xf numFmtId="173" fontId="24" fillId="0" borderId="11" xfId="28" applyNumberFormat="1" applyFont="1" applyBorder="1" applyAlignment="1">
      <alignment vertical="center"/>
    </xf>
    <xf numFmtId="4" fontId="24" fillId="0" borderId="11" xfId="28" applyNumberFormat="1" applyFont="1" applyBorder="1" applyAlignment="1">
      <alignment vertical="center"/>
    </xf>
    <xf numFmtId="0" fontId="31" fillId="37" borderId="0" xfId="43" applyFont="1" applyFill="1">
      <alignment vertical="top"/>
    </xf>
    <xf numFmtId="10" fontId="33" fillId="37" borderId="0" xfId="43" applyNumberFormat="1" applyFont="1" applyFill="1">
      <alignment vertical="top"/>
    </xf>
    <xf numFmtId="3" fontId="24" fillId="0" borderId="11" xfId="28" applyNumberFormat="1" applyFont="1" applyBorder="1" applyAlignment="1">
      <alignment vertical="center"/>
    </xf>
    <xf numFmtId="0" fontId="35" fillId="37" borderId="0" xfId="43" applyFont="1" applyFill="1" applyAlignment="1"/>
    <xf numFmtId="174" fontId="31" fillId="37" borderId="0" xfId="28" applyNumberFormat="1" applyFont="1" applyFill="1" applyAlignment="1">
      <alignment vertical="top"/>
    </xf>
    <xf numFmtId="174" fontId="31" fillId="0" borderId="0" xfId="28" applyNumberFormat="1" applyFont="1" applyAlignment="1">
      <alignment vertical="center"/>
    </xf>
    <xf numFmtId="174" fontId="32" fillId="33" borderId="0" xfId="28" applyNumberFormat="1" applyFont="1" applyFill="1" applyAlignment="1">
      <alignment vertical="center"/>
    </xf>
    <xf numFmtId="174" fontId="31" fillId="34" borderId="0" xfId="28" applyNumberFormat="1" applyFont="1" applyFill="1" applyAlignment="1">
      <alignment vertical="center"/>
    </xf>
    <xf numFmtId="174" fontId="31" fillId="0" borderId="0" xfId="28" applyNumberFormat="1" applyFont="1" applyAlignment="1">
      <alignment vertical="top"/>
    </xf>
    <xf numFmtId="3" fontId="36" fillId="34" borderId="11" xfId="28" applyNumberFormat="1" applyFont="1" applyFill="1" applyBorder="1" applyAlignment="1">
      <alignment vertical="center"/>
    </xf>
    <xf numFmtId="3" fontId="36" fillId="36" borderId="11" xfId="43" applyNumberFormat="1" applyFont="1" applyFill="1" applyBorder="1" applyAlignment="1">
      <alignment vertical="center"/>
    </xf>
    <xf numFmtId="3" fontId="36" fillId="34" borderId="11" xfId="43" applyNumberFormat="1" applyFont="1" applyFill="1" applyBorder="1" applyAlignment="1">
      <alignment vertical="center"/>
    </xf>
    <xf numFmtId="4" fontId="36" fillId="34" borderId="11" xfId="28" applyNumberFormat="1" applyFont="1" applyFill="1" applyBorder="1" applyAlignment="1">
      <alignment vertical="center"/>
    </xf>
    <xf numFmtId="4" fontId="36" fillId="36" borderId="11" xfId="43" applyNumberFormat="1" applyFont="1" applyFill="1" applyBorder="1" applyAlignment="1">
      <alignment vertical="center"/>
    </xf>
    <xf numFmtId="0" fontId="35" fillId="34" borderId="11" xfId="43" applyFont="1" applyFill="1" applyBorder="1" applyAlignment="1">
      <alignment vertical="center"/>
    </xf>
    <xf numFmtId="0" fontId="36" fillId="0" borderId="11" xfId="43" applyFont="1" applyBorder="1" applyAlignment="1">
      <alignment vertical="center"/>
    </xf>
    <xf numFmtId="173" fontId="31" fillId="34" borderId="0" xfId="28" applyNumberFormat="1" applyFont="1" applyFill="1" applyAlignment="1">
      <alignment vertical="center"/>
    </xf>
    <xf numFmtId="175" fontId="33" fillId="37" borderId="0" xfId="43" applyNumberFormat="1" applyFont="1" applyFill="1">
      <alignment vertical="top"/>
    </xf>
    <xf numFmtId="176" fontId="33" fillId="37" borderId="0" xfId="43" applyNumberFormat="1" applyFont="1" applyFill="1">
      <alignment vertical="top"/>
    </xf>
    <xf numFmtId="175" fontId="38" fillId="37" borderId="0" xfId="43" applyNumberFormat="1" applyFont="1" applyFill="1">
      <alignment vertical="top"/>
    </xf>
    <xf numFmtId="173" fontId="23" fillId="37" borderId="0" xfId="28" applyNumberFormat="1" applyFont="1" applyFill="1" applyAlignment="1">
      <alignment vertical="top"/>
    </xf>
    <xf numFmtId="173" fontId="23" fillId="37" borderId="0" xfId="43" applyNumberFormat="1" applyFill="1">
      <alignment vertical="top"/>
    </xf>
    <xf numFmtId="3" fontId="30" fillId="37" borderId="0" xfId="28" applyNumberFormat="1" applyFont="1" applyFill="1" applyAlignment="1">
      <alignment vertical="top"/>
    </xf>
    <xf numFmtId="4" fontId="23" fillId="37" borderId="0" xfId="43" applyNumberFormat="1" applyFill="1">
      <alignment vertical="top"/>
    </xf>
    <xf numFmtId="4" fontId="38" fillId="37" borderId="0" xfId="43" applyNumberFormat="1" applyFont="1" applyFill="1">
      <alignment vertical="top"/>
    </xf>
    <xf numFmtId="4" fontId="23" fillId="0" borderId="0" xfId="43" applyNumberFormat="1">
      <alignment vertical="top"/>
    </xf>
    <xf numFmtId="177" fontId="23" fillId="37" borderId="0" xfId="45" applyNumberFormat="1" applyFont="1" applyFill="1" applyAlignment="1">
      <alignment vertical="top"/>
    </xf>
    <xf numFmtId="3" fontId="25" fillId="35" borderId="11" xfId="43" quotePrefix="1" applyNumberFormat="1" applyFont="1" applyFill="1" applyBorder="1" applyAlignment="1">
      <alignment horizontal="center" vertical="center"/>
    </xf>
    <xf numFmtId="173" fontId="31" fillId="37" borderId="0" xfId="28" applyNumberFormat="1" applyFont="1" applyFill="1" applyAlignment="1">
      <alignment vertical="top"/>
    </xf>
    <xf numFmtId="173" fontId="31" fillId="0" borderId="0" xfId="28" applyNumberFormat="1" applyFont="1" applyAlignment="1">
      <alignment vertical="center"/>
    </xf>
    <xf numFmtId="173" fontId="32" fillId="33" borderId="0" xfId="28" applyNumberFormat="1" applyFont="1" applyFill="1" applyAlignment="1">
      <alignment vertical="center"/>
    </xf>
    <xf numFmtId="173" fontId="31" fillId="0" borderId="0" xfId="28" applyNumberFormat="1" applyFont="1" applyAlignment="1">
      <alignment vertical="top"/>
    </xf>
    <xf numFmtId="173" fontId="42" fillId="37" borderId="0" xfId="28" applyNumberFormat="1" applyFont="1" applyFill="1" applyAlignment="1">
      <alignment vertical="top"/>
    </xf>
    <xf numFmtId="178" fontId="33" fillId="37" borderId="0" xfId="45" applyNumberFormat="1" applyFont="1" applyFill="1" applyAlignment="1">
      <alignment vertical="top"/>
    </xf>
    <xf numFmtId="9" fontId="23" fillId="37" borderId="0" xfId="45" applyFont="1" applyFill="1" applyAlignment="1">
      <alignment vertical="top"/>
    </xf>
    <xf numFmtId="9" fontId="30" fillId="37" borderId="0" xfId="45" applyFont="1" applyFill="1" applyAlignment="1">
      <alignment vertical="top"/>
    </xf>
    <xf numFmtId="170" fontId="23" fillId="37" borderId="0" xfId="43" applyNumberFormat="1" applyFill="1">
      <alignment vertical="top"/>
    </xf>
    <xf numFmtId="175" fontId="30" fillId="37" borderId="0" xfId="45" applyNumberFormat="1" applyFont="1" applyFill="1" applyAlignment="1">
      <alignment vertical="top"/>
    </xf>
    <xf numFmtId="175" fontId="23" fillId="37" borderId="0" xfId="43" applyNumberFormat="1" applyFill="1">
      <alignment vertical="top"/>
    </xf>
    <xf numFmtId="175" fontId="43" fillId="37" borderId="0" xfId="45" applyNumberFormat="1" applyFont="1" applyFill="1" applyAlignment="1">
      <alignment vertical="top"/>
    </xf>
    <xf numFmtId="3" fontId="24" fillId="0" borderId="11" xfId="43" applyNumberFormat="1" applyFont="1" applyBorder="1" applyAlignment="1">
      <alignment vertical="center" wrapText="1"/>
    </xf>
    <xf numFmtId="178" fontId="38" fillId="37" borderId="0" xfId="45" applyNumberFormat="1" applyFont="1" applyFill="1" applyAlignment="1">
      <alignment vertical="top"/>
    </xf>
    <xf numFmtId="3" fontId="36" fillId="36" borderId="38" xfId="43" applyNumberFormat="1" applyFont="1" applyFill="1" applyBorder="1" applyAlignment="1">
      <alignment vertical="center"/>
    </xf>
    <xf numFmtId="0" fontId="29" fillId="37" borderId="0" xfId="43" applyFont="1" applyFill="1">
      <alignment vertical="top"/>
    </xf>
    <xf numFmtId="0" fontId="178" fillId="37" borderId="0" xfId="43" applyFont="1" applyFill="1">
      <alignment vertical="top"/>
    </xf>
    <xf numFmtId="43" fontId="178" fillId="37" borderId="0" xfId="2732" applyFont="1" applyFill="1" applyAlignment="1">
      <alignment vertical="top"/>
    </xf>
    <xf numFmtId="10" fontId="29" fillId="37" borderId="0" xfId="2733" applyNumberFormat="1" applyFont="1" applyFill="1" applyAlignment="1">
      <alignment vertical="top"/>
    </xf>
    <xf numFmtId="0" fontId="25" fillId="37" borderId="0" xfId="43" applyFont="1" applyFill="1" applyAlignment="1">
      <alignment vertical="center"/>
    </xf>
    <xf numFmtId="17" fontId="25" fillId="33" borderId="38" xfId="43" applyNumberFormat="1" applyFont="1" applyFill="1" applyBorder="1" applyAlignment="1">
      <alignment horizontal="center" vertical="center"/>
    </xf>
    <xf numFmtId="0" fontId="25" fillId="33" borderId="38" xfId="43" applyFont="1" applyFill="1" applyBorder="1" applyAlignment="1">
      <alignment horizontal="center" vertical="center"/>
    </xf>
    <xf numFmtId="173" fontId="179" fillId="37" borderId="0" xfId="2732" applyNumberFormat="1" applyFont="1" applyFill="1" applyAlignment="1">
      <alignment vertical="top"/>
    </xf>
    <xf numFmtId="297" fontId="179" fillId="37" borderId="0" xfId="2732" applyNumberFormat="1" applyFont="1" applyFill="1" applyAlignment="1">
      <alignment vertical="top"/>
    </xf>
    <xf numFmtId="173" fontId="179" fillId="37" borderId="0" xfId="2732" applyNumberFormat="1" applyFont="1" applyFill="1" applyBorder="1" applyAlignment="1">
      <alignment vertical="top"/>
    </xf>
    <xf numFmtId="173" fontId="179" fillId="0" borderId="0" xfId="2732" applyNumberFormat="1" applyFont="1" applyAlignment="1">
      <alignment vertical="top"/>
    </xf>
    <xf numFmtId="0" fontId="179" fillId="37" borderId="0" xfId="43" applyFont="1" applyFill="1">
      <alignment vertical="top"/>
    </xf>
    <xf numFmtId="297" fontId="179" fillId="37" borderId="0" xfId="2732" applyNumberFormat="1" applyFont="1" applyFill="1" applyAlignment="1">
      <alignment vertical="center"/>
    </xf>
    <xf numFmtId="0" fontId="179" fillId="0" borderId="0" xfId="43" applyFont="1">
      <alignment vertical="top"/>
    </xf>
    <xf numFmtId="43" fontId="23" fillId="0" borderId="0" xfId="43" applyNumberFormat="1">
      <alignment vertical="top"/>
    </xf>
    <xf numFmtId="298" fontId="43" fillId="37" borderId="0" xfId="45" applyNumberFormat="1" applyFont="1" applyFill="1" applyAlignment="1">
      <alignment vertical="top"/>
    </xf>
    <xf numFmtId="298" fontId="30" fillId="37" borderId="0" xfId="45" applyNumberFormat="1" applyFont="1" applyFill="1" applyAlignment="1">
      <alignment vertical="top"/>
    </xf>
    <xf numFmtId="3" fontId="24" fillId="0" borderId="38" xfId="43" applyNumberFormat="1" applyFont="1" applyBorder="1" applyAlignment="1">
      <alignment vertical="center"/>
    </xf>
    <xf numFmtId="173" fontId="24" fillId="0" borderId="38" xfId="28" applyNumberFormat="1" applyFont="1" applyBorder="1" applyAlignment="1">
      <alignment vertical="center"/>
    </xf>
    <xf numFmtId="17" fontId="25" fillId="35" borderId="38" xfId="43" applyNumberFormat="1" applyFont="1" applyFill="1" applyBorder="1" applyAlignment="1">
      <alignment horizontal="center" vertical="center" wrapText="1"/>
    </xf>
    <xf numFmtId="10" fontId="30" fillId="37" borderId="0" xfId="45" applyNumberFormat="1" applyFont="1" applyFill="1" applyAlignment="1">
      <alignment vertical="top"/>
    </xf>
    <xf numFmtId="17" fontId="25" fillId="35" borderId="11" xfId="43" applyNumberFormat="1" applyFont="1" applyFill="1" applyBorder="1" applyAlignment="1">
      <alignment horizontal="center" vertical="center" wrapText="1"/>
    </xf>
    <xf numFmtId="0" fontId="31" fillId="0" borderId="0" xfId="43" applyFont="1" applyAlignment="1">
      <alignment vertical="center"/>
    </xf>
    <xf numFmtId="17" fontId="25" fillId="35" borderId="38" xfId="43" applyNumberFormat="1" applyFont="1" applyFill="1" applyBorder="1" applyAlignment="1">
      <alignment horizontal="center" vertical="center"/>
    </xf>
    <xf numFmtId="0" fontId="33" fillId="37" borderId="0" xfId="43" applyFont="1" applyFill="1">
      <alignment vertical="top"/>
    </xf>
    <xf numFmtId="4" fontId="33" fillId="37" borderId="0" xfId="43" applyNumberFormat="1" applyFont="1" applyFill="1">
      <alignment vertical="top"/>
    </xf>
    <xf numFmtId="175" fontId="33" fillId="37" borderId="0" xfId="45" applyNumberFormat="1" applyFont="1" applyFill="1" applyAlignment="1">
      <alignment vertical="top"/>
    </xf>
    <xf numFmtId="182" fontId="23" fillId="34" borderId="0" xfId="43" applyNumberFormat="1" applyFill="1" applyAlignment="1">
      <alignment vertical="center"/>
    </xf>
    <xf numFmtId="4" fontId="24" fillId="0" borderId="38" xfId="28" applyNumberFormat="1" applyFont="1" applyBorder="1" applyAlignment="1">
      <alignment vertical="center"/>
    </xf>
    <xf numFmtId="0" fontId="27" fillId="37" borderId="0" xfId="43" applyFont="1" applyFill="1" applyAlignment="1">
      <alignment vertical="center"/>
    </xf>
    <xf numFmtId="0" fontId="23" fillId="37" borderId="0" xfId="43" applyFill="1" applyAlignment="1">
      <alignment vertical="center"/>
    </xf>
    <xf numFmtId="0" fontId="26" fillId="37" borderId="0" xfId="43" applyFont="1" applyFill="1" applyAlignment="1">
      <alignment vertical="center"/>
    </xf>
    <xf numFmtId="0" fontId="24" fillId="34" borderId="38" xfId="43" applyFont="1" applyFill="1" applyBorder="1" applyAlignment="1">
      <alignment vertical="center"/>
    </xf>
    <xf numFmtId="173" fontId="24" fillId="34" borderId="38" xfId="43" applyNumberFormat="1" applyFont="1" applyFill="1" applyBorder="1" applyAlignment="1">
      <alignment vertical="center"/>
    </xf>
    <xf numFmtId="43" fontId="24" fillId="34" borderId="38" xfId="2732" applyFont="1" applyFill="1" applyBorder="1" applyAlignment="1">
      <alignment vertical="center"/>
    </xf>
    <xf numFmtId="43" fontId="24" fillId="34" borderId="38" xfId="43" applyNumberFormat="1" applyFont="1" applyFill="1" applyBorder="1" applyAlignment="1">
      <alignment vertical="center"/>
    </xf>
    <xf numFmtId="43" fontId="23" fillId="37" borderId="0" xfId="43" applyNumberFormat="1" applyFill="1" applyAlignment="1">
      <alignment vertical="center"/>
    </xf>
    <xf numFmtId="0" fontId="24" fillId="0" borderId="38" xfId="43" applyFont="1" applyBorder="1" applyAlignment="1">
      <alignment vertical="center"/>
    </xf>
    <xf numFmtId="173" fontId="24" fillId="0" borderId="38" xfId="2732" applyNumberFormat="1" applyFont="1" applyBorder="1" applyAlignment="1">
      <alignment vertical="center"/>
    </xf>
    <xf numFmtId="173" fontId="24" fillId="36" borderId="38" xfId="43" applyNumberFormat="1" applyFont="1" applyFill="1" applyBorder="1" applyAlignment="1">
      <alignment vertical="center"/>
    </xf>
    <xf numFmtId="43" fontId="24" fillId="0" borderId="38" xfId="2732" applyFont="1" applyBorder="1" applyAlignment="1">
      <alignment vertical="center"/>
    </xf>
    <xf numFmtId="43" fontId="24" fillId="36" borderId="38" xfId="43" applyNumberFormat="1" applyFont="1" applyFill="1" applyBorder="1" applyAlignment="1">
      <alignment vertical="center"/>
    </xf>
    <xf numFmtId="0" fontId="30" fillId="34" borderId="38" xfId="43" applyFont="1" applyFill="1" applyBorder="1" applyAlignment="1">
      <alignment vertical="center"/>
    </xf>
    <xf numFmtId="173" fontId="24" fillId="34" borderId="38" xfId="2732" applyNumberFormat="1" applyFont="1" applyFill="1" applyBorder="1" applyAlignment="1">
      <alignment vertical="center"/>
    </xf>
    <xf numFmtId="175" fontId="180" fillId="37" borderId="0" xfId="45" applyNumberFormat="1" applyFont="1" applyFill="1" applyAlignment="1">
      <alignment vertical="top"/>
    </xf>
    <xf numFmtId="0" fontId="181" fillId="37" borderId="0" xfId="43" applyFont="1" applyFill="1">
      <alignment vertical="top"/>
    </xf>
    <xf numFmtId="10" fontId="43" fillId="37" borderId="0" xfId="45" applyNumberFormat="1" applyFont="1" applyFill="1" applyAlignment="1">
      <alignment vertical="top"/>
    </xf>
    <xf numFmtId="3" fontId="181" fillId="37" borderId="0" xfId="43" applyNumberFormat="1" applyFont="1" applyFill="1">
      <alignment vertical="top"/>
    </xf>
    <xf numFmtId="173" fontId="181" fillId="37" borderId="0" xfId="28" applyNumberFormat="1" applyFont="1" applyFill="1" applyAlignment="1">
      <alignment vertical="top"/>
    </xf>
    <xf numFmtId="4" fontId="181" fillId="37" borderId="0" xfId="43" applyNumberFormat="1" applyFont="1" applyFill="1">
      <alignment vertical="top"/>
    </xf>
    <xf numFmtId="173" fontId="182" fillId="37" borderId="0" xfId="28" applyNumberFormat="1" applyFont="1" applyFill="1" applyAlignment="1">
      <alignment vertical="top"/>
    </xf>
    <xf numFmtId="173" fontId="181" fillId="37" borderId="0" xfId="43" applyNumberFormat="1" applyFont="1" applyFill="1">
      <alignment vertical="top"/>
    </xf>
    <xf numFmtId="173" fontId="23" fillId="37" borderId="0" xfId="43" applyNumberFormat="1" applyFill="1" applyAlignment="1">
      <alignment horizontal="center" vertical="top"/>
    </xf>
    <xf numFmtId="0" fontId="23" fillId="37" borderId="0" xfId="43" applyFill="1" applyAlignment="1">
      <alignment horizontal="center" vertical="top"/>
    </xf>
    <xf numFmtId="10" fontId="23" fillId="37" borderId="0" xfId="45" applyNumberFormat="1" applyFont="1" applyFill="1" applyAlignment="1">
      <alignment vertical="top"/>
    </xf>
    <xf numFmtId="10" fontId="180" fillId="37" borderId="0" xfId="45" applyNumberFormat="1" applyFont="1" applyFill="1" applyAlignment="1">
      <alignment vertical="top"/>
    </xf>
    <xf numFmtId="4" fontId="29" fillId="37" borderId="0" xfId="43" applyNumberFormat="1" applyFont="1" applyFill="1">
      <alignment vertical="top"/>
    </xf>
    <xf numFmtId="173" fontId="33" fillId="37" borderId="0" xfId="28" applyNumberFormat="1" applyFont="1" applyFill="1" applyAlignment="1">
      <alignment vertical="top"/>
    </xf>
    <xf numFmtId="0" fontId="36" fillId="0" borderId="38" xfId="43" applyFont="1" applyBorder="1" applyAlignment="1">
      <alignment vertical="center"/>
    </xf>
    <xf numFmtId="3" fontId="24" fillId="0" borderId="38" xfId="28" applyNumberFormat="1" applyFont="1" applyBorder="1" applyAlignment="1">
      <alignment vertical="center"/>
    </xf>
    <xf numFmtId="0" fontId="183" fillId="37" borderId="0" xfId="2735" applyFont="1" applyFill="1">
      <alignment vertical="center"/>
    </xf>
    <xf numFmtId="0" fontId="1" fillId="37" borderId="0" xfId="2735" applyFill="1">
      <alignment vertical="center"/>
    </xf>
    <xf numFmtId="0" fontId="186" fillId="62" borderId="52" xfId="2735" applyFont="1" applyFill="1" applyBorder="1" applyAlignment="1">
      <alignment horizontal="center" vertical="center"/>
    </xf>
    <xf numFmtId="0" fontId="1" fillId="63" borderId="49" xfId="2735" applyFill="1" applyBorder="1" applyAlignment="1">
      <alignment horizontal="center" vertical="center"/>
    </xf>
    <xf numFmtId="0" fontId="1" fillId="63" borderId="53" xfId="2735" applyFill="1" applyBorder="1" applyAlignment="1">
      <alignment horizontal="center" vertical="center"/>
    </xf>
    <xf numFmtId="0" fontId="1" fillId="63" borderId="54" xfId="2735" applyFill="1" applyBorder="1" applyAlignment="1">
      <alignment horizontal="center" vertical="center"/>
    </xf>
    <xf numFmtId="0" fontId="1" fillId="0" borderId="55" xfId="2735" applyBorder="1" applyAlignment="1">
      <alignment horizontal="center" vertical="center" wrapText="1"/>
    </xf>
    <xf numFmtId="0" fontId="1" fillId="0" borderId="56" xfId="2735" applyBorder="1" applyAlignment="1">
      <alignment horizontal="center" vertical="center" wrapText="1"/>
    </xf>
    <xf numFmtId="194" fontId="188" fillId="0" borderId="58" xfId="2735" applyNumberFormat="1" applyFont="1" applyBorder="1">
      <alignment vertical="center"/>
    </xf>
    <xf numFmtId="0" fontId="1" fillId="0" borderId="59" xfId="2735" applyBorder="1" applyAlignment="1">
      <alignment horizontal="center" vertical="center" wrapText="1"/>
    </xf>
    <xf numFmtId="194" fontId="188" fillId="0" borderId="60" xfId="2735" applyNumberFormat="1" applyFont="1" applyBorder="1">
      <alignment vertical="center"/>
    </xf>
    <xf numFmtId="0" fontId="1" fillId="0" borderId="45" xfId="2735" applyBorder="1" applyAlignment="1">
      <alignment horizontal="center" vertical="center" wrapText="1"/>
    </xf>
    <xf numFmtId="194" fontId="188" fillId="0" borderId="38" xfId="2735" applyNumberFormat="1" applyFont="1" applyBorder="1">
      <alignment vertical="center"/>
    </xf>
    <xf numFmtId="194" fontId="188" fillId="0" borderId="16" xfId="2735" applyNumberFormat="1" applyFont="1" applyBorder="1">
      <alignment vertical="center"/>
    </xf>
    <xf numFmtId="194" fontId="188" fillId="0" borderId="61" xfId="2735" applyNumberFormat="1" applyFont="1" applyBorder="1">
      <alignment vertical="center"/>
    </xf>
    <xf numFmtId="182" fontId="188" fillId="0" borderId="60" xfId="2736" applyNumberFormat="1" applyFont="1" applyFill="1" applyBorder="1" applyAlignment="1">
      <alignment vertical="center"/>
    </xf>
    <xf numFmtId="0" fontId="1" fillId="36" borderId="44" xfId="2735" applyFill="1" applyBorder="1" applyAlignment="1">
      <alignment horizontal="center" vertical="center" wrapText="1"/>
    </xf>
    <xf numFmtId="0" fontId="1" fillId="36" borderId="41" xfId="2735" applyFill="1" applyBorder="1" applyAlignment="1">
      <alignment horizontal="center" vertical="center"/>
    </xf>
    <xf numFmtId="194" fontId="188" fillId="36" borderId="38" xfId="2735" applyNumberFormat="1" applyFont="1" applyFill="1" applyBorder="1">
      <alignment vertical="center"/>
    </xf>
    <xf numFmtId="41" fontId="0" fillId="37" borderId="0" xfId="2737" applyFont="1" applyFill="1">
      <alignment vertical="center"/>
    </xf>
    <xf numFmtId="182" fontId="1" fillId="37" borderId="0" xfId="2735" applyNumberFormat="1" applyFill="1">
      <alignment vertical="center"/>
    </xf>
    <xf numFmtId="182" fontId="191" fillId="37" borderId="0" xfId="2735" applyNumberFormat="1" applyFont="1" applyFill="1">
      <alignment vertical="center"/>
    </xf>
    <xf numFmtId="10" fontId="0" fillId="37" borderId="0" xfId="2738" applyNumberFormat="1" applyFont="1" applyFill="1" applyAlignment="1">
      <alignment vertical="center"/>
    </xf>
    <xf numFmtId="0" fontId="1" fillId="0" borderId="0" xfId="2735">
      <alignment vertical="center"/>
    </xf>
    <xf numFmtId="0" fontId="183" fillId="0" borderId="0" xfId="2735" applyFont="1">
      <alignment vertical="center"/>
    </xf>
    <xf numFmtId="173" fontId="192" fillId="0" borderId="0" xfId="28" applyNumberFormat="1" applyFont="1" applyAlignment="1">
      <alignment vertical="center"/>
    </xf>
    <xf numFmtId="0" fontId="193" fillId="0" borderId="0" xfId="43" applyFont="1" applyAlignment="1">
      <alignment vertical="center"/>
    </xf>
    <xf numFmtId="3" fontId="31" fillId="34" borderId="0" xfId="43" applyNumberFormat="1" applyFont="1" applyFill="1" applyAlignment="1">
      <alignment vertical="center"/>
    </xf>
    <xf numFmtId="182" fontId="31" fillId="34" borderId="0" xfId="43" applyNumberFormat="1" applyFont="1" applyFill="1" applyAlignment="1">
      <alignment vertical="center"/>
    </xf>
    <xf numFmtId="0" fontId="30" fillId="37" borderId="0" xfId="43" applyFont="1" applyFill="1">
      <alignment vertical="top"/>
    </xf>
    <xf numFmtId="0" fontId="43" fillId="37" borderId="0" xfId="43" applyFont="1" applyFill="1">
      <alignment vertical="top"/>
    </xf>
    <xf numFmtId="0" fontId="180" fillId="37" borderId="0" xfId="43" applyFont="1" applyFill="1">
      <alignment vertical="top"/>
    </xf>
    <xf numFmtId="0" fontId="34" fillId="37" borderId="0" xfId="43" applyFont="1" applyFill="1">
      <alignment vertical="top"/>
    </xf>
    <xf numFmtId="3" fontId="194" fillId="36" borderId="38" xfId="43" applyNumberFormat="1" applyFont="1" applyFill="1" applyBorder="1" applyAlignment="1">
      <alignment vertical="center"/>
    </xf>
    <xf numFmtId="3" fontId="194" fillId="36" borderId="11" xfId="43" applyNumberFormat="1" applyFont="1" applyFill="1" applyBorder="1" applyAlignment="1">
      <alignment vertical="center"/>
    </xf>
    <xf numFmtId="173" fontId="29" fillId="37" borderId="0" xfId="28" applyNumberFormat="1" applyFont="1" applyFill="1" applyAlignment="1">
      <alignment vertical="top"/>
    </xf>
    <xf numFmtId="173" fontId="49" fillId="37" borderId="0" xfId="28" applyNumberFormat="1" applyFont="1" applyFill="1" applyAlignment="1">
      <alignment vertical="top"/>
    </xf>
    <xf numFmtId="0" fontId="49" fillId="37" borderId="0" xfId="43" applyFont="1" applyFill="1">
      <alignment vertical="top"/>
    </xf>
    <xf numFmtId="0" fontId="49" fillId="0" borderId="0" xfId="43" applyFont="1" applyAlignment="1">
      <alignment vertical="center"/>
    </xf>
    <xf numFmtId="0" fontId="195" fillId="33" borderId="0" xfId="43" applyFont="1" applyFill="1" applyAlignment="1">
      <alignment vertical="center"/>
    </xf>
    <xf numFmtId="182" fontId="49" fillId="34" borderId="0" xfId="43" applyNumberFormat="1" applyFont="1" applyFill="1" applyAlignment="1">
      <alignment vertical="center"/>
    </xf>
    <xf numFmtId="0" fontId="49" fillId="34" borderId="0" xfId="43" applyFont="1" applyFill="1" applyAlignment="1">
      <alignment vertical="center"/>
    </xf>
    <xf numFmtId="0" fontId="196" fillId="37" borderId="0" xfId="43" applyFont="1" applyFill="1">
      <alignment vertical="top"/>
    </xf>
    <xf numFmtId="0" fontId="49" fillId="0" borderId="0" xfId="43" applyFont="1">
      <alignment vertical="top"/>
    </xf>
    <xf numFmtId="173" fontId="49" fillId="0" borderId="0" xfId="28" applyNumberFormat="1" applyFont="1" applyAlignment="1">
      <alignment vertical="center"/>
    </xf>
    <xf numFmtId="0" fontId="32" fillId="66" borderId="38" xfId="0" applyFont="1" applyFill="1" applyBorder="1" applyAlignment="1">
      <alignment horizontal="center" vertical="center"/>
    </xf>
    <xf numFmtId="0" fontId="32" fillId="66" borderId="38" xfId="0" applyFont="1" applyFill="1" applyBorder="1" applyAlignment="1">
      <alignment horizontal="center" vertical="center" wrapText="1"/>
    </xf>
    <xf numFmtId="0" fontId="32" fillId="0" borderId="0" xfId="0" applyFont="1" applyAlignment="1">
      <alignment horizontal="center" vertical="center"/>
    </xf>
    <xf numFmtId="0" fontId="31" fillId="0" borderId="38" xfId="0" applyFont="1" applyBorder="1" applyAlignment="1">
      <alignment horizontal="center" vertical="center"/>
    </xf>
    <xf numFmtId="0" fontId="31" fillId="0" borderId="38" xfId="0" applyFont="1" applyBorder="1" applyAlignment="1">
      <alignment vertical="center"/>
    </xf>
    <xf numFmtId="0" fontId="31" fillId="0" borderId="0" xfId="0" applyFont="1" applyAlignment="1">
      <alignment vertical="center"/>
    </xf>
    <xf numFmtId="0" fontId="31" fillId="0" borderId="0" xfId="0" applyFont="1">
      <alignment vertical="top"/>
    </xf>
    <xf numFmtId="173" fontId="31" fillId="0" borderId="38" xfId="28" applyNumberFormat="1" applyFont="1" applyBorder="1" applyAlignment="1">
      <alignment vertical="center"/>
    </xf>
    <xf numFmtId="10" fontId="31" fillId="0" borderId="38" xfId="45" applyNumberFormat="1" applyFont="1" applyBorder="1" applyAlignment="1">
      <alignment vertical="center"/>
    </xf>
    <xf numFmtId="182" fontId="31" fillId="0" borderId="38" xfId="28" applyNumberFormat="1" applyFont="1" applyBorder="1" applyAlignment="1">
      <alignment vertical="center"/>
    </xf>
    <xf numFmtId="0" fontId="32" fillId="35" borderId="38" xfId="0" applyFont="1" applyFill="1" applyBorder="1" applyAlignment="1">
      <alignment vertical="center"/>
    </xf>
    <xf numFmtId="0" fontId="32" fillId="0" borderId="0" xfId="0" applyFont="1" applyAlignment="1">
      <alignment vertical="center"/>
    </xf>
    <xf numFmtId="182" fontId="32" fillId="35" borderId="38" xfId="0" applyNumberFormat="1" applyFont="1" applyFill="1" applyBorder="1" applyAlignment="1">
      <alignment vertical="center"/>
    </xf>
    <xf numFmtId="0" fontId="197" fillId="0" borderId="38" xfId="0" applyFont="1" applyBorder="1" applyAlignment="1">
      <alignment horizontal="center" vertical="center"/>
    </xf>
    <xf numFmtId="0" fontId="197" fillId="0" borderId="38" xfId="0" applyFont="1" applyBorder="1" applyAlignment="1">
      <alignment vertical="center"/>
    </xf>
    <xf numFmtId="173" fontId="197" fillId="0" borderId="38" xfId="28" applyNumberFormat="1" applyFont="1" applyBorder="1" applyAlignment="1">
      <alignment vertical="center"/>
    </xf>
    <xf numFmtId="10" fontId="197" fillId="0" borderId="38" xfId="45" applyNumberFormat="1" applyFont="1" applyBorder="1" applyAlignment="1">
      <alignment vertical="center"/>
    </xf>
    <xf numFmtId="182" fontId="197" fillId="0" borderId="38" xfId="28" applyNumberFormat="1" applyFont="1" applyBorder="1" applyAlignment="1">
      <alignment vertical="center"/>
    </xf>
    <xf numFmtId="0" fontId="197" fillId="0" borderId="0" xfId="0" applyFont="1" applyAlignment="1">
      <alignment vertical="center"/>
    </xf>
    <xf numFmtId="173" fontId="198" fillId="0" borderId="0" xfId="28" applyNumberFormat="1" applyFont="1" applyAlignment="1">
      <alignment vertical="center"/>
    </xf>
    <xf numFmtId="0" fontId="198" fillId="0" borderId="0" xfId="43" applyFont="1" applyAlignment="1">
      <alignment vertical="center"/>
    </xf>
    <xf numFmtId="173" fontId="198" fillId="65" borderId="0" xfId="28" applyNumberFormat="1" applyFont="1" applyFill="1" applyAlignment="1">
      <alignment vertical="center"/>
    </xf>
    <xf numFmtId="0" fontId="31" fillId="0" borderId="38" xfId="0" quotePrefix="1" applyFont="1" applyBorder="1" applyAlignment="1">
      <alignment horizontal="center" vertical="center"/>
    </xf>
    <xf numFmtId="182" fontId="31" fillId="0" borderId="0" xfId="0" applyNumberFormat="1" applyFont="1">
      <alignment vertical="top"/>
    </xf>
    <xf numFmtId="194" fontId="189" fillId="0" borderId="58" xfId="2735" applyNumberFormat="1" applyFont="1" applyBorder="1">
      <alignment vertical="center"/>
    </xf>
    <xf numFmtId="194" fontId="187" fillId="0" borderId="38" xfId="2735" applyNumberFormat="1" applyFont="1" applyBorder="1">
      <alignment vertical="center"/>
    </xf>
    <xf numFmtId="194" fontId="189" fillId="0" borderId="38" xfId="2735" applyNumberFormat="1" applyFont="1" applyBorder="1">
      <alignment vertical="center"/>
    </xf>
    <xf numFmtId="194" fontId="187" fillId="0" borderId="28" xfId="2735" applyNumberFormat="1" applyFont="1" applyBorder="1">
      <alignment vertical="center"/>
    </xf>
    <xf numFmtId="194" fontId="189" fillId="0" borderId="61" xfId="2735" applyNumberFormat="1" applyFont="1" applyBorder="1">
      <alignment vertical="center"/>
    </xf>
    <xf numFmtId="194" fontId="189" fillId="0" borderId="60" xfId="2735" applyNumberFormat="1" applyFont="1" applyBorder="1">
      <alignment vertical="center"/>
    </xf>
    <xf numFmtId="182" fontId="189" fillId="0" borderId="60" xfId="2736" applyNumberFormat="1" applyFont="1" applyFill="1" applyBorder="1" applyAlignment="1">
      <alignment vertical="center"/>
    </xf>
    <xf numFmtId="194" fontId="189" fillId="65" borderId="38" xfId="2735" applyNumberFormat="1" applyFont="1" applyFill="1" applyBorder="1">
      <alignment vertical="center"/>
    </xf>
    <xf numFmtId="194" fontId="189" fillId="36" borderId="38" xfId="2735" applyNumberFormat="1" applyFont="1" applyFill="1" applyBorder="1">
      <alignment vertical="center"/>
    </xf>
    <xf numFmtId="0" fontId="1" fillId="0" borderId="28" xfId="2735" applyBorder="1" applyAlignment="1">
      <alignment horizontal="center" vertical="center" wrapText="1"/>
    </xf>
    <xf numFmtId="194" fontId="188" fillId="0" borderId="28" xfId="2735" applyNumberFormat="1" applyFont="1" applyBorder="1">
      <alignment vertical="center"/>
    </xf>
    <xf numFmtId="194" fontId="187" fillId="0" borderId="61" xfId="2735" applyNumberFormat="1" applyFont="1" applyBorder="1">
      <alignment vertical="center"/>
    </xf>
    <xf numFmtId="0" fontId="1" fillId="0" borderId="16" xfId="2735" applyBorder="1" applyAlignment="1">
      <alignment horizontal="center" vertical="center" wrapText="1"/>
    </xf>
    <xf numFmtId="0" fontId="1" fillId="0" borderId="17" xfId="2735" applyBorder="1" applyAlignment="1">
      <alignment horizontal="center" vertical="center" wrapText="1"/>
    </xf>
    <xf numFmtId="0" fontId="1" fillId="0" borderId="38" xfId="2735" applyBorder="1" applyAlignment="1">
      <alignment horizontal="center" vertical="center" wrapText="1"/>
    </xf>
    <xf numFmtId="194" fontId="187" fillId="0" borderId="58" xfId="2735" applyNumberFormat="1" applyFont="1" applyBorder="1">
      <alignment vertical="center"/>
    </xf>
    <xf numFmtId="194" fontId="187" fillId="0" borderId="60" xfId="2735" applyNumberFormat="1" applyFont="1" applyBorder="1">
      <alignment vertical="center"/>
    </xf>
    <xf numFmtId="182" fontId="189" fillId="0" borderId="38" xfId="2736" applyNumberFormat="1" applyFont="1" applyFill="1" applyBorder="1" applyAlignment="1">
      <alignment vertical="center"/>
    </xf>
    <xf numFmtId="182" fontId="31" fillId="0" borderId="0" xfId="0" applyNumberFormat="1" applyFont="1" applyAlignment="1">
      <alignment vertical="center"/>
    </xf>
    <xf numFmtId="173" fontId="31" fillId="0" borderId="0" xfId="0" applyNumberFormat="1" applyFont="1" applyAlignment="1">
      <alignment vertical="center"/>
    </xf>
    <xf numFmtId="172" fontId="0" fillId="0" borderId="0" xfId="0" applyNumberFormat="1">
      <alignment vertical="top"/>
    </xf>
    <xf numFmtId="172" fontId="0" fillId="0" borderId="38" xfId="0" applyNumberFormat="1" applyBorder="1">
      <alignment vertical="top"/>
    </xf>
    <xf numFmtId="37" fontId="23" fillId="37" borderId="0" xfId="43" applyNumberFormat="1" applyFill="1">
      <alignment vertical="top"/>
    </xf>
    <xf numFmtId="299" fontId="30" fillId="37" borderId="0" xfId="28" applyNumberFormat="1" applyFont="1" applyFill="1" applyAlignment="1">
      <alignment vertical="top"/>
    </xf>
    <xf numFmtId="194" fontId="188" fillId="65" borderId="38" xfId="2735" applyNumberFormat="1" applyFont="1" applyFill="1" applyBorder="1">
      <alignment vertical="center"/>
    </xf>
    <xf numFmtId="300" fontId="30" fillId="37" borderId="0" xfId="28" applyNumberFormat="1" applyFont="1" applyFill="1" applyAlignment="1">
      <alignment vertical="top"/>
    </xf>
    <xf numFmtId="173" fontId="180" fillId="37" borderId="0" xfId="28" applyNumberFormat="1" applyFont="1" applyFill="1" applyAlignment="1">
      <alignment vertical="top"/>
    </xf>
    <xf numFmtId="301" fontId="29" fillId="37" borderId="0" xfId="28" applyNumberFormat="1" applyFont="1" applyFill="1" applyAlignment="1">
      <alignment vertical="top"/>
    </xf>
    <xf numFmtId="173" fontId="1" fillId="37" borderId="0" xfId="28" applyNumberFormat="1" applyFont="1" applyFill="1" applyAlignment="1">
      <alignment vertical="center"/>
    </xf>
    <xf numFmtId="0" fontId="0" fillId="0" borderId="0" xfId="0" quotePrefix="1">
      <alignment vertical="top"/>
    </xf>
    <xf numFmtId="17" fontId="199" fillId="35" borderId="11" xfId="43" applyNumberFormat="1" applyFont="1" applyFill="1" applyBorder="1" applyAlignment="1">
      <alignment horizontal="center" vertical="center"/>
    </xf>
    <xf numFmtId="17" fontId="199" fillId="35" borderId="38" xfId="43" applyNumberFormat="1" applyFont="1" applyFill="1" applyBorder="1" applyAlignment="1">
      <alignment horizontal="center" vertical="center"/>
    </xf>
    <xf numFmtId="0" fontId="199" fillId="36" borderId="11" xfId="43" applyFont="1" applyFill="1" applyBorder="1" applyAlignment="1">
      <alignment horizontal="center" vertical="center"/>
    </xf>
    <xf numFmtId="0" fontId="200" fillId="34" borderId="11" xfId="43" applyFont="1" applyFill="1" applyBorder="1" applyAlignment="1">
      <alignment vertical="center"/>
    </xf>
    <xf numFmtId="3" fontId="200" fillId="34" borderId="11" xfId="28" applyNumberFormat="1" applyFont="1" applyFill="1" applyBorder="1" applyAlignment="1">
      <alignment vertical="center"/>
    </xf>
    <xf numFmtId="3" fontId="201" fillId="0" borderId="11" xfId="43" applyNumberFormat="1" applyFont="1" applyBorder="1" applyAlignment="1">
      <alignment vertical="center"/>
    </xf>
    <xf numFmtId="3" fontId="201" fillId="0" borderId="38" xfId="43" applyNumberFormat="1" applyFont="1" applyBorder="1" applyAlignment="1">
      <alignment vertical="center"/>
    </xf>
    <xf numFmtId="3" fontId="201" fillId="0" borderId="11" xfId="28" applyNumberFormat="1" applyFont="1" applyBorder="1" applyAlignment="1">
      <alignment vertical="center"/>
    </xf>
    <xf numFmtId="173" fontId="201" fillId="0" borderId="11" xfId="28" applyNumberFormat="1" applyFont="1" applyBorder="1" applyAlignment="1">
      <alignment vertical="center"/>
    </xf>
    <xf numFmtId="3" fontId="200" fillId="36" borderId="11" xfId="43" applyNumberFormat="1" applyFont="1" applyFill="1" applyBorder="1" applyAlignment="1">
      <alignment vertical="center"/>
    </xf>
    <xf numFmtId="3" fontId="200" fillId="36" borderId="38" xfId="43" applyNumberFormat="1" applyFont="1" applyFill="1" applyBorder="1" applyAlignment="1">
      <alignment vertical="center"/>
    </xf>
    <xf numFmtId="4" fontId="201" fillId="0" borderId="11" xfId="28" applyNumberFormat="1" applyFont="1" applyBorder="1" applyAlignment="1">
      <alignment vertical="center"/>
    </xf>
    <xf numFmtId="4" fontId="200" fillId="36" borderId="11" xfId="43" applyNumberFormat="1" applyFont="1" applyFill="1" applyBorder="1" applyAlignment="1">
      <alignment vertical="center"/>
    </xf>
    <xf numFmtId="173" fontId="201" fillId="0" borderId="38" xfId="28" applyNumberFormat="1" applyFont="1" applyBorder="1" applyAlignment="1">
      <alignment vertical="center"/>
    </xf>
    <xf numFmtId="4" fontId="201" fillId="0" borderId="38" xfId="28" applyNumberFormat="1" applyFont="1" applyBorder="1" applyAlignment="1">
      <alignment vertical="center"/>
    </xf>
    <xf numFmtId="3" fontId="201" fillId="0" borderId="38" xfId="28" applyNumberFormat="1" applyFont="1" applyBorder="1" applyAlignment="1">
      <alignment vertical="center"/>
    </xf>
    <xf numFmtId="173" fontId="201" fillId="37" borderId="0" xfId="28" applyNumberFormat="1" applyFont="1" applyFill="1" applyAlignment="1">
      <alignment vertical="top"/>
    </xf>
    <xf numFmtId="3" fontId="201" fillId="37" borderId="0" xfId="28" applyNumberFormat="1" applyFont="1" applyFill="1" applyAlignment="1">
      <alignment vertical="top"/>
    </xf>
    <xf numFmtId="172" fontId="201" fillId="0" borderId="0" xfId="0" applyNumberFormat="1" applyFont="1">
      <alignment vertical="top"/>
    </xf>
    <xf numFmtId="300" fontId="201" fillId="37" borderId="0" xfId="28" applyNumberFormat="1" applyFont="1" applyFill="1" applyAlignment="1">
      <alignment vertical="top"/>
    </xf>
    <xf numFmtId="173" fontId="203" fillId="37" borderId="0" xfId="28" applyNumberFormat="1" applyFont="1" applyFill="1" applyAlignment="1">
      <alignment vertical="top"/>
    </xf>
    <xf numFmtId="0" fontId="201" fillId="37" borderId="0" xfId="43" applyFont="1" applyFill="1">
      <alignment vertical="top"/>
    </xf>
    <xf numFmtId="3" fontId="201" fillId="37" borderId="0" xfId="43" applyNumberFormat="1" applyFont="1" applyFill="1">
      <alignment vertical="top"/>
    </xf>
    <xf numFmtId="37" fontId="201" fillId="37" borderId="0" xfId="43" applyNumberFormat="1" applyFont="1" applyFill="1">
      <alignment vertical="top"/>
    </xf>
    <xf numFmtId="4" fontId="201" fillId="37" borderId="0" xfId="43" applyNumberFormat="1" applyFont="1" applyFill="1">
      <alignment vertical="top"/>
    </xf>
    <xf numFmtId="0" fontId="198" fillId="37" borderId="0" xfId="43" applyFont="1" applyFill="1">
      <alignment vertical="top"/>
    </xf>
    <xf numFmtId="175" fontId="198" fillId="37" borderId="0" xfId="45" applyNumberFormat="1" applyFont="1" applyFill="1" applyAlignment="1">
      <alignment vertical="top"/>
    </xf>
    <xf numFmtId="10" fontId="198" fillId="37" borderId="0" xfId="45" applyNumberFormat="1" applyFont="1" applyFill="1" applyAlignment="1">
      <alignment vertical="top"/>
    </xf>
    <xf numFmtId="173" fontId="198" fillId="37" borderId="0" xfId="28" applyNumberFormat="1" applyFont="1" applyFill="1" applyAlignment="1">
      <alignment vertical="top"/>
    </xf>
    <xf numFmtId="301" fontId="198" fillId="37" borderId="0" xfId="28" applyNumberFormat="1" applyFont="1" applyFill="1" applyAlignment="1">
      <alignment vertical="top"/>
    </xf>
    <xf numFmtId="4" fontId="198" fillId="37" borderId="0" xfId="43" applyNumberFormat="1" applyFont="1" applyFill="1">
      <alignment vertical="top"/>
    </xf>
    <xf numFmtId="175" fontId="201" fillId="37" borderId="0" xfId="45" applyNumberFormat="1" applyFont="1" applyFill="1" applyAlignment="1">
      <alignment vertical="top"/>
    </xf>
    <xf numFmtId="10" fontId="201" fillId="37" borderId="0" xfId="45" applyNumberFormat="1" applyFont="1" applyFill="1" applyAlignment="1">
      <alignment vertical="top"/>
    </xf>
    <xf numFmtId="0" fontId="204" fillId="37" borderId="0" xfId="43" applyFont="1" applyFill="1">
      <alignment vertical="top"/>
    </xf>
    <xf numFmtId="175" fontId="204" fillId="37" borderId="0" xfId="45" applyNumberFormat="1" applyFont="1" applyFill="1" applyAlignment="1">
      <alignment vertical="top"/>
    </xf>
    <xf numFmtId="10" fontId="204" fillId="37" borderId="0" xfId="45" applyNumberFormat="1" applyFont="1" applyFill="1" applyAlignment="1">
      <alignment vertical="top"/>
    </xf>
    <xf numFmtId="173" fontId="204" fillId="37" borderId="0" xfId="28" applyNumberFormat="1" applyFont="1" applyFill="1" applyAlignment="1">
      <alignment vertical="top"/>
    </xf>
    <xf numFmtId="173" fontId="201" fillId="0" borderId="0" xfId="28" applyNumberFormat="1" applyFont="1" applyFill="1" applyAlignment="1">
      <alignment vertical="center"/>
    </xf>
    <xf numFmtId="173" fontId="200" fillId="0" borderId="0" xfId="28" applyNumberFormat="1" applyFont="1" applyFill="1" applyAlignment="1">
      <alignment vertical="center"/>
    </xf>
    <xf numFmtId="173" fontId="202" fillId="0" borderId="0" xfId="28" applyNumberFormat="1" applyFont="1" applyFill="1" applyAlignment="1">
      <alignment vertical="center"/>
    </xf>
    <xf numFmtId="173" fontId="201" fillId="0" borderId="0" xfId="28" applyNumberFormat="1" applyFont="1" applyAlignment="1">
      <alignment vertical="center"/>
    </xf>
    <xf numFmtId="173" fontId="0" fillId="0" borderId="0" xfId="28" applyNumberFormat="1" applyFont="1" applyAlignment="1">
      <alignment vertical="top"/>
    </xf>
    <xf numFmtId="0" fontId="205" fillId="0" borderId="11" xfId="43" applyFont="1" applyBorder="1" applyAlignment="1">
      <alignment vertical="center"/>
    </xf>
    <xf numFmtId="0" fontId="205" fillId="0" borderId="38" xfId="43" applyFont="1" applyBorder="1" applyAlignment="1">
      <alignment vertical="center"/>
    </xf>
    <xf numFmtId="173" fontId="34" fillId="37" borderId="0" xfId="43" applyNumberFormat="1" applyFont="1" applyFill="1">
      <alignment vertical="top"/>
    </xf>
    <xf numFmtId="37" fontId="0" fillId="0" borderId="0" xfId="0" applyNumberFormat="1">
      <alignment vertical="top"/>
    </xf>
    <xf numFmtId="173" fontId="191" fillId="37" borderId="0" xfId="28" applyNumberFormat="1" applyFont="1" applyFill="1" applyAlignment="1">
      <alignment vertical="center"/>
    </xf>
    <xf numFmtId="0" fontId="1" fillId="0" borderId="47" xfId="2735" applyBorder="1" applyAlignment="1">
      <alignment horizontal="center" vertical="center" wrapText="1"/>
    </xf>
    <xf numFmtId="0" fontId="1" fillId="0" borderId="68" xfId="2735" applyBorder="1" applyAlignment="1">
      <alignment horizontal="center" vertical="center" wrapText="1"/>
    </xf>
    <xf numFmtId="0" fontId="1" fillId="0" borderId="52" xfId="2735" applyBorder="1" applyAlignment="1">
      <alignment horizontal="center" vertical="center" wrapText="1"/>
    </xf>
    <xf numFmtId="3" fontId="0" fillId="0" borderId="0" xfId="0" applyNumberFormat="1">
      <alignment vertical="top"/>
    </xf>
    <xf numFmtId="173" fontId="33" fillId="0" borderId="38" xfId="28" applyNumberFormat="1" applyFont="1" applyBorder="1" applyAlignment="1">
      <alignment vertical="center"/>
    </xf>
    <xf numFmtId="3" fontId="201" fillId="0" borderId="0" xfId="28" applyNumberFormat="1" applyFont="1" applyBorder="1" applyAlignment="1">
      <alignment vertical="center"/>
    </xf>
    <xf numFmtId="0" fontId="205" fillId="0" borderId="28" xfId="43" applyFont="1" applyBorder="1" applyAlignment="1">
      <alignment vertical="center"/>
    </xf>
    <xf numFmtId="3" fontId="201" fillId="0" borderId="28" xfId="28" applyNumberFormat="1" applyFont="1" applyBorder="1" applyAlignment="1">
      <alignment vertical="center"/>
    </xf>
    <xf numFmtId="173" fontId="201" fillId="0" borderId="28" xfId="28" applyNumberFormat="1" applyFont="1" applyBorder="1" applyAlignment="1">
      <alignment vertical="center"/>
    </xf>
    <xf numFmtId="4" fontId="201" fillId="0" borderId="28" xfId="28" applyNumberFormat="1" applyFont="1" applyBorder="1" applyAlignment="1">
      <alignment vertical="center"/>
    </xf>
    <xf numFmtId="173" fontId="33" fillId="37" borderId="0" xfId="43" applyNumberFormat="1" applyFont="1" applyFill="1">
      <alignment vertical="top"/>
    </xf>
    <xf numFmtId="173" fontId="32" fillId="0" borderId="38" xfId="28" applyNumberFormat="1" applyFont="1" applyBorder="1" applyAlignment="1">
      <alignment vertical="center"/>
    </xf>
    <xf numFmtId="0" fontId="29" fillId="0" borderId="0" xfId="0" applyFont="1">
      <alignment vertical="top"/>
    </xf>
    <xf numFmtId="3" fontId="198" fillId="37" borderId="0" xfId="43" applyNumberFormat="1" applyFont="1" applyFill="1">
      <alignment vertical="top"/>
    </xf>
    <xf numFmtId="0" fontId="198" fillId="37" borderId="0" xfId="45" applyNumberFormat="1" applyFont="1" applyFill="1" applyAlignment="1">
      <alignment vertical="top"/>
    </xf>
    <xf numFmtId="0" fontId="185" fillId="62" borderId="49" xfId="2735" applyFont="1" applyFill="1" applyBorder="1" applyAlignment="1">
      <alignment vertical="center" wrapText="1"/>
    </xf>
    <xf numFmtId="0" fontId="185" fillId="62" borderId="50" xfId="2735" applyFont="1" applyFill="1" applyBorder="1" applyAlignment="1">
      <alignment vertical="center" wrapText="1"/>
    </xf>
    <xf numFmtId="302" fontId="201" fillId="0" borderId="0" xfId="28" applyNumberFormat="1" applyFont="1" applyAlignment="1">
      <alignment vertical="center"/>
    </xf>
    <xf numFmtId="194" fontId="188" fillId="0" borderId="66" xfId="2735" applyNumberFormat="1" applyFont="1" applyBorder="1">
      <alignment vertical="center"/>
    </xf>
    <xf numFmtId="194" fontId="1" fillId="37" borderId="0" xfId="2735" applyNumberFormat="1" applyFill="1">
      <alignment vertical="center"/>
    </xf>
    <xf numFmtId="3" fontId="206" fillId="37" borderId="0" xfId="43" applyNumberFormat="1" applyFont="1" applyFill="1">
      <alignment vertical="top"/>
    </xf>
    <xf numFmtId="175" fontId="207" fillId="37" borderId="0" xfId="43" applyNumberFormat="1" applyFont="1" applyFill="1">
      <alignment vertical="top"/>
    </xf>
    <xf numFmtId="3" fontId="208" fillId="37" borderId="0" xfId="43" applyNumberFormat="1" applyFont="1" applyFill="1">
      <alignment vertical="top"/>
    </xf>
    <xf numFmtId="173" fontId="0" fillId="0" borderId="0" xfId="0" applyNumberFormat="1">
      <alignment vertical="top"/>
    </xf>
    <xf numFmtId="0" fontId="31" fillId="0" borderId="38" xfId="0" applyFont="1" applyBorder="1" applyAlignment="1">
      <alignment vertical="center" wrapText="1"/>
    </xf>
    <xf numFmtId="172" fontId="0" fillId="0" borderId="10" xfId="0" applyNumberFormat="1" applyBorder="1">
      <alignment vertical="top"/>
    </xf>
    <xf numFmtId="173" fontId="34" fillId="37" borderId="0" xfId="28" applyNumberFormat="1" applyFont="1" applyFill="1" applyAlignment="1">
      <alignment vertical="top"/>
    </xf>
    <xf numFmtId="173" fontId="200" fillId="36" borderId="38" xfId="28" applyNumberFormat="1" applyFont="1" applyFill="1" applyBorder="1" applyAlignment="1">
      <alignment vertical="center"/>
    </xf>
    <xf numFmtId="3" fontId="201" fillId="0" borderId="11" xfId="28" applyNumberFormat="1" applyFont="1" applyFill="1" applyBorder="1" applyAlignment="1">
      <alignment vertical="center"/>
    </xf>
    <xf numFmtId="3" fontId="201" fillId="0" borderId="38" xfId="28" applyNumberFormat="1" applyFont="1" applyFill="1" applyBorder="1" applyAlignment="1">
      <alignment vertical="center"/>
    </xf>
    <xf numFmtId="0" fontId="1" fillId="0" borderId="61" xfId="2735" applyBorder="1" applyAlignment="1">
      <alignment horizontal="center" vertical="center" wrapText="1"/>
    </xf>
    <xf numFmtId="0" fontId="1" fillId="0" borderId="58" xfId="2735" applyBorder="1" applyAlignment="1">
      <alignment horizontal="center" vertical="center" wrapText="1"/>
    </xf>
    <xf numFmtId="0" fontId="1" fillId="0" borderId="60" xfId="2735" applyBorder="1" applyAlignment="1">
      <alignment horizontal="center" vertical="center" wrapText="1"/>
    </xf>
    <xf numFmtId="10" fontId="31" fillId="0" borderId="38" xfId="71" applyNumberFormat="1" applyFont="1" applyBorder="1" applyAlignment="1">
      <alignment horizontal="right" vertical="center"/>
    </xf>
    <xf numFmtId="10" fontId="31" fillId="0" borderId="38" xfId="71" applyNumberFormat="1" applyFont="1" applyBorder="1" applyAlignment="1">
      <alignment vertical="center"/>
    </xf>
    <xf numFmtId="3" fontId="1" fillId="37" borderId="0" xfId="2735" applyNumberFormat="1" applyFill="1">
      <alignment vertical="center"/>
    </xf>
    <xf numFmtId="173" fontId="201" fillId="0" borderId="0" xfId="28" applyNumberFormat="1" applyFont="1" applyFill="1" applyAlignment="1">
      <alignment vertical="top"/>
    </xf>
    <xf numFmtId="10" fontId="198" fillId="0" borderId="0" xfId="45" applyNumberFormat="1" applyFont="1" applyFill="1" applyAlignment="1">
      <alignment vertical="top"/>
    </xf>
    <xf numFmtId="10" fontId="201" fillId="0" borderId="0" xfId="45" applyNumberFormat="1" applyFont="1" applyFill="1" applyAlignment="1">
      <alignment vertical="top"/>
    </xf>
    <xf numFmtId="0" fontId="209" fillId="0" borderId="0" xfId="0" applyFont="1" applyAlignment="1">
      <alignment vertical="center"/>
    </xf>
    <xf numFmtId="0" fontId="0" fillId="65" borderId="0" xfId="0" applyFill="1">
      <alignment vertical="top"/>
    </xf>
    <xf numFmtId="0" fontId="23" fillId="65" borderId="0" xfId="0" applyFont="1" applyFill="1">
      <alignment vertical="top"/>
    </xf>
    <xf numFmtId="0" fontId="23" fillId="0" borderId="0" xfId="0" applyFont="1">
      <alignment vertical="top"/>
    </xf>
    <xf numFmtId="194" fontId="187" fillId="0" borderId="66" xfId="2735" applyNumberFormat="1" applyFont="1" applyBorder="1">
      <alignment vertical="center"/>
    </xf>
    <xf numFmtId="173" fontId="210" fillId="37" borderId="0" xfId="28" applyNumberFormat="1" applyFont="1" applyFill="1" applyAlignment="1">
      <alignment vertical="top"/>
    </xf>
    <xf numFmtId="173" fontId="211" fillId="0" borderId="11" xfId="28" applyNumberFormat="1" applyFont="1" applyBorder="1" applyAlignment="1">
      <alignment vertical="center"/>
    </xf>
    <xf numFmtId="173" fontId="211" fillId="0" borderId="38" xfId="28" applyNumberFormat="1" applyFont="1" applyBorder="1" applyAlignment="1">
      <alignment vertical="center"/>
    </xf>
    <xf numFmtId="3" fontId="211" fillId="0" borderId="11" xfId="28" applyNumberFormat="1" applyFont="1" applyBorder="1" applyAlignment="1">
      <alignment vertical="center"/>
    </xf>
    <xf numFmtId="3" fontId="211" fillId="0" borderId="11" xfId="28" applyNumberFormat="1" applyFont="1" applyFill="1" applyBorder="1" applyAlignment="1">
      <alignment vertical="center"/>
    </xf>
    <xf numFmtId="3" fontId="211" fillId="0" borderId="38" xfId="28" applyNumberFormat="1" applyFont="1" applyBorder="1" applyAlignment="1">
      <alignment vertical="center"/>
    </xf>
    <xf numFmtId="3" fontId="211" fillId="0" borderId="38" xfId="28" applyNumberFormat="1" applyFont="1" applyFill="1" applyBorder="1" applyAlignment="1">
      <alignment vertical="center"/>
    </xf>
    <xf numFmtId="172" fontId="211" fillId="0" borderId="10" xfId="0" applyNumberFormat="1" applyFont="1" applyBorder="1">
      <alignment vertical="top"/>
    </xf>
    <xf numFmtId="17" fontId="212" fillId="35" borderId="11" xfId="43" applyNumberFormat="1" applyFont="1" applyFill="1" applyBorder="1" applyAlignment="1">
      <alignment horizontal="center" vertical="center"/>
    </xf>
    <xf numFmtId="0" fontId="212" fillId="36" borderId="11" xfId="43" applyFont="1" applyFill="1" applyBorder="1" applyAlignment="1">
      <alignment horizontal="center" vertical="center"/>
    </xf>
    <xf numFmtId="0" fontId="205" fillId="34" borderId="11" xfId="43" applyFont="1" applyFill="1" applyBorder="1" applyAlignment="1">
      <alignment vertical="center"/>
    </xf>
    <xf numFmtId="3" fontId="205" fillId="34" borderId="11" xfId="28" applyNumberFormat="1" applyFont="1" applyFill="1" applyBorder="1" applyAlignment="1">
      <alignment vertical="center"/>
    </xf>
    <xf numFmtId="3" fontId="211" fillId="0" borderId="38" xfId="43" applyNumberFormat="1" applyFont="1" applyBorder="1" applyAlignment="1">
      <alignment vertical="center"/>
    </xf>
    <xf numFmtId="3" fontId="205" fillId="36" borderId="11" xfId="43" applyNumberFormat="1" applyFont="1" applyFill="1" applyBorder="1" applyAlignment="1">
      <alignment vertical="center"/>
    </xf>
    <xf numFmtId="173" fontId="205" fillId="36" borderId="38" xfId="28" applyNumberFormat="1" applyFont="1" applyFill="1" applyBorder="1" applyAlignment="1">
      <alignment vertical="center"/>
    </xf>
    <xf numFmtId="4" fontId="211" fillId="0" borderId="11" xfId="28" applyNumberFormat="1" applyFont="1" applyBorder="1" applyAlignment="1">
      <alignment vertical="center"/>
    </xf>
    <xf numFmtId="4" fontId="205" fillId="36" borderId="11" xfId="43" applyNumberFormat="1" applyFont="1" applyFill="1" applyBorder="1" applyAlignment="1">
      <alignment vertical="center"/>
    </xf>
    <xf numFmtId="4" fontId="211" fillId="0" borderId="38" xfId="28" applyNumberFormat="1" applyFont="1" applyBorder="1" applyAlignment="1">
      <alignment vertical="center"/>
    </xf>
    <xf numFmtId="3" fontId="211" fillId="0" borderId="11" xfId="43" applyNumberFormat="1" applyFont="1" applyBorder="1" applyAlignment="1">
      <alignment vertical="center"/>
    </xf>
    <xf numFmtId="3" fontId="211" fillId="0" borderId="28" xfId="28" applyNumberFormat="1" applyFont="1" applyBorder="1" applyAlignment="1">
      <alignment vertical="center"/>
    </xf>
    <xf numFmtId="173" fontId="211" fillId="0" borderId="28" xfId="28" applyNumberFormat="1" applyFont="1" applyBorder="1" applyAlignment="1">
      <alignment vertical="center"/>
    </xf>
    <xf numFmtId="173" fontId="211" fillId="37" borderId="0" xfId="28" applyNumberFormat="1" applyFont="1" applyFill="1" applyAlignment="1">
      <alignment vertical="top"/>
    </xf>
    <xf numFmtId="3" fontId="211" fillId="37" borderId="0" xfId="28" applyNumberFormat="1" applyFont="1" applyFill="1" applyAlignment="1">
      <alignment vertical="top"/>
    </xf>
    <xf numFmtId="172" fontId="211" fillId="0" borderId="0" xfId="0" applyNumberFormat="1" applyFont="1">
      <alignment vertical="top"/>
    </xf>
    <xf numFmtId="173" fontId="213" fillId="37" borderId="0" xfId="28" applyNumberFormat="1" applyFont="1" applyFill="1" applyAlignment="1">
      <alignment vertical="top"/>
    </xf>
    <xf numFmtId="0" fontId="212" fillId="36" borderId="11" xfId="43" applyFont="1" applyFill="1" applyBorder="1" applyAlignment="1">
      <alignment horizontal="center" vertical="center" wrapText="1"/>
    </xf>
    <xf numFmtId="38" fontId="34" fillId="37" borderId="0" xfId="43" applyNumberFormat="1" applyFont="1" applyFill="1">
      <alignment vertical="top"/>
    </xf>
    <xf numFmtId="10" fontId="198" fillId="0" borderId="69" xfId="45" applyNumberFormat="1" applyFont="1" applyFill="1" applyBorder="1" applyAlignment="1">
      <alignment vertical="top"/>
    </xf>
    <xf numFmtId="10" fontId="198" fillId="37" borderId="69" xfId="45" applyNumberFormat="1" applyFont="1" applyFill="1" applyBorder="1" applyAlignment="1">
      <alignment vertical="top"/>
    </xf>
    <xf numFmtId="173" fontId="1" fillId="37" borderId="0" xfId="2735" applyNumberFormat="1" applyFill="1">
      <alignment vertical="center"/>
    </xf>
    <xf numFmtId="173" fontId="205" fillId="34" borderId="11" xfId="28" applyNumberFormat="1" applyFont="1" applyFill="1" applyBorder="1" applyAlignment="1">
      <alignment vertical="center"/>
    </xf>
    <xf numFmtId="173" fontId="205" fillId="36" borderId="28" xfId="28" applyNumberFormat="1" applyFont="1" applyFill="1" applyBorder="1" applyAlignment="1">
      <alignment vertical="center"/>
    </xf>
    <xf numFmtId="4" fontId="211" fillId="0" borderId="28" xfId="28" applyNumberFormat="1" applyFont="1" applyBorder="1" applyAlignment="1">
      <alignment vertical="center"/>
    </xf>
    <xf numFmtId="4" fontId="205" fillId="36" borderId="28" xfId="43" applyNumberFormat="1" applyFont="1" applyFill="1" applyBorder="1" applyAlignment="1">
      <alignment vertical="center"/>
    </xf>
    <xf numFmtId="172" fontId="211" fillId="0" borderId="38" xfId="0" applyNumberFormat="1" applyFont="1" applyBorder="1">
      <alignment vertical="top"/>
    </xf>
    <xf numFmtId="3" fontId="205" fillId="36" borderId="38" xfId="43" applyNumberFormat="1" applyFont="1" applyFill="1" applyBorder="1" applyAlignment="1">
      <alignment vertical="center"/>
    </xf>
    <xf numFmtId="4" fontId="205" fillId="36" borderId="38" xfId="43" applyNumberFormat="1" applyFont="1" applyFill="1" applyBorder="1" applyAlignment="1">
      <alignment vertical="center"/>
    </xf>
    <xf numFmtId="173" fontId="211" fillId="37" borderId="38" xfId="28" applyNumberFormat="1" applyFont="1" applyFill="1" applyBorder="1" applyAlignment="1">
      <alignment vertical="top"/>
    </xf>
    <xf numFmtId="0" fontId="0" fillId="34" borderId="0" xfId="0" applyFill="1">
      <alignment vertical="top"/>
    </xf>
    <xf numFmtId="0" fontId="205" fillId="34" borderId="38" xfId="43" applyFont="1" applyFill="1" applyBorder="1" applyAlignment="1">
      <alignment vertical="center"/>
    </xf>
    <xf numFmtId="173" fontId="211" fillId="0" borderId="38" xfId="28" applyNumberFormat="1" applyFont="1" applyFill="1" applyBorder="1" applyAlignment="1">
      <alignment vertical="top"/>
    </xf>
    <xf numFmtId="173" fontId="211" fillId="0" borderId="38" xfId="28" applyNumberFormat="1" applyFont="1" applyFill="1" applyBorder="1" applyAlignment="1">
      <alignment vertical="center"/>
    </xf>
    <xf numFmtId="10" fontId="214" fillId="37" borderId="0" xfId="45" applyNumberFormat="1" applyFont="1" applyFill="1" applyAlignment="1">
      <alignment vertical="top"/>
    </xf>
    <xf numFmtId="0" fontId="215" fillId="0" borderId="0" xfId="0" applyFont="1">
      <alignment vertical="top"/>
    </xf>
    <xf numFmtId="3" fontId="216" fillId="37" borderId="0" xfId="43" applyNumberFormat="1" applyFont="1" applyFill="1">
      <alignment vertical="top"/>
    </xf>
    <xf numFmtId="0" fontId="26" fillId="34" borderId="0" xfId="0" applyFont="1" applyFill="1">
      <alignment vertical="top"/>
    </xf>
    <xf numFmtId="173" fontId="205" fillId="34" borderId="38" xfId="28" applyNumberFormat="1" applyFont="1" applyFill="1" applyBorder="1" applyAlignment="1">
      <alignment vertical="top"/>
    </xf>
    <xf numFmtId="0" fontId="32" fillId="62" borderId="38" xfId="0" applyFont="1" applyFill="1" applyBorder="1" applyAlignment="1">
      <alignment horizontal="center" vertical="center"/>
    </xf>
    <xf numFmtId="0" fontId="32" fillId="62" borderId="38" xfId="0" applyFont="1" applyFill="1" applyBorder="1" applyAlignment="1">
      <alignment horizontal="center" vertical="center" wrapText="1"/>
    </xf>
    <xf numFmtId="0" fontId="26" fillId="0" borderId="0" xfId="0" applyFont="1">
      <alignment vertical="top"/>
    </xf>
    <xf numFmtId="0" fontId="32" fillId="35" borderId="38" xfId="0" applyFont="1" applyFill="1" applyBorder="1" applyAlignment="1">
      <alignment horizontal="center" vertical="center"/>
    </xf>
    <xf numFmtId="14" fontId="31" fillId="0" borderId="38" xfId="0" applyNumberFormat="1" applyFont="1" applyBorder="1" applyAlignment="1">
      <alignment vertical="center"/>
    </xf>
    <xf numFmtId="173" fontId="23" fillId="0" borderId="0" xfId="0" applyNumberFormat="1" applyFont="1">
      <alignment vertical="top"/>
    </xf>
    <xf numFmtId="173" fontId="23" fillId="0" borderId="0" xfId="28" applyNumberFormat="1" applyFont="1" applyFill="1" applyAlignment="1">
      <alignment vertical="top"/>
    </xf>
    <xf numFmtId="43" fontId="205" fillId="34" borderId="11" xfId="28" applyFont="1" applyFill="1" applyBorder="1" applyAlignment="1">
      <alignment vertical="center"/>
    </xf>
    <xf numFmtId="43" fontId="211" fillId="0" borderId="11" xfId="28" applyFont="1" applyBorder="1" applyAlignment="1">
      <alignment vertical="center"/>
    </xf>
    <xf numFmtId="43" fontId="211" fillId="0" borderId="38" xfId="28" applyFont="1" applyBorder="1" applyAlignment="1">
      <alignment vertical="center"/>
    </xf>
    <xf numFmtId="43" fontId="211" fillId="0" borderId="28" xfId="28" applyFont="1" applyBorder="1" applyAlignment="1">
      <alignment vertical="center"/>
    </xf>
    <xf numFmtId="43" fontId="205" fillId="34" borderId="38" xfId="28" applyFont="1" applyFill="1" applyBorder="1" applyAlignment="1">
      <alignment vertical="top"/>
    </xf>
    <xf numFmtId="0" fontId="212" fillId="33" borderId="15" xfId="43" applyFont="1" applyFill="1" applyBorder="1" applyAlignment="1">
      <alignment horizontal="center" vertical="center"/>
    </xf>
    <xf numFmtId="0" fontId="212" fillId="33" borderId="16" xfId="43" applyFont="1" applyFill="1" applyBorder="1" applyAlignment="1">
      <alignment horizontal="center" vertical="center"/>
    </xf>
    <xf numFmtId="0" fontId="212" fillId="33" borderId="17" xfId="43" applyFont="1" applyFill="1" applyBorder="1" applyAlignment="1">
      <alignment horizontal="center" vertical="center"/>
    </xf>
    <xf numFmtId="0" fontId="205" fillId="35" borderId="11" xfId="43" applyFont="1" applyFill="1" applyBorder="1" applyAlignment="1">
      <alignment horizontal="center" vertical="center"/>
    </xf>
    <xf numFmtId="0" fontId="205" fillId="35" borderId="38" xfId="43" applyFont="1" applyFill="1" applyBorder="1" applyAlignment="1">
      <alignment horizontal="center" vertical="center"/>
    </xf>
    <xf numFmtId="0" fontId="212" fillId="35" borderId="12" xfId="43" applyFont="1" applyFill="1" applyBorder="1" applyAlignment="1">
      <alignment horizontal="center" vertical="center"/>
    </xf>
    <xf numFmtId="0" fontId="212" fillId="35" borderId="13" xfId="43" applyFont="1" applyFill="1" applyBorder="1" applyAlignment="1">
      <alignment horizontal="center" vertical="center"/>
    </xf>
    <xf numFmtId="0" fontId="212" fillId="35" borderId="39" xfId="43" applyFont="1" applyFill="1" applyBorder="1" applyAlignment="1">
      <alignment horizontal="center" vertical="center"/>
    </xf>
    <xf numFmtId="0" fontId="212" fillId="35" borderId="14" xfId="43" applyFont="1" applyFill="1" applyBorder="1" applyAlignment="1">
      <alignment horizontal="center" vertical="center"/>
    </xf>
    <xf numFmtId="173" fontId="212" fillId="36" borderId="37" xfId="28" applyNumberFormat="1" applyFont="1" applyFill="1" applyBorder="1" applyAlignment="1">
      <alignment horizontal="center" vertical="center"/>
    </xf>
    <xf numFmtId="173" fontId="212" fillId="36" borderId="17" xfId="28" applyNumberFormat="1" applyFont="1" applyFill="1" applyBorder="1" applyAlignment="1">
      <alignment horizontal="center" vertical="center"/>
    </xf>
    <xf numFmtId="0" fontId="26" fillId="0" borderId="0" xfId="0" applyFont="1" applyAlignment="1">
      <alignment horizontal="center" vertical="top"/>
    </xf>
    <xf numFmtId="0" fontId="1" fillId="64" borderId="36" xfId="2735" applyFill="1" applyBorder="1" applyAlignment="1">
      <alignment horizontal="center" vertical="center" wrapText="1"/>
    </xf>
    <xf numFmtId="0" fontId="186" fillId="62" borderId="42" xfId="2735" applyFont="1" applyFill="1" applyBorder="1" applyAlignment="1">
      <alignment horizontal="center" vertical="center"/>
    </xf>
    <xf numFmtId="0" fontId="186" fillId="62" borderId="46" xfId="2735" applyFont="1" applyFill="1" applyBorder="1" applyAlignment="1">
      <alignment horizontal="center" vertical="center"/>
    </xf>
    <xf numFmtId="0" fontId="186" fillId="62" borderId="47" xfId="2735" applyFont="1" applyFill="1" applyBorder="1" applyAlignment="1">
      <alignment horizontal="center" vertical="center"/>
    </xf>
    <xf numFmtId="0" fontId="1" fillId="0" borderId="36" xfId="2735" applyBorder="1" applyAlignment="1">
      <alignment horizontal="center" vertical="center" wrapText="1"/>
    </xf>
    <xf numFmtId="0" fontId="1" fillId="0" borderId="62" xfId="2735" applyBorder="1" applyAlignment="1">
      <alignment horizontal="center" vertical="center" wrapText="1"/>
    </xf>
    <xf numFmtId="0" fontId="1" fillId="0" borderId="65" xfId="2735" applyBorder="1" applyAlignment="1">
      <alignment horizontal="center" vertical="center" wrapText="1"/>
    </xf>
    <xf numFmtId="0" fontId="1" fillId="0" borderId="64" xfId="2735" applyBorder="1" applyAlignment="1">
      <alignment horizontal="center" vertical="center" wrapText="1"/>
    </xf>
    <xf numFmtId="0" fontId="1" fillId="64" borderId="48" xfId="2735" applyFill="1" applyBorder="1" applyAlignment="1">
      <alignment horizontal="center" vertical="center" wrapText="1"/>
    </xf>
    <xf numFmtId="0" fontId="1" fillId="64" borderId="57" xfId="2735" applyFill="1" applyBorder="1" applyAlignment="1">
      <alignment horizontal="center" vertical="center" wrapText="1"/>
    </xf>
    <xf numFmtId="0" fontId="1" fillId="64" borderId="51" xfId="2735" applyFill="1" applyBorder="1" applyAlignment="1">
      <alignment horizontal="center" vertical="center" wrapText="1"/>
    </xf>
    <xf numFmtId="0" fontId="185" fillId="62" borderId="63" xfId="2735" applyFont="1" applyFill="1" applyBorder="1" applyAlignment="1">
      <alignment horizontal="center" vertical="center" wrapText="1"/>
    </xf>
    <xf numFmtId="0" fontId="185" fillId="62" borderId="67" xfId="2735" applyFont="1" applyFill="1" applyBorder="1" applyAlignment="1">
      <alignment horizontal="center" vertical="center" wrapText="1"/>
    </xf>
    <xf numFmtId="0" fontId="1" fillId="0" borderId="48" xfId="2735" applyBorder="1" applyAlignment="1">
      <alignment horizontal="center" vertical="center" wrapText="1"/>
    </xf>
    <xf numFmtId="0" fontId="1" fillId="0" borderId="57" xfId="2735" applyBorder="1" applyAlignment="1">
      <alignment horizontal="center" vertical="center" wrapText="1"/>
    </xf>
    <xf numFmtId="0" fontId="1" fillId="0" borderId="51" xfId="2735" applyBorder="1" applyAlignment="1">
      <alignment horizontal="center" vertical="center" wrapText="1"/>
    </xf>
    <xf numFmtId="0" fontId="1" fillId="64" borderId="36" xfId="2735" applyFill="1" applyBorder="1" applyAlignment="1">
      <alignment horizontal="center" vertical="center"/>
    </xf>
    <xf numFmtId="0" fontId="185" fillId="62" borderId="42" xfId="2735" applyFont="1" applyFill="1" applyBorder="1" applyAlignment="1">
      <alignment horizontal="center" vertical="center"/>
    </xf>
    <xf numFmtId="0" fontId="185" fillId="62" borderId="43" xfId="2735" applyFont="1" applyFill="1" applyBorder="1" applyAlignment="1">
      <alignment horizontal="center" vertical="center"/>
    </xf>
    <xf numFmtId="0" fontId="185" fillId="62" borderId="49" xfId="2735" applyFont="1" applyFill="1" applyBorder="1" applyAlignment="1">
      <alignment horizontal="center" vertical="center"/>
    </xf>
    <xf numFmtId="0" fontId="185" fillId="62" borderId="50" xfId="2735" applyFont="1" applyFill="1" applyBorder="1" applyAlignment="1">
      <alignment horizontal="center" vertical="center"/>
    </xf>
    <xf numFmtId="0" fontId="1" fillId="0" borderId="36" xfId="2735" applyBorder="1" applyAlignment="1">
      <alignment horizontal="center" vertical="center"/>
    </xf>
    <xf numFmtId="0" fontId="1" fillId="64" borderId="62" xfId="2735" applyFill="1" applyBorder="1" applyAlignment="1">
      <alignment horizontal="center" vertical="center" wrapText="1"/>
    </xf>
    <xf numFmtId="0" fontId="1" fillId="64" borderId="65" xfId="2735" applyFill="1" applyBorder="1" applyAlignment="1">
      <alignment horizontal="center" vertical="center" wrapText="1"/>
    </xf>
    <xf numFmtId="0" fontId="1" fillId="64" borderId="64" xfId="2735" applyFill="1" applyBorder="1" applyAlignment="1">
      <alignment horizontal="center" vertical="center" wrapText="1"/>
    </xf>
    <xf numFmtId="0" fontId="32" fillId="35" borderId="38" xfId="0" applyFont="1" applyFill="1" applyBorder="1" applyAlignment="1">
      <alignment horizontal="center" vertical="center"/>
    </xf>
    <xf numFmtId="0" fontId="35" fillId="0" borderId="0" xfId="0" applyFont="1" applyAlignment="1">
      <alignment horizontal="center" vertical="top"/>
    </xf>
    <xf numFmtId="0" fontId="32" fillId="66" borderId="37" xfId="0" applyFont="1" applyFill="1" applyBorder="1" applyAlignment="1">
      <alignment horizontal="center" vertical="center"/>
    </xf>
    <xf numFmtId="0" fontId="32" fillId="66" borderId="17" xfId="0" applyFont="1" applyFill="1" applyBorder="1" applyAlignment="1">
      <alignment horizontal="center" vertical="center"/>
    </xf>
    <xf numFmtId="0" fontId="32" fillId="66" borderId="37" xfId="0" applyFont="1" applyFill="1" applyBorder="1" applyAlignment="1">
      <alignment horizontal="center" vertical="center" wrapText="1"/>
    </xf>
    <xf numFmtId="0" fontId="32" fillId="66" borderId="17" xfId="0" applyFont="1" applyFill="1" applyBorder="1" applyAlignment="1">
      <alignment horizontal="center" vertical="center" wrapText="1"/>
    </xf>
    <xf numFmtId="0" fontId="32" fillId="62" borderId="38" xfId="0" applyFont="1" applyFill="1" applyBorder="1" applyAlignment="1">
      <alignment horizontal="center" vertical="center"/>
    </xf>
    <xf numFmtId="0" fontId="199" fillId="33" borderId="15" xfId="43" applyFont="1" applyFill="1" applyBorder="1" applyAlignment="1">
      <alignment horizontal="center" vertical="center"/>
    </xf>
    <xf numFmtId="0" fontId="199" fillId="33" borderId="16" xfId="43" applyFont="1" applyFill="1" applyBorder="1" applyAlignment="1">
      <alignment horizontal="center" vertical="center"/>
    </xf>
    <xf numFmtId="0" fontId="199" fillId="33" borderId="17" xfId="43" applyFont="1" applyFill="1" applyBorder="1" applyAlignment="1">
      <alignment horizontal="center" vertical="center"/>
    </xf>
    <xf numFmtId="0" fontId="200" fillId="35" borderId="11" xfId="43" applyFont="1" applyFill="1" applyBorder="1" applyAlignment="1">
      <alignment horizontal="center" vertical="center"/>
    </xf>
    <xf numFmtId="0" fontId="200" fillId="35" borderId="38" xfId="43" applyFont="1" applyFill="1" applyBorder="1" applyAlignment="1">
      <alignment horizontal="center" vertical="center"/>
    </xf>
    <xf numFmtId="0" fontId="199" fillId="35" borderId="12" xfId="43" applyFont="1" applyFill="1" applyBorder="1" applyAlignment="1">
      <alignment horizontal="center" vertical="center"/>
    </xf>
    <xf numFmtId="0" fontId="199" fillId="35" borderId="13" xfId="43" applyFont="1" applyFill="1" applyBorder="1" applyAlignment="1">
      <alignment horizontal="center" vertical="center"/>
    </xf>
    <xf numFmtId="0" fontId="199" fillId="35" borderId="39" xfId="43" applyFont="1" applyFill="1" applyBorder="1" applyAlignment="1">
      <alignment horizontal="center" vertical="center"/>
    </xf>
    <xf numFmtId="0" fontId="199" fillId="35" borderId="14" xfId="43" applyFont="1" applyFill="1" applyBorder="1" applyAlignment="1">
      <alignment horizontal="center" vertical="center"/>
    </xf>
    <xf numFmtId="173" fontId="199" fillId="36" borderId="37" xfId="28" applyNumberFormat="1" applyFont="1" applyFill="1" applyBorder="1" applyAlignment="1">
      <alignment horizontal="center" vertical="center"/>
    </xf>
    <xf numFmtId="173" fontId="199" fillId="36" borderId="17" xfId="28" applyNumberFormat="1" applyFont="1" applyFill="1" applyBorder="1" applyAlignment="1">
      <alignment horizontal="center" vertical="center"/>
    </xf>
    <xf numFmtId="0" fontId="199" fillId="35" borderId="37" xfId="43" applyFont="1" applyFill="1" applyBorder="1" applyAlignment="1">
      <alignment horizontal="center" vertical="center"/>
    </xf>
    <xf numFmtId="0" fontId="199" fillId="35" borderId="17" xfId="43" applyFont="1" applyFill="1" applyBorder="1" applyAlignment="1">
      <alignment horizontal="center" vertical="center"/>
    </xf>
    <xf numFmtId="0" fontId="25" fillId="33" borderId="15" xfId="43" applyFont="1" applyFill="1" applyBorder="1" applyAlignment="1">
      <alignment horizontal="center" vertical="center"/>
    </xf>
    <xf numFmtId="0" fontId="25" fillId="33" borderId="16" xfId="43" applyFont="1" applyFill="1" applyBorder="1" applyAlignment="1">
      <alignment horizontal="center" vertical="center"/>
    </xf>
    <xf numFmtId="0" fontId="25" fillId="33" borderId="17" xfId="43" applyFont="1" applyFill="1" applyBorder="1" applyAlignment="1">
      <alignment horizontal="center" vertical="center"/>
    </xf>
    <xf numFmtId="0" fontId="37" fillId="35" borderId="11" xfId="43" applyFont="1" applyFill="1" applyBorder="1" applyAlignment="1">
      <alignment horizontal="center" vertical="center"/>
    </xf>
    <xf numFmtId="0" fontId="37" fillId="35" borderId="38" xfId="43" applyFont="1" applyFill="1" applyBorder="1" applyAlignment="1">
      <alignment horizontal="center" vertical="center"/>
    </xf>
    <xf numFmtId="0" fontId="25" fillId="35" borderId="12" xfId="43" applyFont="1" applyFill="1" applyBorder="1" applyAlignment="1">
      <alignment horizontal="center" vertical="center"/>
    </xf>
    <xf numFmtId="0" fontId="25" fillId="35" borderId="13" xfId="43" applyFont="1" applyFill="1" applyBorder="1" applyAlignment="1">
      <alignment horizontal="center" vertical="center"/>
    </xf>
    <xf numFmtId="0" fontId="25" fillId="35" borderId="39" xfId="43" applyFont="1" applyFill="1" applyBorder="1" applyAlignment="1">
      <alignment horizontal="center" vertical="center"/>
    </xf>
    <xf numFmtId="0" fontId="25" fillId="35" borderId="14" xfId="43" applyFont="1" applyFill="1" applyBorder="1" applyAlignment="1">
      <alignment horizontal="center" vertical="center"/>
    </xf>
    <xf numFmtId="0" fontId="25" fillId="35" borderId="37" xfId="43" applyFont="1" applyFill="1" applyBorder="1" applyAlignment="1">
      <alignment horizontal="center" vertical="center"/>
    </xf>
    <xf numFmtId="0" fontId="25" fillId="35" borderId="17" xfId="43" applyFont="1" applyFill="1" applyBorder="1" applyAlignment="1">
      <alignment horizontal="center" vertical="center"/>
    </xf>
    <xf numFmtId="0" fontId="34" fillId="37" borderId="0" xfId="43" applyFont="1" applyFill="1" applyAlignment="1">
      <alignment horizontal="center" vertical="top"/>
    </xf>
    <xf numFmtId="0" fontId="27" fillId="35" borderId="11" xfId="43" applyFont="1" applyFill="1" applyBorder="1" applyAlignment="1">
      <alignment horizontal="center" vertical="center"/>
    </xf>
    <xf numFmtId="0" fontId="177" fillId="37" borderId="0" xfId="43" applyFont="1" applyFill="1" applyAlignment="1">
      <alignment horizontal="center" vertical="top"/>
    </xf>
    <xf numFmtId="0" fontId="25" fillId="33" borderId="40" xfId="43" applyFont="1" applyFill="1" applyBorder="1" applyAlignment="1">
      <alignment horizontal="center" vertical="center"/>
    </xf>
    <xf numFmtId="0" fontId="25" fillId="33" borderId="29" xfId="43" applyFont="1" applyFill="1" applyBorder="1" applyAlignment="1">
      <alignment horizontal="center" vertical="center"/>
    </xf>
    <xf numFmtId="0" fontId="27" fillId="35" borderId="36" xfId="43" applyFont="1" applyFill="1" applyBorder="1" applyAlignment="1">
      <alignment horizontal="center" vertical="center"/>
    </xf>
    <xf numFmtId="0" fontId="27" fillId="35" borderId="39" xfId="43" applyFont="1" applyFill="1" applyBorder="1" applyAlignment="1">
      <alignment horizontal="center" vertical="center"/>
    </xf>
    <xf numFmtId="0" fontId="27" fillId="35" borderId="41" xfId="43" applyFont="1" applyFill="1" applyBorder="1" applyAlignment="1">
      <alignment horizontal="center" vertical="center"/>
    </xf>
    <xf numFmtId="0" fontId="25" fillId="35" borderId="38" xfId="43" applyFont="1" applyFill="1" applyBorder="1" applyAlignment="1">
      <alignment horizontal="center" vertical="center"/>
    </xf>
  </cellXfs>
  <cellStyles count="2739">
    <cellStyle name=" " xfId="124" xr:uid="{00000000-0005-0000-0000-000000000000}"/>
    <cellStyle name="          _x000d__x000a_mouse.drv=lmouse.drv" xfId="125" xr:uid="{00000000-0005-0000-0000-000001000000}"/>
    <cellStyle name=" _97연말" xfId="126" xr:uid="{00000000-0005-0000-0000-000002000000}"/>
    <cellStyle name=" _97연말1" xfId="127" xr:uid="{00000000-0005-0000-0000-000003000000}"/>
    <cellStyle name=" _Book1" xfId="128" xr:uid="{00000000-0005-0000-0000-000004000000}"/>
    <cellStyle name="#,##0" xfId="129" xr:uid="{00000000-0005-0000-0000-000005000000}"/>
    <cellStyle name="#,##0 2" xfId="2422" xr:uid="{00000000-0005-0000-0000-000006000000}"/>
    <cellStyle name="$" xfId="130" xr:uid="{00000000-0005-0000-0000-000007000000}"/>
    <cellStyle name="$_(그룹)차입금 관련지표 051005" xfId="131" xr:uid="{00000000-0005-0000-0000-000008000000}"/>
    <cellStyle name="$_04. 1.14" xfId="132" xr:uid="{00000000-0005-0000-0000-000009000000}"/>
    <cellStyle name="$_04.12.21" xfId="133" xr:uid="{00000000-0005-0000-0000-00000A000000}"/>
    <cellStyle name="$_05.1.18재무(회장님수정)" xfId="134" xr:uid="{00000000-0005-0000-0000-00000B000000}"/>
    <cellStyle name="$_db진흥" xfId="135" xr:uid="{00000000-0005-0000-0000-00000C000000}"/>
    <cellStyle name="$_db진흥 10" xfId="136" xr:uid="{00000000-0005-0000-0000-00000D000000}"/>
    <cellStyle name="$_db진흥 11" xfId="137" xr:uid="{00000000-0005-0000-0000-00000E000000}"/>
    <cellStyle name="$_db진흥 2" xfId="138" xr:uid="{00000000-0005-0000-0000-00000F000000}"/>
    <cellStyle name="$_db진흥 3" xfId="139" xr:uid="{00000000-0005-0000-0000-000010000000}"/>
    <cellStyle name="$_db진흥 4" xfId="140" xr:uid="{00000000-0005-0000-0000-000011000000}"/>
    <cellStyle name="$_db진흥 5" xfId="141" xr:uid="{00000000-0005-0000-0000-000012000000}"/>
    <cellStyle name="$_db진흥 6" xfId="142" xr:uid="{00000000-0005-0000-0000-000013000000}"/>
    <cellStyle name="$_db진흥 7" xfId="143" xr:uid="{00000000-0005-0000-0000-000014000000}"/>
    <cellStyle name="$_db진흥 8" xfId="144" xr:uid="{00000000-0005-0000-0000-000015000000}"/>
    <cellStyle name="$_db진흥 9" xfId="145" xr:uid="{00000000-0005-0000-0000-000016000000}"/>
    <cellStyle name="$_NC14E7869" xfId="146" xr:uid="{00000000-0005-0000-0000-000017000000}"/>
    <cellStyle name="$_NC15C5AFF" xfId="147" xr:uid="{00000000-0005-0000-0000-000018000000}"/>
    <cellStyle name="$_NC28AC271" xfId="148" xr:uid="{00000000-0005-0000-0000-000019000000}"/>
    <cellStyle name="$_NC4231C" xfId="149" xr:uid="{00000000-0005-0000-0000-00001A000000}"/>
    <cellStyle name="$_NC775117" xfId="150" xr:uid="{00000000-0005-0000-0000-00001B000000}"/>
    <cellStyle name="$_견적2" xfId="151" xr:uid="{00000000-0005-0000-0000-00001C000000}"/>
    <cellStyle name="$_견적2 10" xfId="152" xr:uid="{00000000-0005-0000-0000-00001D000000}"/>
    <cellStyle name="$_견적2 11" xfId="153" xr:uid="{00000000-0005-0000-0000-00001E000000}"/>
    <cellStyle name="$_견적2 2" xfId="154" xr:uid="{00000000-0005-0000-0000-00001F000000}"/>
    <cellStyle name="$_견적2 3" xfId="155" xr:uid="{00000000-0005-0000-0000-000020000000}"/>
    <cellStyle name="$_견적2 4" xfId="156" xr:uid="{00000000-0005-0000-0000-000021000000}"/>
    <cellStyle name="$_견적2 5" xfId="157" xr:uid="{00000000-0005-0000-0000-000022000000}"/>
    <cellStyle name="$_견적2 6" xfId="158" xr:uid="{00000000-0005-0000-0000-000023000000}"/>
    <cellStyle name="$_견적2 7" xfId="159" xr:uid="{00000000-0005-0000-0000-000024000000}"/>
    <cellStyle name="$_견적2 8" xfId="160" xr:uid="{00000000-0005-0000-0000-000025000000}"/>
    <cellStyle name="$_견적2 9" xfId="161" xr:uid="{00000000-0005-0000-0000-000026000000}"/>
    <cellStyle name="$_기아" xfId="162" xr:uid="{00000000-0005-0000-0000-000027000000}"/>
    <cellStyle name="$_기아 10" xfId="163" xr:uid="{00000000-0005-0000-0000-000028000000}"/>
    <cellStyle name="$_기아 11" xfId="164" xr:uid="{00000000-0005-0000-0000-000029000000}"/>
    <cellStyle name="$_기아 2" xfId="165" xr:uid="{00000000-0005-0000-0000-00002A000000}"/>
    <cellStyle name="$_기아 3" xfId="166" xr:uid="{00000000-0005-0000-0000-00002B000000}"/>
    <cellStyle name="$_기아 4" xfId="167" xr:uid="{00000000-0005-0000-0000-00002C000000}"/>
    <cellStyle name="$_기아 5" xfId="168" xr:uid="{00000000-0005-0000-0000-00002D000000}"/>
    <cellStyle name="$_기아 6" xfId="169" xr:uid="{00000000-0005-0000-0000-00002E000000}"/>
    <cellStyle name="$_기아 7" xfId="170" xr:uid="{00000000-0005-0000-0000-00002F000000}"/>
    <cellStyle name="$_기아 8" xfId="171" xr:uid="{00000000-0005-0000-0000-000030000000}"/>
    <cellStyle name="$_기아 9" xfId="172" xr:uid="{00000000-0005-0000-0000-000031000000}"/>
    <cellStyle name="$_비전경영5개년계획 - 2002년수정사업계획부문" xfId="173" xr:uid="{00000000-0005-0000-0000-000032000000}"/>
    <cellStyle name="$_재무대책양식05. 3.15" xfId="174" xr:uid="{00000000-0005-0000-0000-000033000000}"/>
    <cellStyle name="$_주요경영지표(0211월)" xfId="175" xr:uid="{00000000-0005-0000-0000-000034000000}"/>
    <cellStyle name="$_중장기비전경영계획part2(최종본20020225)" xfId="176" xr:uid="{00000000-0005-0000-0000-000035000000}"/>
    <cellStyle name="$_차입금 관련지표 051005" xfId="177" xr:uid="{00000000-0005-0000-0000-000036000000}"/>
    <cellStyle name="$_차입금및금리지수" xfId="178" xr:uid="{00000000-0005-0000-0000-000037000000}"/>
    <cellStyle name="(3)" xfId="179" xr:uid="{00000000-0005-0000-0000-000038000000}"/>
    <cellStyle name="(용량보정)" xfId="180" xr:uid="{00000000-0005-0000-0000-000039000000}"/>
    <cellStyle name="(용량보정) 2" xfId="2423" xr:uid="{00000000-0005-0000-0000-00003A000000}"/>
    <cellStyle name="??" xfId="181" xr:uid="{00000000-0005-0000-0000-00003B000000}"/>
    <cellStyle name="?? [0.00]_ Att. 1- Cover" xfId="182" xr:uid="{00000000-0005-0000-0000-00003C000000}"/>
    <cellStyle name="?? [0]" xfId="183" xr:uid="{00000000-0005-0000-0000-00003D000000}"/>
    <cellStyle name="?? 2" xfId="184" xr:uid="{00000000-0005-0000-0000-00003E000000}"/>
    <cellStyle name="??&amp;O?&amp;H?_x0008__x000f__x0007_?_x0007__x0001__x0001_" xfId="185" xr:uid="{00000000-0005-0000-0000-00003F000000}"/>
    <cellStyle name="??&amp;O?&amp;H?_x0008_??_x0007__x0001__x0001_" xfId="186" xr:uid="{00000000-0005-0000-0000-000040000000}"/>
    <cellStyle name="?_x001d_??%" xfId="187" xr:uid="{00000000-0005-0000-0000-000041000000}"/>
    <cellStyle name="?_x001d_??%U©÷u&amp;H©÷9_x0008_?_x0009_s_x000a__x0007__x0001__x0001_" xfId="188" xr:uid="{00000000-0005-0000-0000-000042000000}"/>
    <cellStyle name="?_x001d_??%U²u&amp;H²9" xfId="189" xr:uid="{00000000-0005-0000-0000-000043000000}"/>
    <cellStyle name="?_x001d_??%U²u&amp;H²9_x0008_?_x0009_s_x000a__x0007__x0001__x0001_" xfId="190" xr:uid="{00000000-0005-0000-0000-000044000000}"/>
    <cellStyle name="???? [0.00]_PRODUCT DETAIL Q1" xfId="191" xr:uid="{00000000-0005-0000-0000-000045000000}"/>
    <cellStyle name="????_PRODUCT DETAIL Q1" xfId="192" xr:uid="{00000000-0005-0000-0000-000046000000}"/>
    <cellStyle name="???[0]_?? DI" xfId="193" xr:uid="{00000000-0005-0000-0000-000047000000}"/>
    <cellStyle name="???_?? DI" xfId="194" xr:uid="{00000000-0005-0000-0000-000048000000}"/>
    <cellStyle name="??[0]_BRE" xfId="195" xr:uid="{00000000-0005-0000-0000-000049000000}"/>
    <cellStyle name="??_ Att. 1- Cover" xfId="196" xr:uid="{00000000-0005-0000-0000-00004A000000}"/>
    <cellStyle name="??A? [0]_laroux_1_¸???™? " xfId="197" xr:uid="{00000000-0005-0000-0000-00004B000000}"/>
    <cellStyle name="??A?_laroux_1_¸???™? " xfId="198" xr:uid="{00000000-0005-0000-0000-00004C000000}"/>
    <cellStyle name="?¡±¢¥?_?¨ù??¢´¢¥_¢¬???¢â? " xfId="199" xr:uid="{00000000-0005-0000-0000-00004D000000}"/>
    <cellStyle name="?”´?_?¼??¤´_¸???™? " xfId="200" xr:uid="{00000000-0005-0000-0000-00004E000000}"/>
    <cellStyle name="?ðC%U?&amp;H?_x0008_?s_x000a__x0007__x0001__x0001_" xfId="201" xr:uid="{00000000-0005-0000-0000-00004F000000}"/>
    <cellStyle name="?ðÇ%U?&amp;H?_x0008_?s_x000a__x0007__x0001__x0001_" xfId="202" xr:uid="{00000000-0005-0000-0000-000050000000}"/>
    <cellStyle name="?e??A?_laroux_A??I2A?_BS&amp;IncStat_PL_S " xfId="203" xr:uid="{00000000-0005-0000-0000-000051000000}"/>
    <cellStyle name="?귽긣깑" xfId="204" xr:uid="{00000000-0005-0000-0000-000052000000}"/>
    <cellStyle name="?마 [0]_CASH FLOW " xfId="205" xr:uid="{00000000-0005-0000-0000-000053000000}"/>
    <cellStyle name="?마_CASH FLOW " xfId="206" xr:uid="{00000000-0005-0000-0000-000054000000}"/>
    <cellStyle name="?曹%" xfId="208" xr:uid="{00000000-0005-0000-0000-000056000000}"/>
    <cellStyle name="?曹%U" xfId="209" xr:uid="{00000000-0005-0000-0000-000057000000}"/>
    <cellStyle name="?曹%U?&amp;H?_x0008_?" xfId="210" xr:uid="{00000000-0005-0000-0000-000058000000}"/>
    <cellStyle name="?曹%U?&amp;H?_x0008_?s_x000a__x0007__x0001__x0001_" xfId="211" xr:uid="{00000000-0005-0000-0000-000059000000}"/>
    <cellStyle name="?핺_2Q97 dist.EOM " xfId="207" xr:uid="{00000000-0005-0000-0000-000055000000}"/>
    <cellStyle name="_2007년 월별 자금수지-20071031기준" xfId="212" xr:uid="{00000000-0005-0000-0000-00005A000000}"/>
    <cellStyle name="_'99상반기경영개선활동결과(게시용)" xfId="213" xr:uid="{00000000-0005-0000-0000-00005B000000}"/>
    <cellStyle name="_A03 세미콘테크 BSPL" xfId="214" xr:uid="{00000000-0005-0000-0000-00005C000000}"/>
    <cellStyle name="_Bang Chi tieu (2)" xfId="215" xr:uid="{00000000-0005-0000-0000-00005D000000}"/>
    <cellStyle name="_Book2" xfId="216" xr:uid="{00000000-0005-0000-0000-00005E000000}"/>
    <cellStyle name="_Book9" xfId="217" xr:uid="{00000000-0005-0000-0000-00005F000000}"/>
    <cellStyle name="_C01 두산중공업 BSPL" xfId="218" xr:uid="{00000000-0005-0000-0000-000060000000}"/>
    <cellStyle name="_C05 HSD 엔진 BSPL" xfId="219" xr:uid="{00000000-0005-0000-0000-000061000000}"/>
    <cellStyle name="_dimon" xfId="220" xr:uid="{00000000-0005-0000-0000-000062000000}"/>
    <cellStyle name="_Kluong thang 12" xfId="221" xr:uid="{00000000-0005-0000-0000-000063000000}"/>
    <cellStyle name="_laroux" xfId="222" xr:uid="{00000000-0005-0000-0000-000064000000}"/>
    <cellStyle name="_laroux_PERSONAL" xfId="223" xr:uid="{00000000-0005-0000-0000-000065000000}"/>
    <cellStyle name="_laroux_구매2" xfId="224" xr:uid="{00000000-0005-0000-0000-000066000000}"/>
    <cellStyle name="_laroux_기안품의" xfId="225" xr:uid="{00000000-0005-0000-0000-000067000000}"/>
    <cellStyle name="_laroux_내건작물" xfId="226" xr:uid="{00000000-0005-0000-0000-000068000000}"/>
    <cellStyle name="_laroux_사택" xfId="227" xr:uid="{00000000-0005-0000-0000-000069000000}"/>
    <cellStyle name="_laroux_양식" xfId="228" xr:uid="{00000000-0005-0000-0000-00006A000000}"/>
    <cellStyle name="_laroux_업무2" xfId="229" xr:uid="{00000000-0005-0000-0000-00006B000000}"/>
    <cellStyle name="_laroux_인원사항" xfId="230" xr:uid="{00000000-0005-0000-0000-00006C000000}"/>
    <cellStyle name="_laroux_자료집" xfId="231" xr:uid="{00000000-0005-0000-0000-00006D000000}"/>
    <cellStyle name="_laroux_조골세포" xfId="232" xr:uid="{00000000-0005-0000-0000-00006E000000}"/>
    <cellStyle name="_laroux_천연고무" xfId="233" xr:uid="{00000000-0005-0000-0000-00006F000000}"/>
    <cellStyle name="_Unit Rate-Piping" xfId="234" xr:uid="{00000000-0005-0000-0000-000070000000}"/>
    <cellStyle name="_Virus" xfId="235" xr:uid="{00000000-0005-0000-0000-000071000000}"/>
    <cellStyle name="_견적내역서(배관공사)(1)" xfId="236" xr:uid="{00000000-0005-0000-0000-000072000000}"/>
    <cellStyle name="_계장(SK)" xfId="237" xr:uid="{00000000-0005-0000-0000-000073000000}"/>
    <cellStyle name="_별첨(계획서및실적서양식)" xfId="238" xr:uid="{00000000-0005-0000-0000-000074000000}"/>
    <cellStyle name="_별첨(계획서및실적서양식)_1" xfId="239" xr:uid="{00000000-0005-0000-0000-000075000000}"/>
    <cellStyle name="_별첨자료(1-4)" xfId="240" xr:uid="{00000000-0005-0000-0000-000076000000}"/>
    <cellStyle name="_양식" xfId="241" xr:uid="{00000000-0005-0000-0000-000077000000}"/>
    <cellStyle name="_양식_1" xfId="242" xr:uid="{00000000-0005-0000-0000-000078000000}"/>
    <cellStyle name="_양식_2" xfId="243" xr:uid="{00000000-0005-0000-0000-000079000000}"/>
    <cellStyle name="_유첨3(서식)" xfId="244" xr:uid="{00000000-0005-0000-0000-00007A000000}"/>
    <cellStyle name="_유첨3(서식)_1" xfId="245" xr:uid="{00000000-0005-0000-0000-00007B000000}"/>
    <cellStyle name="_인원계획표 " xfId="246" xr:uid="{00000000-0005-0000-0000-00007C000000}"/>
    <cellStyle name="_인원계획표 _4season_kl_2_현장간접비_USD_간접비 for 00주관견적 초안(071018)" xfId="247" xr:uid="{00000000-0005-0000-0000-00007D000000}"/>
    <cellStyle name="_인원계획표 _4season_kl_2_현장간접비_USD_간접비 for 00주관견적 초안(071018)_간접비검토" xfId="248" xr:uid="{00000000-0005-0000-0000-00007E000000}"/>
    <cellStyle name="_인원계획표 _간접비검토" xfId="249" xr:uid="{00000000-0005-0000-0000-00007F000000}"/>
    <cellStyle name="_인원계획표 _간접비검토_간접비검토" xfId="250" xr:uid="{00000000-0005-0000-0000-000080000000}"/>
    <cellStyle name="_인원계획표 _월곳집행(본사)" xfId="251" xr:uid="{00000000-0005-0000-0000-000081000000}"/>
    <cellStyle name="_인원계획표 _월곳집행(본사)_4season_kl_2_현장간접비_USD_간접비 for 00주관견적 초안(071018)" xfId="252" xr:uid="{00000000-0005-0000-0000-000082000000}"/>
    <cellStyle name="_인원계획표 _월곳집행(본사)_4season_kl_2_현장간접비_USD_간접비 for 00주관견적 초안(071018)_간접비검토" xfId="253" xr:uid="{00000000-0005-0000-0000-000083000000}"/>
    <cellStyle name="_인원계획표 _월곳집행(본사)_간접비검토" xfId="254" xr:uid="{00000000-0005-0000-0000-000084000000}"/>
    <cellStyle name="_인원계획표 _월곳집행(본사)_간접비검토_간접비검토" xfId="255" xr:uid="{00000000-0005-0000-0000-000085000000}"/>
    <cellStyle name="_인원계획표 _월곳집행(본사)_공내역서(소방)" xfId="256" xr:uid="{00000000-0005-0000-0000-000086000000}"/>
    <cellStyle name="_인원계획표 _월곳집행(본사)_공내역서(소방)_4season_kl_2_현장간접비_USD_간접비 for 00주관견적 초안(071018)" xfId="257" xr:uid="{00000000-0005-0000-0000-000087000000}"/>
    <cellStyle name="_인원계획표 _월곳집행(본사)_공내역서(소방)_4season_kl_2_현장간접비_USD_간접비 for 00주관견적 초안(071018)_간접비검토" xfId="258" xr:uid="{00000000-0005-0000-0000-000088000000}"/>
    <cellStyle name="_인원계획표 _월곳집행(본사)_공내역서(소방)_간접비검토" xfId="259" xr:uid="{00000000-0005-0000-0000-000089000000}"/>
    <cellStyle name="_인원계획표 _월곳집행(본사)_공내역서(소방)_간접비검토_간접비검토" xfId="260" xr:uid="{00000000-0005-0000-0000-00008A000000}"/>
    <cellStyle name="_인원계획표 _월곳집행(본사)_공내역서(소방final)" xfId="261" xr:uid="{00000000-0005-0000-0000-00008B000000}"/>
    <cellStyle name="_인원계획표 _월곳집행(본사)_공내역서(소방final)_4season_kl_2_현장간접비_USD_간접비 for 00주관견적 초안(071018)" xfId="262" xr:uid="{00000000-0005-0000-0000-00008C000000}"/>
    <cellStyle name="_인원계획표 _월곳집행(본사)_공내역서(소방final)_4season_kl_2_현장간접비_USD_간접비 for 00주관견적 초안(071018)_간접비검토" xfId="263" xr:uid="{00000000-0005-0000-0000-00008D000000}"/>
    <cellStyle name="_인원계획표 _월곳집행(본사)_공내역서(소방final)_간접비검토" xfId="264" xr:uid="{00000000-0005-0000-0000-00008E000000}"/>
    <cellStyle name="_인원계획표 _월곳집행(본사)_공내역서(소방final)_간접비검토_간접비검토" xfId="265" xr:uid="{00000000-0005-0000-0000-00008F000000}"/>
    <cellStyle name="_인원계획표 _적격 " xfId="266" xr:uid="{00000000-0005-0000-0000-000090000000}"/>
    <cellStyle name="_인원계획표 _적격 _4season_kl_2_현장간접비_USD_간접비 for 00주관견적 초안(071018)" xfId="267" xr:uid="{00000000-0005-0000-0000-000091000000}"/>
    <cellStyle name="_인원계획표 _적격 _4season_kl_2_현장간접비_USD_간접비 for 00주관견적 초안(071018)_간접비검토" xfId="268" xr:uid="{00000000-0005-0000-0000-000092000000}"/>
    <cellStyle name="_인원계획표 _적격 _간접비검토" xfId="269" xr:uid="{00000000-0005-0000-0000-000093000000}"/>
    <cellStyle name="_인원계획표 _적격 _간접비검토_간접비검토" xfId="270" xr:uid="{00000000-0005-0000-0000-000094000000}"/>
    <cellStyle name="_인원계획표 _적격 _월곳집행(본사)" xfId="271" xr:uid="{00000000-0005-0000-0000-000095000000}"/>
    <cellStyle name="_인원계획표 _적격 _월곳집행(본사)_4season_kl_2_현장간접비_USD_간접비 for 00주관견적 초안(071018)" xfId="272" xr:uid="{00000000-0005-0000-0000-000096000000}"/>
    <cellStyle name="_인원계획표 _적격 _월곳집행(본사)_4season_kl_2_현장간접비_USD_간접비 for 00주관견적 초안(071018)_간접비검토" xfId="273" xr:uid="{00000000-0005-0000-0000-000097000000}"/>
    <cellStyle name="_인원계획표 _적격 _월곳집행(본사)_간접비검토" xfId="274" xr:uid="{00000000-0005-0000-0000-000098000000}"/>
    <cellStyle name="_인원계획표 _적격 _월곳집행(본사)_간접비검토_간접비검토" xfId="275" xr:uid="{00000000-0005-0000-0000-000099000000}"/>
    <cellStyle name="_인원계획표 _적격 _월곳집행(본사)_공내역서(소방)" xfId="276" xr:uid="{00000000-0005-0000-0000-00009A000000}"/>
    <cellStyle name="_인원계획표 _적격 _월곳집행(본사)_공내역서(소방)_4season_kl_2_현장간접비_USD_간접비 for 00주관견적 초안(071018)" xfId="277" xr:uid="{00000000-0005-0000-0000-00009B000000}"/>
    <cellStyle name="_인원계획표 _적격 _월곳집행(본사)_공내역서(소방)_4season_kl_2_현장간접비_USD_간접비 for 00주관견적 초안(071018)_간접비검토" xfId="278" xr:uid="{00000000-0005-0000-0000-00009C000000}"/>
    <cellStyle name="_인원계획표 _적격 _월곳집행(본사)_공내역서(소방)_간접비검토" xfId="279" xr:uid="{00000000-0005-0000-0000-00009D000000}"/>
    <cellStyle name="_인원계획표 _적격 _월곳집행(본사)_공내역서(소방)_간접비검토_간접비검토" xfId="280" xr:uid="{00000000-0005-0000-0000-00009E000000}"/>
    <cellStyle name="_인원계획표 _적격 _월곳집행(본사)_공내역서(소방final)" xfId="281" xr:uid="{00000000-0005-0000-0000-00009F000000}"/>
    <cellStyle name="_인원계획표 _적격 _월곳집행(본사)_공내역서(소방final)_4season_kl_2_현장간접비_USD_간접비 for 00주관견적 초안(071018)" xfId="282" xr:uid="{00000000-0005-0000-0000-0000A0000000}"/>
    <cellStyle name="_인원계획표 _적격 _월곳집행(본사)_공내역서(소방final)_4season_kl_2_현장간접비_USD_간접비 for 00주관견적 초안(071018)_간접비검토" xfId="283" xr:uid="{00000000-0005-0000-0000-0000A1000000}"/>
    <cellStyle name="_인원계획표 _적격 _월곳집행(본사)_공내역서(소방final)_간접비검토" xfId="284" xr:uid="{00000000-0005-0000-0000-0000A2000000}"/>
    <cellStyle name="_인원계획표 _적격 _월곳집행(본사)_공내역서(소방final)_간접비검토_간접비검토" xfId="285" xr:uid="{00000000-0005-0000-0000-0000A3000000}"/>
    <cellStyle name="_임원kpi종합" xfId="286" xr:uid="{00000000-0005-0000-0000-0000A4000000}"/>
    <cellStyle name="_입찰예정견적서(기계,배관공사)" xfId="287" xr:uid="{00000000-0005-0000-0000-0000A5000000}"/>
    <cellStyle name="_입찰표지 " xfId="288" xr:uid="{00000000-0005-0000-0000-0000A6000000}"/>
    <cellStyle name="_입찰표지 _4season_kl_2_현장간접비_USD_간접비 for 00주관견적 초안(071018)" xfId="289" xr:uid="{00000000-0005-0000-0000-0000A7000000}"/>
    <cellStyle name="_입찰표지 _4season_kl_2_현장간접비_USD_간접비 for 00주관견적 초안(071018)_간접비검토" xfId="290" xr:uid="{00000000-0005-0000-0000-0000A8000000}"/>
    <cellStyle name="_입찰표지 _간접비검토" xfId="291" xr:uid="{00000000-0005-0000-0000-0000A9000000}"/>
    <cellStyle name="_입찰표지 _간접비검토_간접비검토" xfId="292" xr:uid="{00000000-0005-0000-0000-0000AA000000}"/>
    <cellStyle name="_입찰표지 _월곳집행(본사)" xfId="293" xr:uid="{00000000-0005-0000-0000-0000AB000000}"/>
    <cellStyle name="_입찰표지 _월곳집행(본사)_4season_kl_2_현장간접비_USD_간접비 for 00주관견적 초안(071018)" xfId="294" xr:uid="{00000000-0005-0000-0000-0000AC000000}"/>
    <cellStyle name="_입찰표지 _월곳집행(본사)_4season_kl_2_현장간접비_USD_간접비 for 00주관견적 초안(071018)_간접비검토" xfId="295" xr:uid="{00000000-0005-0000-0000-0000AD000000}"/>
    <cellStyle name="_입찰표지 _월곳집행(본사)_간접비검토" xfId="296" xr:uid="{00000000-0005-0000-0000-0000AE000000}"/>
    <cellStyle name="_입찰표지 _월곳집행(본사)_간접비검토_간접비검토" xfId="297" xr:uid="{00000000-0005-0000-0000-0000AF000000}"/>
    <cellStyle name="_입찰표지 _월곳집행(본사)_공내역서(소방)" xfId="298" xr:uid="{00000000-0005-0000-0000-0000B0000000}"/>
    <cellStyle name="_입찰표지 _월곳집행(본사)_공내역서(소방)_4season_kl_2_현장간접비_USD_간접비 for 00주관견적 초안(071018)" xfId="299" xr:uid="{00000000-0005-0000-0000-0000B1000000}"/>
    <cellStyle name="_입찰표지 _월곳집행(본사)_공내역서(소방)_4season_kl_2_현장간접비_USD_간접비 for 00주관견적 초안(071018)_간접비검토" xfId="300" xr:uid="{00000000-0005-0000-0000-0000B2000000}"/>
    <cellStyle name="_입찰표지 _월곳집행(본사)_공내역서(소방)_간접비검토" xfId="301" xr:uid="{00000000-0005-0000-0000-0000B3000000}"/>
    <cellStyle name="_입찰표지 _월곳집행(본사)_공내역서(소방)_간접비검토_간접비검토" xfId="302" xr:uid="{00000000-0005-0000-0000-0000B4000000}"/>
    <cellStyle name="_입찰표지 _월곳집행(본사)_공내역서(소방final)" xfId="303" xr:uid="{00000000-0005-0000-0000-0000B5000000}"/>
    <cellStyle name="_입찰표지 _월곳집행(본사)_공내역서(소방final)_4season_kl_2_현장간접비_USD_간접비 for 00주관견적 초안(071018)" xfId="304" xr:uid="{00000000-0005-0000-0000-0000B6000000}"/>
    <cellStyle name="_입찰표지 _월곳집행(본사)_공내역서(소방final)_4season_kl_2_현장간접비_USD_간접비 for 00주관견적 초안(071018)_간접비검토" xfId="305" xr:uid="{00000000-0005-0000-0000-0000B7000000}"/>
    <cellStyle name="_입찰표지 _월곳집행(본사)_공내역서(소방final)_간접비검토" xfId="306" xr:uid="{00000000-0005-0000-0000-0000B8000000}"/>
    <cellStyle name="_입찰표지 _월곳집행(본사)_공내역서(소방final)_간접비검토_간접비검토" xfId="307" xr:uid="{00000000-0005-0000-0000-0000B9000000}"/>
    <cellStyle name="_적격 " xfId="308" xr:uid="{00000000-0005-0000-0000-0000BA000000}"/>
    <cellStyle name="_적격 _4season_kl_2_현장간접비_USD_간접비 for 00주관견적 초안(071018)" xfId="309" xr:uid="{00000000-0005-0000-0000-0000BB000000}"/>
    <cellStyle name="_적격 _4season_kl_2_현장간접비_USD_간접비 for 00주관견적 초안(071018)_간접비검토" xfId="310" xr:uid="{00000000-0005-0000-0000-0000BC000000}"/>
    <cellStyle name="_적격 _간접비검토" xfId="311" xr:uid="{00000000-0005-0000-0000-0000BD000000}"/>
    <cellStyle name="_적격 _간접비검토_간접비검토" xfId="312" xr:uid="{00000000-0005-0000-0000-0000BE000000}"/>
    <cellStyle name="_적격 _월곳집행(본사)" xfId="313" xr:uid="{00000000-0005-0000-0000-0000BF000000}"/>
    <cellStyle name="_적격 _월곳집행(본사)_4season_kl_2_현장간접비_USD_간접비 for 00주관견적 초안(071018)" xfId="314" xr:uid="{00000000-0005-0000-0000-0000C0000000}"/>
    <cellStyle name="_적격 _월곳집행(본사)_4season_kl_2_현장간접비_USD_간접비 for 00주관견적 초안(071018)_간접비검토" xfId="315" xr:uid="{00000000-0005-0000-0000-0000C1000000}"/>
    <cellStyle name="_적격 _월곳집행(본사)_간접비검토" xfId="316" xr:uid="{00000000-0005-0000-0000-0000C2000000}"/>
    <cellStyle name="_적격 _월곳집행(본사)_간접비검토_간접비검토" xfId="317" xr:uid="{00000000-0005-0000-0000-0000C3000000}"/>
    <cellStyle name="_적격 _월곳집행(본사)_공내역서(소방)" xfId="318" xr:uid="{00000000-0005-0000-0000-0000C4000000}"/>
    <cellStyle name="_적격 _월곳집행(본사)_공내역서(소방)_4season_kl_2_현장간접비_USD_간접비 for 00주관견적 초안(071018)" xfId="319" xr:uid="{00000000-0005-0000-0000-0000C5000000}"/>
    <cellStyle name="_적격 _월곳집행(본사)_공내역서(소방)_4season_kl_2_현장간접비_USD_간접비 for 00주관견적 초안(071018)_간접비검토" xfId="320" xr:uid="{00000000-0005-0000-0000-0000C6000000}"/>
    <cellStyle name="_적격 _월곳집행(본사)_공내역서(소방)_간접비검토" xfId="321" xr:uid="{00000000-0005-0000-0000-0000C7000000}"/>
    <cellStyle name="_적격 _월곳집행(본사)_공내역서(소방)_간접비검토_간접비검토" xfId="322" xr:uid="{00000000-0005-0000-0000-0000C8000000}"/>
    <cellStyle name="_적격 _월곳집행(본사)_공내역서(소방final)" xfId="323" xr:uid="{00000000-0005-0000-0000-0000C9000000}"/>
    <cellStyle name="_적격 _월곳집행(본사)_공내역서(소방final)_4season_kl_2_현장간접비_USD_간접비 for 00주관견적 초안(071018)" xfId="324" xr:uid="{00000000-0005-0000-0000-0000CA000000}"/>
    <cellStyle name="_적격 _월곳집행(본사)_공내역서(소방final)_4season_kl_2_현장간접비_USD_간접비 for 00주관견적 초안(071018)_간접비검토" xfId="325" xr:uid="{00000000-0005-0000-0000-0000CB000000}"/>
    <cellStyle name="_적격 _월곳집행(본사)_공내역서(소방final)_간접비검토" xfId="326" xr:uid="{00000000-0005-0000-0000-0000CC000000}"/>
    <cellStyle name="_적격 _월곳집행(본사)_공내역서(소방final)_간접비검토_간접비검토" xfId="327" xr:uid="{00000000-0005-0000-0000-0000CD000000}"/>
    <cellStyle name="_적격(화산) " xfId="328" xr:uid="{00000000-0005-0000-0000-0000CE000000}"/>
    <cellStyle name="_적격(화산) _4season_kl_2_현장간접비_USD_간접비 for 00주관견적 초안(071018)" xfId="329" xr:uid="{00000000-0005-0000-0000-0000CF000000}"/>
    <cellStyle name="_적격(화산) _4season_kl_2_현장간접비_USD_간접비 for 00주관견적 초안(071018)_간접비검토" xfId="330" xr:uid="{00000000-0005-0000-0000-0000D0000000}"/>
    <cellStyle name="_적격(화산) _간접비검토" xfId="331" xr:uid="{00000000-0005-0000-0000-0000D1000000}"/>
    <cellStyle name="_적격(화산) _간접비검토_간접비검토" xfId="332" xr:uid="{00000000-0005-0000-0000-0000D2000000}"/>
    <cellStyle name="_적격(화산) _월곳집행(본사)" xfId="333" xr:uid="{00000000-0005-0000-0000-0000D3000000}"/>
    <cellStyle name="_적격(화산) _월곳집행(본사)_4season_kl_2_현장간접비_USD_간접비 for 00주관견적 초안(071018)" xfId="334" xr:uid="{00000000-0005-0000-0000-0000D4000000}"/>
    <cellStyle name="_적격(화산) _월곳집행(본사)_4season_kl_2_현장간접비_USD_간접비 for 00주관견적 초안(071018)_간접비검토" xfId="335" xr:uid="{00000000-0005-0000-0000-0000D5000000}"/>
    <cellStyle name="_적격(화산) _월곳집행(본사)_간접비검토" xfId="336" xr:uid="{00000000-0005-0000-0000-0000D6000000}"/>
    <cellStyle name="_적격(화산) _월곳집행(본사)_간접비검토_간접비검토" xfId="337" xr:uid="{00000000-0005-0000-0000-0000D7000000}"/>
    <cellStyle name="_적격(화산) _월곳집행(본사)_공내역서(소방)" xfId="338" xr:uid="{00000000-0005-0000-0000-0000D8000000}"/>
    <cellStyle name="_적격(화산) _월곳집행(본사)_공내역서(소방)_4season_kl_2_현장간접비_USD_간접비 for 00주관견적 초안(071018)" xfId="339" xr:uid="{00000000-0005-0000-0000-0000D9000000}"/>
    <cellStyle name="_적격(화산) _월곳집행(본사)_공내역서(소방)_4season_kl_2_현장간접비_USD_간접비 for 00주관견적 초안(071018)_간접비검토" xfId="340" xr:uid="{00000000-0005-0000-0000-0000DA000000}"/>
    <cellStyle name="_적격(화산) _월곳집행(본사)_공내역서(소방)_간접비검토" xfId="341" xr:uid="{00000000-0005-0000-0000-0000DB000000}"/>
    <cellStyle name="_적격(화산) _월곳집행(본사)_공내역서(소방)_간접비검토_간접비검토" xfId="342" xr:uid="{00000000-0005-0000-0000-0000DC000000}"/>
    <cellStyle name="_적격(화산) _월곳집행(본사)_공내역서(소방final)" xfId="343" xr:uid="{00000000-0005-0000-0000-0000DD000000}"/>
    <cellStyle name="_적격(화산) _월곳집행(본사)_공내역서(소방final)_4season_kl_2_현장간접비_USD_간접비 for 00주관견적 초안(071018)" xfId="344" xr:uid="{00000000-0005-0000-0000-0000DE000000}"/>
    <cellStyle name="_적격(화산) _월곳집행(본사)_공내역서(소방final)_4season_kl_2_현장간접비_USD_간접비 for 00주관견적 초안(071018)_간접비검토" xfId="345" xr:uid="{00000000-0005-0000-0000-0000DF000000}"/>
    <cellStyle name="_적격(화산) _월곳집행(본사)_공내역서(소방final)_간접비검토" xfId="346" xr:uid="{00000000-0005-0000-0000-0000E0000000}"/>
    <cellStyle name="_적격(화산) _월곳집행(본사)_공내역서(소방final)_간접비검토_간접비검토" xfId="347" xr:uid="{00000000-0005-0000-0000-0000E1000000}"/>
    <cellStyle name="_전략경영보고-200710" xfId="348" xr:uid="{00000000-0005-0000-0000-0000E2000000}"/>
    <cellStyle name="_전체공사비 for Zwitina" xfId="349" xr:uid="{00000000-0005-0000-0000-0000E3000000}"/>
    <cellStyle name="_전체공사비 금액비교" xfId="350" xr:uid="{00000000-0005-0000-0000-0000E4000000}"/>
    <cellStyle name="_전체공사비 금액비교 Rev 10" xfId="351" xr:uid="{00000000-0005-0000-0000-0000E5000000}"/>
    <cellStyle name="_전체공사비 금액비교 Rev 7" xfId="352" xr:uid="{00000000-0005-0000-0000-0000E6000000}"/>
    <cellStyle name="_지정과제2차심의list" xfId="353" xr:uid="{00000000-0005-0000-0000-0000E7000000}"/>
    <cellStyle name="_지정과제2차심의list_1" xfId="354" xr:uid="{00000000-0005-0000-0000-0000E8000000}"/>
    <cellStyle name="_지정과제2차심의list_2" xfId="355" xr:uid="{00000000-0005-0000-0000-0000E9000000}"/>
    <cellStyle name="_지정과제2차심의결과" xfId="356" xr:uid="{00000000-0005-0000-0000-0000EA000000}"/>
    <cellStyle name="_지정과제2차심의결과(금액조정후최종)" xfId="357" xr:uid="{00000000-0005-0000-0000-0000EB000000}"/>
    <cellStyle name="_지정과제2차심의결과(금액조정후최종)_1" xfId="358" xr:uid="{00000000-0005-0000-0000-0000EC000000}"/>
    <cellStyle name="_지정과제2차심의결과_1" xfId="359" xr:uid="{00000000-0005-0000-0000-0000ED000000}"/>
    <cellStyle name="_집중관리(981231)" xfId="360" xr:uid="{00000000-0005-0000-0000-0000EE000000}"/>
    <cellStyle name="_집중관리(981231)_1" xfId="361" xr:uid="{00000000-0005-0000-0000-0000EF000000}"/>
    <cellStyle name="_집중관리(지정과제및 양식)" xfId="362" xr:uid="{00000000-0005-0000-0000-0000F0000000}"/>
    <cellStyle name="_집중관리(지정과제및 양식)_1" xfId="363" xr:uid="{00000000-0005-0000-0000-0000F1000000}"/>
    <cellStyle name="~1" xfId="364" xr:uid="{00000000-0005-0000-0000-0000F2000000}"/>
    <cellStyle name="¤@?e_TEST-1 " xfId="365" xr:uid="{00000000-0005-0000-0000-0000F3000000}"/>
    <cellStyle name="=today()" xfId="366" xr:uid="{00000000-0005-0000-0000-0000F4000000}"/>
    <cellStyle name="W_STDFOR" xfId="367" xr:uid="{00000000-0005-0000-0000-0000F5000000}"/>
    <cellStyle name="0,0_x000d__x000a_NA_x000d__x000a_" xfId="368" xr:uid="{00000000-0005-0000-0000-0000F6000000}"/>
    <cellStyle name="0.0" xfId="369" xr:uid="{00000000-0005-0000-0000-0000F7000000}"/>
    <cellStyle name="0.0 2" xfId="2424" xr:uid="{00000000-0005-0000-0000-0000F8000000}"/>
    <cellStyle name="0.00" xfId="370" xr:uid="{00000000-0005-0000-0000-0000F9000000}"/>
    <cellStyle name="0.00 2" xfId="2425" xr:uid="{00000000-0005-0000-0000-0000FA000000}"/>
    <cellStyle name="0000.0" xfId="371" xr:uid="{00000000-0005-0000-0000-0000FB000000}"/>
    <cellStyle name="1" xfId="372" xr:uid="{00000000-0005-0000-0000-0000FC000000}"/>
    <cellStyle name="19990216" xfId="373" xr:uid="{00000000-0005-0000-0000-0000FD000000}"/>
    <cellStyle name="¹éºðà²" xfId="374" xr:uid="{00000000-0005-0000-0000-0000FE000000}"/>
    <cellStyle name="1st" xfId="375" xr:uid="{00000000-0005-0000-0000-0000FF000000}"/>
    <cellStyle name="2" xfId="376" xr:uid="{00000000-0005-0000-0000-000000010000}"/>
    <cellStyle name="20% - Accent1" xfId="1" builtinId="30" customBuiltin="1"/>
    <cellStyle name="20% - Accent1 2" xfId="377" xr:uid="{00000000-0005-0000-0000-000002010000}"/>
    <cellStyle name="20% - Accent1 2 2" xfId="378" xr:uid="{00000000-0005-0000-0000-000003010000}"/>
    <cellStyle name="20% - Accent1 2 2 2" xfId="2536" xr:uid="{00000000-0005-0000-0000-000004010000}"/>
    <cellStyle name="20% - Accent1 2 3" xfId="2535" xr:uid="{00000000-0005-0000-0000-000005010000}"/>
    <cellStyle name="20% - Accent1 3" xfId="379" xr:uid="{00000000-0005-0000-0000-000006010000}"/>
    <cellStyle name="20% - Accent1 3 2" xfId="2537" xr:uid="{00000000-0005-0000-0000-000007010000}"/>
    <cellStyle name="20% - Accent1 4" xfId="380" xr:uid="{00000000-0005-0000-0000-000008010000}"/>
    <cellStyle name="20% - Accent1 4 2" xfId="2538" xr:uid="{00000000-0005-0000-0000-000009010000}"/>
    <cellStyle name="20% - Accent1 5" xfId="46" xr:uid="{00000000-0005-0000-0000-00000A010000}"/>
    <cellStyle name="20% - Accent1 5 2" xfId="2708" xr:uid="{00000000-0005-0000-0000-00000B010000}"/>
    <cellStyle name="20% - Accent1 6" xfId="2476" xr:uid="{00000000-0005-0000-0000-00000C010000}"/>
    <cellStyle name="20% - Accent2" xfId="2" builtinId="34" customBuiltin="1"/>
    <cellStyle name="20% - Accent2 2" xfId="381" xr:uid="{00000000-0005-0000-0000-00000E010000}"/>
    <cellStyle name="20% - Accent2 2 2" xfId="382" xr:uid="{00000000-0005-0000-0000-00000F010000}"/>
    <cellStyle name="20% - Accent2 2 2 2" xfId="2540" xr:uid="{00000000-0005-0000-0000-000010010000}"/>
    <cellStyle name="20% - Accent2 2 3" xfId="2539" xr:uid="{00000000-0005-0000-0000-000011010000}"/>
    <cellStyle name="20% - Accent2 3" xfId="383" xr:uid="{00000000-0005-0000-0000-000012010000}"/>
    <cellStyle name="20% - Accent2 3 2" xfId="2541" xr:uid="{00000000-0005-0000-0000-000013010000}"/>
    <cellStyle name="20% - Accent2 4" xfId="384" xr:uid="{00000000-0005-0000-0000-000014010000}"/>
    <cellStyle name="20% - Accent2 4 2" xfId="2542" xr:uid="{00000000-0005-0000-0000-000015010000}"/>
    <cellStyle name="20% - Accent2 5" xfId="47" xr:uid="{00000000-0005-0000-0000-000016010000}"/>
    <cellStyle name="20% - Accent2 5 2" xfId="2709" xr:uid="{00000000-0005-0000-0000-000017010000}"/>
    <cellStyle name="20% - Accent2 6" xfId="2477" xr:uid="{00000000-0005-0000-0000-000018010000}"/>
    <cellStyle name="20% - Accent3" xfId="3" builtinId="38" customBuiltin="1"/>
    <cellStyle name="20% - Accent3 2" xfId="385" xr:uid="{00000000-0005-0000-0000-00001A010000}"/>
    <cellStyle name="20% - Accent3 2 2" xfId="386" xr:uid="{00000000-0005-0000-0000-00001B010000}"/>
    <cellStyle name="20% - Accent3 2 2 2" xfId="2544" xr:uid="{00000000-0005-0000-0000-00001C010000}"/>
    <cellStyle name="20% - Accent3 2 3" xfId="2543" xr:uid="{00000000-0005-0000-0000-00001D010000}"/>
    <cellStyle name="20% - Accent3 3" xfId="387" xr:uid="{00000000-0005-0000-0000-00001E010000}"/>
    <cellStyle name="20% - Accent3 3 2" xfId="2545" xr:uid="{00000000-0005-0000-0000-00001F010000}"/>
    <cellStyle name="20% - Accent3 4" xfId="388" xr:uid="{00000000-0005-0000-0000-000020010000}"/>
    <cellStyle name="20% - Accent3 4 2" xfId="2546" xr:uid="{00000000-0005-0000-0000-000021010000}"/>
    <cellStyle name="20% - Accent3 5" xfId="48" xr:uid="{00000000-0005-0000-0000-000022010000}"/>
    <cellStyle name="20% - Accent3 5 2" xfId="2710" xr:uid="{00000000-0005-0000-0000-000023010000}"/>
    <cellStyle name="20% - Accent3 6" xfId="2478" xr:uid="{00000000-0005-0000-0000-000024010000}"/>
    <cellStyle name="20% - Accent4" xfId="4" builtinId="42" customBuiltin="1"/>
    <cellStyle name="20% - Accent4 2" xfId="389" xr:uid="{00000000-0005-0000-0000-000026010000}"/>
    <cellStyle name="20% - Accent4 2 2" xfId="390" xr:uid="{00000000-0005-0000-0000-000027010000}"/>
    <cellStyle name="20% - Accent4 2 2 2" xfId="2548" xr:uid="{00000000-0005-0000-0000-000028010000}"/>
    <cellStyle name="20% - Accent4 2 3" xfId="2547" xr:uid="{00000000-0005-0000-0000-000029010000}"/>
    <cellStyle name="20% - Accent4 3" xfId="391" xr:uid="{00000000-0005-0000-0000-00002A010000}"/>
    <cellStyle name="20% - Accent4 3 2" xfId="2549" xr:uid="{00000000-0005-0000-0000-00002B010000}"/>
    <cellStyle name="20% - Accent4 4" xfId="392" xr:uid="{00000000-0005-0000-0000-00002C010000}"/>
    <cellStyle name="20% - Accent4 4 2" xfId="2550" xr:uid="{00000000-0005-0000-0000-00002D010000}"/>
    <cellStyle name="20% - Accent4 5" xfId="49" xr:uid="{00000000-0005-0000-0000-00002E010000}"/>
    <cellStyle name="20% - Accent4 5 2" xfId="2711" xr:uid="{00000000-0005-0000-0000-00002F010000}"/>
    <cellStyle name="20% - Accent4 6" xfId="2479" xr:uid="{00000000-0005-0000-0000-000030010000}"/>
    <cellStyle name="20% - Accent5" xfId="5" builtinId="46" customBuiltin="1"/>
    <cellStyle name="20% - Accent5 2" xfId="393" xr:uid="{00000000-0005-0000-0000-000032010000}"/>
    <cellStyle name="20% - Accent5 2 2" xfId="394" xr:uid="{00000000-0005-0000-0000-000033010000}"/>
    <cellStyle name="20% - Accent5 2 2 2" xfId="2552" xr:uid="{00000000-0005-0000-0000-000034010000}"/>
    <cellStyle name="20% - Accent5 2 3" xfId="2551" xr:uid="{00000000-0005-0000-0000-000035010000}"/>
    <cellStyle name="20% - Accent5 3" xfId="395" xr:uid="{00000000-0005-0000-0000-000036010000}"/>
    <cellStyle name="20% - Accent5 3 2" xfId="2553" xr:uid="{00000000-0005-0000-0000-000037010000}"/>
    <cellStyle name="20% - Accent5 4" xfId="396" xr:uid="{00000000-0005-0000-0000-000038010000}"/>
    <cellStyle name="20% - Accent5 4 2" xfId="2554" xr:uid="{00000000-0005-0000-0000-000039010000}"/>
    <cellStyle name="20% - Accent5 5" xfId="50" xr:uid="{00000000-0005-0000-0000-00003A010000}"/>
    <cellStyle name="20% - Accent5 5 2" xfId="2712" xr:uid="{00000000-0005-0000-0000-00003B010000}"/>
    <cellStyle name="20% - Accent5 6" xfId="2480" xr:uid="{00000000-0005-0000-0000-00003C010000}"/>
    <cellStyle name="20% - Accent6" xfId="6" builtinId="50" customBuiltin="1"/>
    <cellStyle name="20% - Accent6 2" xfId="397" xr:uid="{00000000-0005-0000-0000-00003E010000}"/>
    <cellStyle name="20% - Accent6 2 2" xfId="398" xr:uid="{00000000-0005-0000-0000-00003F010000}"/>
    <cellStyle name="20% - Accent6 2 2 2" xfId="2556" xr:uid="{00000000-0005-0000-0000-000040010000}"/>
    <cellStyle name="20% - Accent6 2 3" xfId="2555" xr:uid="{00000000-0005-0000-0000-000041010000}"/>
    <cellStyle name="20% - Accent6 3" xfId="399" xr:uid="{00000000-0005-0000-0000-000042010000}"/>
    <cellStyle name="20% - Accent6 3 2" xfId="2557" xr:uid="{00000000-0005-0000-0000-000043010000}"/>
    <cellStyle name="20% - Accent6 4" xfId="400" xr:uid="{00000000-0005-0000-0000-000044010000}"/>
    <cellStyle name="20% - Accent6 4 2" xfId="2558" xr:uid="{00000000-0005-0000-0000-000045010000}"/>
    <cellStyle name="20% - Accent6 5" xfId="51" xr:uid="{00000000-0005-0000-0000-000046010000}"/>
    <cellStyle name="20% - Accent6 5 2" xfId="2713" xr:uid="{00000000-0005-0000-0000-000047010000}"/>
    <cellStyle name="20% - Accent6 6" xfId="2481" xr:uid="{00000000-0005-0000-0000-000048010000}"/>
    <cellStyle name="2nd" xfId="401" xr:uid="{00000000-0005-0000-0000-000049010000}"/>
    <cellStyle name="3" xfId="402" xr:uid="{00000000-0005-0000-0000-00004A010000}"/>
    <cellStyle name="³£¹æ 23" xfId="403" xr:uid="{00000000-0005-0000-0000-00004B010000}"/>
    <cellStyle name="4" xfId="404" xr:uid="{00000000-0005-0000-0000-00004C010000}"/>
    <cellStyle name="40% - Accent1" xfId="7" builtinId="31" customBuiltin="1"/>
    <cellStyle name="40% - Accent1 2" xfId="405" xr:uid="{00000000-0005-0000-0000-00004E010000}"/>
    <cellStyle name="40% - Accent1 2 2" xfId="406" xr:uid="{00000000-0005-0000-0000-00004F010000}"/>
    <cellStyle name="40% - Accent1 2 2 2" xfId="2560" xr:uid="{00000000-0005-0000-0000-000050010000}"/>
    <cellStyle name="40% - Accent1 2 3" xfId="2559" xr:uid="{00000000-0005-0000-0000-000051010000}"/>
    <cellStyle name="40% - Accent1 3" xfId="407" xr:uid="{00000000-0005-0000-0000-000052010000}"/>
    <cellStyle name="40% - Accent1 3 2" xfId="2561" xr:uid="{00000000-0005-0000-0000-000053010000}"/>
    <cellStyle name="40% - Accent1 4" xfId="408" xr:uid="{00000000-0005-0000-0000-000054010000}"/>
    <cellStyle name="40% - Accent1 4 2" xfId="2562" xr:uid="{00000000-0005-0000-0000-000055010000}"/>
    <cellStyle name="40% - Accent1 5" xfId="52" xr:uid="{00000000-0005-0000-0000-000056010000}"/>
    <cellStyle name="40% - Accent1 5 2" xfId="2714" xr:uid="{00000000-0005-0000-0000-000057010000}"/>
    <cellStyle name="40% - Accent1 6" xfId="2482" xr:uid="{00000000-0005-0000-0000-000058010000}"/>
    <cellStyle name="40% - Accent2" xfId="8" builtinId="35" customBuiltin="1"/>
    <cellStyle name="40% - Accent2 2" xfId="409" xr:uid="{00000000-0005-0000-0000-00005A010000}"/>
    <cellStyle name="40% - Accent2 2 2" xfId="410" xr:uid="{00000000-0005-0000-0000-00005B010000}"/>
    <cellStyle name="40% - Accent2 2 2 2" xfId="2564" xr:uid="{00000000-0005-0000-0000-00005C010000}"/>
    <cellStyle name="40% - Accent2 2 3" xfId="2563" xr:uid="{00000000-0005-0000-0000-00005D010000}"/>
    <cellStyle name="40% - Accent2 3" xfId="411" xr:uid="{00000000-0005-0000-0000-00005E010000}"/>
    <cellStyle name="40% - Accent2 3 2" xfId="2565" xr:uid="{00000000-0005-0000-0000-00005F010000}"/>
    <cellStyle name="40% - Accent2 4" xfId="412" xr:uid="{00000000-0005-0000-0000-000060010000}"/>
    <cellStyle name="40% - Accent2 4 2" xfId="2566" xr:uid="{00000000-0005-0000-0000-000061010000}"/>
    <cellStyle name="40% - Accent2 5" xfId="53" xr:uid="{00000000-0005-0000-0000-000062010000}"/>
    <cellStyle name="40% - Accent2 5 2" xfId="2715" xr:uid="{00000000-0005-0000-0000-000063010000}"/>
    <cellStyle name="40% - Accent2 6" xfId="2483" xr:uid="{00000000-0005-0000-0000-000064010000}"/>
    <cellStyle name="40% - Accent3" xfId="9" builtinId="39" customBuiltin="1"/>
    <cellStyle name="40% - Accent3 2" xfId="413" xr:uid="{00000000-0005-0000-0000-000066010000}"/>
    <cellStyle name="40% - Accent3 2 2" xfId="414" xr:uid="{00000000-0005-0000-0000-000067010000}"/>
    <cellStyle name="40% - Accent3 2 2 2" xfId="2568" xr:uid="{00000000-0005-0000-0000-000068010000}"/>
    <cellStyle name="40% - Accent3 2 3" xfId="2567" xr:uid="{00000000-0005-0000-0000-000069010000}"/>
    <cellStyle name="40% - Accent3 3" xfId="415" xr:uid="{00000000-0005-0000-0000-00006A010000}"/>
    <cellStyle name="40% - Accent3 3 2" xfId="2569" xr:uid="{00000000-0005-0000-0000-00006B010000}"/>
    <cellStyle name="40% - Accent3 4" xfId="416" xr:uid="{00000000-0005-0000-0000-00006C010000}"/>
    <cellStyle name="40% - Accent3 4 2" xfId="2570" xr:uid="{00000000-0005-0000-0000-00006D010000}"/>
    <cellStyle name="40% - Accent3 5" xfId="54" xr:uid="{00000000-0005-0000-0000-00006E010000}"/>
    <cellStyle name="40% - Accent3 5 2" xfId="2716" xr:uid="{00000000-0005-0000-0000-00006F010000}"/>
    <cellStyle name="40% - Accent3 6" xfId="2484" xr:uid="{00000000-0005-0000-0000-000070010000}"/>
    <cellStyle name="40% - Accent4" xfId="10" builtinId="43" customBuiltin="1"/>
    <cellStyle name="40% - Accent4 2" xfId="417" xr:uid="{00000000-0005-0000-0000-000072010000}"/>
    <cellStyle name="40% - Accent4 2 2" xfId="418" xr:uid="{00000000-0005-0000-0000-000073010000}"/>
    <cellStyle name="40% - Accent4 2 2 2" xfId="2572" xr:uid="{00000000-0005-0000-0000-000074010000}"/>
    <cellStyle name="40% - Accent4 2 3" xfId="2571" xr:uid="{00000000-0005-0000-0000-000075010000}"/>
    <cellStyle name="40% - Accent4 3" xfId="419" xr:uid="{00000000-0005-0000-0000-000076010000}"/>
    <cellStyle name="40% - Accent4 3 2" xfId="2573" xr:uid="{00000000-0005-0000-0000-000077010000}"/>
    <cellStyle name="40% - Accent4 4" xfId="420" xr:uid="{00000000-0005-0000-0000-000078010000}"/>
    <cellStyle name="40% - Accent4 4 2" xfId="2574" xr:uid="{00000000-0005-0000-0000-000079010000}"/>
    <cellStyle name="40% - Accent4 5" xfId="55" xr:uid="{00000000-0005-0000-0000-00007A010000}"/>
    <cellStyle name="40% - Accent4 5 2" xfId="2717" xr:uid="{00000000-0005-0000-0000-00007B010000}"/>
    <cellStyle name="40% - Accent4 6" xfId="2485" xr:uid="{00000000-0005-0000-0000-00007C010000}"/>
    <cellStyle name="40% - Accent5" xfId="11" builtinId="47" customBuiltin="1"/>
    <cellStyle name="40% - Accent5 2" xfId="421" xr:uid="{00000000-0005-0000-0000-00007E010000}"/>
    <cellStyle name="40% - Accent5 2 2" xfId="422" xr:uid="{00000000-0005-0000-0000-00007F010000}"/>
    <cellStyle name="40% - Accent5 2 2 2" xfId="2576" xr:uid="{00000000-0005-0000-0000-000080010000}"/>
    <cellStyle name="40% - Accent5 2 3" xfId="2575" xr:uid="{00000000-0005-0000-0000-000081010000}"/>
    <cellStyle name="40% - Accent5 3" xfId="423" xr:uid="{00000000-0005-0000-0000-000082010000}"/>
    <cellStyle name="40% - Accent5 3 2" xfId="2577" xr:uid="{00000000-0005-0000-0000-000083010000}"/>
    <cellStyle name="40% - Accent5 4" xfId="424" xr:uid="{00000000-0005-0000-0000-000084010000}"/>
    <cellStyle name="40% - Accent5 4 2" xfId="2578" xr:uid="{00000000-0005-0000-0000-000085010000}"/>
    <cellStyle name="40% - Accent5 5" xfId="56" xr:uid="{00000000-0005-0000-0000-000086010000}"/>
    <cellStyle name="40% - Accent5 5 2" xfId="2718" xr:uid="{00000000-0005-0000-0000-000087010000}"/>
    <cellStyle name="40% - Accent5 6" xfId="2486" xr:uid="{00000000-0005-0000-0000-000088010000}"/>
    <cellStyle name="40% - Accent6" xfId="12" builtinId="51" customBuiltin="1"/>
    <cellStyle name="40% - Accent6 2" xfId="425" xr:uid="{00000000-0005-0000-0000-00008A010000}"/>
    <cellStyle name="40% - Accent6 2 2" xfId="426" xr:uid="{00000000-0005-0000-0000-00008B010000}"/>
    <cellStyle name="40% - Accent6 2 2 2" xfId="2580" xr:uid="{00000000-0005-0000-0000-00008C010000}"/>
    <cellStyle name="40% - Accent6 2 3" xfId="2579" xr:uid="{00000000-0005-0000-0000-00008D010000}"/>
    <cellStyle name="40% - Accent6 3" xfId="427" xr:uid="{00000000-0005-0000-0000-00008E010000}"/>
    <cellStyle name="40% - Accent6 3 2" xfId="2581" xr:uid="{00000000-0005-0000-0000-00008F010000}"/>
    <cellStyle name="40% - Accent6 4" xfId="428" xr:uid="{00000000-0005-0000-0000-000090010000}"/>
    <cellStyle name="40% - Accent6 4 2" xfId="2582" xr:uid="{00000000-0005-0000-0000-000091010000}"/>
    <cellStyle name="40% - Accent6 5" xfId="57" xr:uid="{00000000-0005-0000-0000-000092010000}"/>
    <cellStyle name="40% - Accent6 5 2" xfId="2719" xr:uid="{00000000-0005-0000-0000-000093010000}"/>
    <cellStyle name="40% - Accent6 6" xfId="2487" xr:uid="{00000000-0005-0000-0000-000094010000}"/>
    <cellStyle name="52" xfId="429" xr:uid="{00000000-0005-0000-0000-000095010000}"/>
    <cellStyle name="60% - Accent1" xfId="13" builtinId="32" customBuiltin="1"/>
    <cellStyle name="60% - Accent1 2" xfId="430" xr:uid="{00000000-0005-0000-0000-000097010000}"/>
    <cellStyle name="60% - Accent1 2 2" xfId="431" xr:uid="{00000000-0005-0000-0000-000098010000}"/>
    <cellStyle name="60% - Accent1 2 2 2" xfId="2584" xr:uid="{00000000-0005-0000-0000-000099010000}"/>
    <cellStyle name="60% - Accent1 2 3" xfId="2583" xr:uid="{00000000-0005-0000-0000-00009A010000}"/>
    <cellStyle name="60% - Accent1 3" xfId="432" xr:uid="{00000000-0005-0000-0000-00009B010000}"/>
    <cellStyle name="60% - Accent1 3 2" xfId="2585" xr:uid="{00000000-0005-0000-0000-00009C010000}"/>
    <cellStyle name="60% - Accent1 4" xfId="433" xr:uid="{00000000-0005-0000-0000-00009D010000}"/>
    <cellStyle name="60% - Accent1 4 2" xfId="2586" xr:uid="{00000000-0005-0000-0000-00009E010000}"/>
    <cellStyle name="60% - Accent1 5" xfId="58" xr:uid="{00000000-0005-0000-0000-00009F010000}"/>
    <cellStyle name="60% - Accent1 5 2" xfId="2720" xr:uid="{00000000-0005-0000-0000-0000A0010000}"/>
    <cellStyle name="60% - Accent1 6" xfId="2488" xr:uid="{00000000-0005-0000-0000-0000A1010000}"/>
    <cellStyle name="60% - Accent2" xfId="14" builtinId="36" customBuiltin="1"/>
    <cellStyle name="60% - Accent2 2" xfId="434" xr:uid="{00000000-0005-0000-0000-0000A3010000}"/>
    <cellStyle name="60% - Accent2 2 2" xfId="435" xr:uid="{00000000-0005-0000-0000-0000A4010000}"/>
    <cellStyle name="60% - Accent2 2 2 2" xfId="2588" xr:uid="{00000000-0005-0000-0000-0000A5010000}"/>
    <cellStyle name="60% - Accent2 2 3" xfId="2587" xr:uid="{00000000-0005-0000-0000-0000A6010000}"/>
    <cellStyle name="60% - Accent2 3" xfId="436" xr:uid="{00000000-0005-0000-0000-0000A7010000}"/>
    <cellStyle name="60% - Accent2 3 2" xfId="2589" xr:uid="{00000000-0005-0000-0000-0000A8010000}"/>
    <cellStyle name="60% - Accent2 4" xfId="437" xr:uid="{00000000-0005-0000-0000-0000A9010000}"/>
    <cellStyle name="60% - Accent2 4 2" xfId="2590" xr:uid="{00000000-0005-0000-0000-0000AA010000}"/>
    <cellStyle name="60% - Accent2 5" xfId="59" xr:uid="{00000000-0005-0000-0000-0000AB010000}"/>
    <cellStyle name="60% - Accent2 5 2" xfId="2721" xr:uid="{00000000-0005-0000-0000-0000AC010000}"/>
    <cellStyle name="60% - Accent2 6" xfId="2489" xr:uid="{00000000-0005-0000-0000-0000AD010000}"/>
    <cellStyle name="60% - Accent3" xfId="15" builtinId="40" customBuiltin="1"/>
    <cellStyle name="60% - Accent3 2" xfId="438" xr:uid="{00000000-0005-0000-0000-0000AF010000}"/>
    <cellStyle name="60% - Accent3 2 2" xfId="439" xr:uid="{00000000-0005-0000-0000-0000B0010000}"/>
    <cellStyle name="60% - Accent3 2 2 2" xfId="2592" xr:uid="{00000000-0005-0000-0000-0000B1010000}"/>
    <cellStyle name="60% - Accent3 2 3" xfId="2591" xr:uid="{00000000-0005-0000-0000-0000B2010000}"/>
    <cellStyle name="60% - Accent3 3" xfId="440" xr:uid="{00000000-0005-0000-0000-0000B3010000}"/>
    <cellStyle name="60% - Accent3 3 2" xfId="2593" xr:uid="{00000000-0005-0000-0000-0000B4010000}"/>
    <cellStyle name="60% - Accent3 4" xfId="441" xr:uid="{00000000-0005-0000-0000-0000B5010000}"/>
    <cellStyle name="60% - Accent3 4 2" xfId="2594" xr:uid="{00000000-0005-0000-0000-0000B6010000}"/>
    <cellStyle name="60% - Accent3 5" xfId="60" xr:uid="{00000000-0005-0000-0000-0000B7010000}"/>
    <cellStyle name="60% - Accent3 5 2" xfId="2722" xr:uid="{00000000-0005-0000-0000-0000B8010000}"/>
    <cellStyle name="60% - Accent3 6" xfId="2490" xr:uid="{00000000-0005-0000-0000-0000B9010000}"/>
    <cellStyle name="60% - Accent4" xfId="16" builtinId="44" customBuiltin="1"/>
    <cellStyle name="60% - Accent4 2" xfId="442" xr:uid="{00000000-0005-0000-0000-0000BB010000}"/>
    <cellStyle name="60% - Accent4 2 2" xfId="443" xr:uid="{00000000-0005-0000-0000-0000BC010000}"/>
    <cellStyle name="60% - Accent4 2 2 2" xfId="2596" xr:uid="{00000000-0005-0000-0000-0000BD010000}"/>
    <cellStyle name="60% - Accent4 2 3" xfId="2595" xr:uid="{00000000-0005-0000-0000-0000BE010000}"/>
    <cellStyle name="60% - Accent4 3" xfId="444" xr:uid="{00000000-0005-0000-0000-0000BF010000}"/>
    <cellStyle name="60% - Accent4 3 2" xfId="2597" xr:uid="{00000000-0005-0000-0000-0000C0010000}"/>
    <cellStyle name="60% - Accent4 4" xfId="445" xr:uid="{00000000-0005-0000-0000-0000C1010000}"/>
    <cellStyle name="60% - Accent4 4 2" xfId="2598" xr:uid="{00000000-0005-0000-0000-0000C2010000}"/>
    <cellStyle name="60% - Accent4 5" xfId="61" xr:uid="{00000000-0005-0000-0000-0000C3010000}"/>
    <cellStyle name="60% - Accent4 5 2" xfId="2723" xr:uid="{00000000-0005-0000-0000-0000C4010000}"/>
    <cellStyle name="60% - Accent4 6" xfId="2491" xr:uid="{00000000-0005-0000-0000-0000C5010000}"/>
    <cellStyle name="60% - Accent5" xfId="17" builtinId="48" customBuiltin="1"/>
    <cellStyle name="60% - Accent5 2" xfId="446" xr:uid="{00000000-0005-0000-0000-0000C7010000}"/>
    <cellStyle name="60% - Accent5 2 2" xfId="447" xr:uid="{00000000-0005-0000-0000-0000C8010000}"/>
    <cellStyle name="60% - Accent5 2 2 2" xfId="2600" xr:uid="{00000000-0005-0000-0000-0000C9010000}"/>
    <cellStyle name="60% - Accent5 2 3" xfId="2599" xr:uid="{00000000-0005-0000-0000-0000CA010000}"/>
    <cellStyle name="60% - Accent5 3" xfId="448" xr:uid="{00000000-0005-0000-0000-0000CB010000}"/>
    <cellStyle name="60% - Accent5 3 2" xfId="2601" xr:uid="{00000000-0005-0000-0000-0000CC010000}"/>
    <cellStyle name="60% - Accent5 4" xfId="449" xr:uid="{00000000-0005-0000-0000-0000CD010000}"/>
    <cellStyle name="60% - Accent5 4 2" xfId="2602" xr:uid="{00000000-0005-0000-0000-0000CE010000}"/>
    <cellStyle name="60% - Accent5 5" xfId="62" xr:uid="{00000000-0005-0000-0000-0000CF010000}"/>
    <cellStyle name="60% - Accent5 5 2" xfId="2724" xr:uid="{00000000-0005-0000-0000-0000D0010000}"/>
    <cellStyle name="60% - Accent5 6" xfId="2492" xr:uid="{00000000-0005-0000-0000-0000D1010000}"/>
    <cellStyle name="60% - Accent6" xfId="18" builtinId="52" customBuiltin="1"/>
    <cellStyle name="60% - Accent6 2" xfId="450" xr:uid="{00000000-0005-0000-0000-0000D3010000}"/>
    <cellStyle name="60% - Accent6 2 2" xfId="451" xr:uid="{00000000-0005-0000-0000-0000D4010000}"/>
    <cellStyle name="60% - Accent6 2 2 2" xfId="2604" xr:uid="{00000000-0005-0000-0000-0000D5010000}"/>
    <cellStyle name="60% - Accent6 2 3" xfId="2603" xr:uid="{00000000-0005-0000-0000-0000D6010000}"/>
    <cellStyle name="60% - Accent6 3" xfId="452" xr:uid="{00000000-0005-0000-0000-0000D7010000}"/>
    <cellStyle name="60% - Accent6 3 2" xfId="2605" xr:uid="{00000000-0005-0000-0000-0000D8010000}"/>
    <cellStyle name="60% - Accent6 4" xfId="453" xr:uid="{00000000-0005-0000-0000-0000D9010000}"/>
    <cellStyle name="60% - Accent6 4 2" xfId="2606" xr:uid="{00000000-0005-0000-0000-0000DA010000}"/>
    <cellStyle name="60% - Accent6 5" xfId="63" xr:uid="{00000000-0005-0000-0000-0000DB010000}"/>
    <cellStyle name="60% - Accent6 5 2" xfId="2725" xr:uid="{00000000-0005-0000-0000-0000DC010000}"/>
    <cellStyle name="60% - Accent6 6" xfId="2493" xr:uid="{00000000-0005-0000-0000-0000DD010000}"/>
    <cellStyle name="A???[0]_97 ?? " xfId="454" xr:uid="{00000000-0005-0000-0000-0000DE010000}"/>
    <cellStyle name="A???97 ?? " xfId="455" xr:uid="{00000000-0005-0000-0000-0000DF010000}"/>
    <cellStyle name="A???97?a?u? " xfId="456" xr:uid="{00000000-0005-0000-0000-0000E0010000}"/>
    <cellStyle name="A???97Ae?A? " xfId="457" xr:uid="{00000000-0005-0000-0000-0000E1010000}"/>
    <cellStyle name="A???98Ae?A? " xfId="458" xr:uid="{00000000-0005-0000-0000-0000E2010000}"/>
    <cellStyle name="A???AoAUAy캿C? " xfId="459" xr:uid="{00000000-0005-0000-0000-0000E3010000}"/>
    <cellStyle name="A???C?Ao_AoAUAy캿C? " xfId="460" xr:uid="{00000000-0005-0000-0000-0000E4010000}"/>
    <cellStyle name="A???CASH FLOW " xfId="461" xr:uid="{00000000-0005-0000-0000-0000E5010000}"/>
    <cellStyle name="A??[0]_CASH FLOW " xfId="462" xr:uid="{00000000-0005-0000-0000-0000E6010000}"/>
    <cellStyle name="A??CASH FLOW " xfId="463" xr:uid="{00000000-0005-0000-0000-0000E7010000}"/>
    <cellStyle name="A¨­￠￢￠O [0]_INQUIRY ￠?￥i¨u¡AAⓒ￢Aⓒª " xfId="464" xr:uid="{00000000-0005-0000-0000-0000E8010000}"/>
    <cellStyle name="A¨­￠￢￠O_INQUIRY ￠?￥i¨u¡AAⓒ￢Aⓒª " xfId="465" xr:uid="{00000000-0005-0000-0000-0000E9010000}"/>
    <cellStyle name="Accent1" xfId="19" builtinId="29" customBuiltin="1"/>
    <cellStyle name="Accent1 2" xfId="466" xr:uid="{00000000-0005-0000-0000-0000EB010000}"/>
    <cellStyle name="Accent2" xfId="20" builtinId="33" customBuiltin="1"/>
    <cellStyle name="Accent2 2" xfId="467" xr:uid="{00000000-0005-0000-0000-0000ED010000}"/>
    <cellStyle name="Accent3" xfId="21" builtinId="37" customBuiltin="1"/>
    <cellStyle name="Accent3 2" xfId="468" xr:uid="{00000000-0005-0000-0000-0000EF010000}"/>
    <cellStyle name="Accent4" xfId="22" builtinId="41" customBuiltin="1"/>
    <cellStyle name="Accent4 2" xfId="469" xr:uid="{00000000-0005-0000-0000-0000F1010000}"/>
    <cellStyle name="Accent5" xfId="23" builtinId="45" customBuiltin="1"/>
    <cellStyle name="Accent5 2" xfId="470" xr:uid="{00000000-0005-0000-0000-0000F3010000}"/>
    <cellStyle name="Accent6" xfId="24" builtinId="49" customBuiltin="1"/>
    <cellStyle name="Accent6 2" xfId="471" xr:uid="{00000000-0005-0000-0000-0000F5010000}"/>
    <cellStyle name="Åëè­" xfId="472" xr:uid="{00000000-0005-0000-0000-0000F6010000}"/>
    <cellStyle name="Åëè­ [0]" xfId="473" xr:uid="{00000000-0005-0000-0000-0000F7010000}"/>
    <cellStyle name="AeE­ [0]_´eºnC￥" xfId="474" xr:uid="{00000000-0005-0000-0000-0000F8010000}"/>
    <cellStyle name="ÅëÈ­ [0]_´ëºñÇ¥" xfId="475" xr:uid="{00000000-0005-0000-0000-0000F9010000}"/>
    <cellStyle name="AeE­ [0]_´eºnC￥_(그룹)차입금 관련지표 051005" xfId="476" xr:uid="{00000000-0005-0000-0000-0000FA010000}"/>
    <cellStyle name="ÅëÈ­ [0]_´ëºñÇ¥_(그룹)차입금 관련지표 051005" xfId="477" xr:uid="{00000000-0005-0000-0000-0000FB010000}"/>
    <cellStyle name="AeE­ [0]_´eºnC￥_(그룹)차입금 관련지표 051005 10" xfId="478" xr:uid="{00000000-0005-0000-0000-0000FC010000}"/>
    <cellStyle name="ÅëÈ­ [0]_´ëºñÇ¥_(그룹)차입금 관련지표 051005 10" xfId="479" xr:uid="{00000000-0005-0000-0000-0000FD010000}"/>
    <cellStyle name="AeE­ [0]_´eºnC￥_(그룹)차입금 관련지표 051005 11" xfId="480" xr:uid="{00000000-0005-0000-0000-0000FE010000}"/>
    <cellStyle name="ÅëÈ­ [0]_´ëºñÇ¥_(그룹)차입금 관련지표 051005 11" xfId="481" xr:uid="{00000000-0005-0000-0000-0000FF010000}"/>
    <cellStyle name="AeE­ [0]_´eºnC￥_(그룹)차입금 관련지표 051005 2" xfId="482" xr:uid="{00000000-0005-0000-0000-000000020000}"/>
    <cellStyle name="ÅëÈ­ [0]_´ëºñÇ¥_(그룹)차입금 관련지표 051005 2" xfId="483" xr:uid="{00000000-0005-0000-0000-000001020000}"/>
    <cellStyle name="AeE­ [0]_´eºnC￥_(그룹)차입금 관련지표 051005 3" xfId="484" xr:uid="{00000000-0005-0000-0000-000002020000}"/>
    <cellStyle name="ÅëÈ­ [0]_´ëºñÇ¥_(그룹)차입금 관련지표 051005 3" xfId="485" xr:uid="{00000000-0005-0000-0000-000003020000}"/>
    <cellStyle name="AeE­ [0]_´eºnC￥_(그룹)차입금 관련지표 051005 4" xfId="486" xr:uid="{00000000-0005-0000-0000-000004020000}"/>
    <cellStyle name="ÅëÈ­ [0]_´ëºñÇ¥_(그룹)차입금 관련지표 051005 4" xfId="487" xr:uid="{00000000-0005-0000-0000-000005020000}"/>
    <cellStyle name="AeE­ [0]_´eºnC￥_(그룹)차입금 관련지표 051005 5" xfId="488" xr:uid="{00000000-0005-0000-0000-000006020000}"/>
    <cellStyle name="ÅëÈ­ [0]_´ëºñÇ¥_(그룹)차입금 관련지표 051005 5" xfId="489" xr:uid="{00000000-0005-0000-0000-000007020000}"/>
    <cellStyle name="AeE­ [0]_´eºnC￥_(그룹)차입금 관련지표 051005 6" xfId="490" xr:uid="{00000000-0005-0000-0000-000008020000}"/>
    <cellStyle name="ÅëÈ­ [0]_´ëºñÇ¥_(그룹)차입금 관련지표 051005 6" xfId="491" xr:uid="{00000000-0005-0000-0000-000009020000}"/>
    <cellStyle name="AeE­ [0]_´eºnC￥_(그룹)차입금 관련지표 051005 7" xfId="492" xr:uid="{00000000-0005-0000-0000-00000A020000}"/>
    <cellStyle name="ÅëÈ­ [0]_´ëºñÇ¥_(그룹)차입금 관련지표 051005 7" xfId="493" xr:uid="{00000000-0005-0000-0000-00000B020000}"/>
    <cellStyle name="AeE­ [0]_´eºnC￥_(그룹)차입금 관련지표 051005 8" xfId="494" xr:uid="{00000000-0005-0000-0000-00000C020000}"/>
    <cellStyle name="ÅëÈ­ [0]_´ëºñÇ¥_(그룹)차입금 관련지표 051005 8" xfId="495" xr:uid="{00000000-0005-0000-0000-00000D020000}"/>
    <cellStyle name="AeE­ [0]_´eºnC￥_(그룹)차입금 관련지표 051005 9" xfId="496" xr:uid="{00000000-0005-0000-0000-00000E020000}"/>
    <cellStyle name="ÅëÈ­ [0]_´ëºñÇ¥_(그룹)차입금 관련지표 051005 9" xfId="497" xr:uid="{00000000-0005-0000-0000-00000F020000}"/>
    <cellStyle name="AeE­ [0]_´eºnC￥_04. 1.14" xfId="498" xr:uid="{00000000-0005-0000-0000-000010020000}"/>
    <cellStyle name="ÅëÈ­ [0]_´ëºñÇ¥_04. 1.14" xfId="499" xr:uid="{00000000-0005-0000-0000-000011020000}"/>
    <cellStyle name="AeE­ [0]_´eºnC￥_04. 1.14 10" xfId="500" xr:uid="{00000000-0005-0000-0000-000012020000}"/>
    <cellStyle name="ÅëÈ­ [0]_´ëºñÇ¥_04. 1.14 10" xfId="501" xr:uid="{00000000-0005-0000-0000-000013020000}"/>
    <cellStyle name="AeE­ [0]_´eºnC￥_04. 1.14 11" xfId="502" xr:uid="{00000000-0005-0000-0000-000014020000}"/>
    <cellStyle name="ÅëÈ­ [0]_´ëºñÇ¥_04. 1.14 11" xfId="503" xr:uid="{00000000-0005-0000-0000-000015020000}"/>
    <cellStyle name="AeE­ [0]_´eºnC￥_04. 1.14 2" xfId="504" xr:uid="{00000000-0005-0000-0000-000016020000}"/>
    <cellStyle name="ÅëÈ­ [0]_´ëºñÇ¥_04. 1.14 2" xfId="505" xr:uid="{00000000-0005-0000-0000-000017020000}"/>
    <cellStyle name="AeE­ [0]_´eºnC￥_04. 1.14 3" xfId="506" xr:uid="{00000000-0005-0000-0000-000018020000}"/>
    <cellStyle name="ÅëÈ­ [0]_´ëºñÇ¥_04. 1.14 3" xfId="507" xr:uid="{00000000-0005-0000-0000-000019020000}"/>
    <cellStyle name="AeE­ [0]_´eºnC￥_04. 1.14 4" xfId="508" xr:uid="{00000000-0005-0000-0000-00001A020000}"/>
    <cellStyle name="ÅëÈ­ [0]_´ëºñÇ¥_04. 1.14 4" xfId="509" xr:uid="{00000000-0005-0000-0000-00001B020000}"/>
    <cellStyle name="AeE­ [0]_´eºnC￥_04. 1.14 5" xfId="510" xr:uid="{00000000-0005-0000-0000-00001C020000}"/>
    <cellStyle name="ÅëÈ­ [0]_´ëºñÇ¥_04. 1.14 5" xfId="511" xr:uid="{00000000-0005-0000-0000-00001D020000}"/>
    <cellStyle name="AeE­ [0]_´eºnC￥_04. 1.14 6" xfId="512" xr:uid="{00000000-0005-0000-0000-00001E020000}"/>
    <cellStyle name="ÅëÈ­ [0]_´ëºñÇ¥_04. 1.14 6" xfId="513" xr:uid="{00000000-0005-0000-0000-00001F020000}"/>
    <cellStyle name="AeE­ [0]_´eºnC￥_04. 1.14 7" xfId="514" xr:uid="{00000000-0005-0000-0000-000020020000}"/>
    <cellStyle name="ÅëÈ­ [0]_´ëºñÇ¥_04. 1.14 7" xfId="515" xr:uid="{00000000-0005-0000-0000-000021020000}"/>
    <cellStyle name="AeE­ [0]_´eºnC￥_04. 1.14 8" xfId="516" xr:uid="{00000000-0005-0000-0000-000022020000}"/>
    <cellStyle name="ÅëÈ­ [0]_´ëºñÇ¥_04. 1.14 8" xfId="517" xr:uid="{00000000-0005-0000-0000-000023020000}"/>
    <cellStyle name="AeE­ [0]_´eºnC￥_04. 1.14 9" xfId="518" xr:uid="{00000000-0005-0000-0000-000024020000}"/>
    <cellStyle name="ÅëÈ­ [0]_´ëºñÇ¥_04. 1.14 9" xfId="519" xr:uid="{00000000-0005-0000-0000-000025020000}"/>
    <cellStyle name="AeE­ [0]_´eºnC￥_04.12.21" xfId="520" xr:uid="{00000000-0005-0000-0000-000026020000}"/>
    <cellStyle name="ÅëÈ­ [0]_´ëºñÇ¥_04.12.21" xfId="521" xr:uid="{00000000-0005-0000-0000-000027020000}"/>
    <cellStyle name="AeE­ [0]_´eºnC￥_05.1.18재무(회장님수정)" xfId="522" xr:uid="{00000000-0005-0000-0000-000028020000}"/>
    <cellStyle name="ÅëÈ­ [0]_´ëºñÇ¥_05.1.18재무(회장님수정)" xfId="523" xr:uid="{00000000-0005-0000-0000-000029020000}"/>
    <cellStyle name="AeE­ [0]_´eºnC￥_05.1.18재무(회장님수정) 10" xfId="524" xr:uid="{00000000-0005-0000-0000-00002A020000}"/>
    <cellStyle name="ÅëÈ­ [0]_´ëºñÇ¥_05.1.18재무(회장님수정) 10" xfId="525" xr:uid="{00000000-0005-0000-0000-00002B020000}"/>
    <cellStyle name="AeE­ [0]_´eºnC￥_05.1.18재무(회장님수정) 11" xfId="526" xr:uid="{00000000-0005-0000-0000-00002C020000}"/>
    <cellStyle name="ÅëÈ­ [0]_´ëºñÇ¥_05.1.18재무(회장님수정) 11" xfId="527" xr:uid="{00000000-0005-0000-0000-00002D020000}"/>
    <cellStyle name="AeE­ [0]_´eºnC￥_05.1.18재무(회장님수정) 2" xfId="528" xr:uid="{00000000-0005-0000-0000-00002E020000}"/>
    <cellStyle name="ÅëÈ­ [0]_´ëºñÇ¥_05.1.18재무(회장님수정) 2" xfId="529" xr:uid="{00000000-0005-0000-0000-00002F020000}"/>
    <cellStyle name="AeE­ [0]_´eºnC￥_05.1.18재무(회장님수정) 3" xfId="530" xr:uid="{00000000-0005-0000-0000-000030020000}"/>
    <cellStyle name="ÅëÈ­ [0]_´ëºñÇ¥_05.1.18재무(회장님수정) 3" xfId="531" xr:uid="{00000000-0005-0000-0000-000031020000}"/>
    <cellStyle name="AeE­ [0]_´eºnC￥_05.1.18재무(회장님수정) 4" xfId="532" xr:uid="{00000000-0005-0000-0000-000032020000}"/>
    <cellStyle name="ÅëÈ­ [0]_´ëºñÇ¥_05.1.18재무(회장님수정) 4" xfId="533" xr:uid="{00000000-0005-0000-0000-000033020000}"/>
    <cellStyle name="AeE­ [0]_´eºnC￥_05.1.18재무(회장님수정) 5" xfId="534" xr:uid="{00000000-0005-0000-0000-000034020000}"/>
    <cellStyle name="ÅëÈ­ [0]_´ëºñÇ¥_05.1.18재무(회장님수정) 5" xfId="535" xr:uid="{00000000-0005-0000-0000-000035020000}"/>
    <cellStyle name="AeE­ [0]_´eºnC￥_05.1.18재무(회장님수정) 6" xfId="536" xr:uid="{00000000-0005-0000-0000-000036020000}"/>
    <cellStyle name="ÅëÈ­ [0]_´ëºñÇ¥_05.1.18재무(회장님수정) 6" xfId="537" xr:uid="{00000000-0005-0000-0000-000037020000}"/>
    <cellStyle name="AeE­ [0]_´eºnC￥_05.1.18재무(회장님수정) 7" xfId="538" xr:uid="{00000000-0005-0000-0000-000038020000}"/>
    <cellStyle name="ÅëÈ­ [0]_´ëºñÇ¥_05.1.18재무(회장님수정) 7" xfId="539" xr:uid="{00000000-0005-0000-0000-000039020000}"/>
    <cellStyle name="AeE­ [0]_´eºnC￥_05.1.18재무(회장님수정) 8" xfId="540" xr:uid="{00000000-0005-0000-0000-00003A020000}"/>
    <cellStyle name="ÅëÈ­ [0]_´ëºñÇ¥_05.1.18재무(회장님수정) 8" xfId="541" xr:uid="{00000000-0005-0000-0000-00003B020000}"/>
    <cellStyle name="AeE­ [0]_´eºnC￥_05.1.18재무(회장님수정) 9" xfId="542" xr:uid="{00000000-0005-0000-0000-00003C020000}"/>
    <cellStyle name="ÅëÈ­ [0]_´ëºñÇ¥_05.1.18재무(회장님수정) 9" xfId="543" xr:uid="{00000000-0005-0000-0000-00003D020000}"/>
    <cellStyle name="AeE­ [0]_´eºnC￥_3.계량부문" xfId="544" xr:uid="{00000000-0005-0000-0000-00003E020000}"/>
    <cellStyle name="ÅëÈ­ [0]_´ëºñÇ¥_손익분석목표대비" xfId="545" xr:uid="{00000000-0005-0000-0000-00003F020000}"/>
    <cellStyle name="AeE­ [0]_´eºnC￥_재무대책양식05. 3.15" xfId="546" xr:uid="{00000000-0005-0000-0000-000040020000}"/>
    <cellStyle name="ÅëÈ­ [0]_´ëºñÇ¥_재무대책양식05. 3.15" xfId="547" xr:uid="{00000000-0005-0000-0000-000041020000}"/>
    <cellStyle name="AeE­ [0]_´eºnC￥_차입금 관련지표 051005" xfId="548" xr:uid="{00000000-0005-0000-0000-000042020000}"/>
    <cellStyle name="ÅëÈ­ [0]_´ëºñÇ¥_차입금 관련지표 051005" xfId="549" xr:uid="{00000000-0005-0000-0000-000043020000}"/>
    <cellStyle name="AeE­ [0]_´eºnC￥_차입금 관련지표 051005 10" xfId="550" xr:uid="{00000000-0005-0000-0000-000044020000}"/>
    <cellStyle name="ÅëÈ­ [0]_´ëºñÇ¥_차입금 관련지표 051005 10" xfId="551" xr:uid="{00000000-0005-0000-0000-000045020000}"/>
    <cellStyle name="AeE­ [0]_´eºnC￥_차입금 관련지표 051005 11" xfId="552" xr:uid="{00000000-0005-0000-0000-000046020000}"/>
    <cellStyle name="ÅëÈ­ [0]_´ëºñÇ¥_차입금 관련지표 051005 11" xfId="553" xr:uid="{00000000-0005-0000-0000-000047020000}"/>
    <cellStyle name="AeE­ [0]_´eºnC￥_차입금 관련지표 051005 2" xfId="554" xr:uid="{00000000-0005-0000-0000-000048020000}"/>
    <cellStyle name="ÅëÈ­ [0]_´ëºñÇ¥_차입금 관련지표 051005 2" xfId="555" xr:uid="{00000000-0005-0000-0000-000049020000}"/>
    <cellStyle name="AeE­ [0]_´eºnC￥_차입금 관련지표 051005 3" xfId="556" xr:uid="{00000000-0005-0000-0000-00004A020000}"/>
    <cellStyle name="ÅëÈ­ [0]_´ëºñÇ¥_차입금 관련지표 051005 3" xfId="557" xr:uid="{00000000-0005-0000-0000-00004B020000}"/>
    <cellStyle name="AeE­ [0]_´eºnC￥_차입금 관련지표 051005 4" xfId="558" xr:uid="{00000000-0005-0000-0000-00004C020000}"/>
    <cellStyle name="ÅëÈ­ [0]_´ëºñÇ¥_차입금 관련지표 051005 4" xfId="559" xr:uid="{00000000-0005-0000-0000-00004D020000}"/>
    <cellStyle name="AeE­ [0]_´eºnC￥_차입금 관련지표 051005 5" xfId="560" xr:uid="{00000000-0005-0000-0000-00004E020000}"/>
    <cellStyle name="ÅëÈ­ [0]_´ëºñÇ¥_차입금 관련지표 051005 5" xfId="561" xr:uid="{00000000-0005-0000-0000-00004F020000}"/>
    <cellStyle name="AeE­ [0]_´eºnC￥_차입금 관련지표 051005 6" xfId="562" xr:uid="{00000000-0005-0000-0000-000050020000}"/>
    <cellStyle name="ÅëÈ­ [0]_´ëºñÇ¥_차입금 관련지표 051005 6" xfId="563" xr:uid="{00000000-0005-0000-0000-000051020000}"/>
    <cellStyle name="AeE­ [0]_´eºnC￥_차입금 관련지표 051005 7" xfId="564" xr:uid="{00000000-0005-0000-0000-000052020000}"/>
    <cellStyle name="ÅëÈ­ [0]_´ëºñÇ¥_차입금 관련지표 051005 7" xfId="565" xr:uid="{00000000-0005-0000-0000-000053020000}"/>
    <cellStyle name="AeE­ [0]_´eºnC￥_차입금 관련지표 051005 8" xfId="566" xr:uid="{00000000-0005-0000-0000-000054020000}"/>
    <cellStyle name="ÅëÈ­ [0]_´ëºñÇ¥_차입금 관련지표 051005 8" xfId="567" xr:uid="{00000000-0005-0000-0000-000055020000}"/>
    <cellStyle name="AeE­ [0]_´eºnC￥_차입금 관련지표 051005 9" xfId="568" xr:uid="{00000000-0005-0000-0000-000056020000}"/>
    <cellStyle name="ÅëÈ­ [0]_´ëºñÇ¥_차입금 관련지표 051005 9" xfId="569" xr:uid="{00000000-0005-0000-0000-000057020000}"/>
    <cellStyle name="AeE­ [0]_´eºnC￥_차입금및금리지수" xfId="570" xr:uid="{00000000-0005-0000-0000-000058020000}"/>
    <cellStyle name="ÅëÈ­ [0]_´ëºñÇ¥_차입금및금리지수" xfId="571" xr:uid="{00000000-0005-0000-0000-000059020000}"/>
    <cellStyle name="AeE­ [0]_¸AAa" xfId="572" xr:uid="{00000000-0005-0000-0000-00005A020000}"/>
    <cellStyle name="ÅëÈ­ [0]_¿ì¹°Åë" xfId="573" xr:uid="{00000000-0005-0000-0000-00005B020000}"/>
    <cellStyle name="AeE­ [0]_INQUIRY ¿?¾÷AßAø " xfId="574" xr:uid="{00000000-0005-0000-0000-00005C020000}"/>
    <cellStyle name="ÅëÈ­ [0]_laroux" xfId="575" xr:uid="{00000000-0005-0000-0000-00005D020000}"/>
    <cellStyle name="AeE­ [0]_laroux_1" xfId="576" xr:uid="{00000000-0005-0000-0000-00005E020000}"/>
    <cellStyle name="ÅëÈ­ [0]_laroux_1" xfId="577" xr:uid="{00000000-0005-0000-0000-00005F020000}"/>
    <cellStyle name="AeE­ [0]_laroux_1 2" xfId="578" xr:uid="{00000000-0005-0000-0000-000060020000}"/>
    <cellStyle name="AeE?[0]_97 ?? " xfId="579" xr:uid="{00000000-0005-0000-0000-000061020000}"/>
    <cellStyle name="AeE?97 ?? " xfId="580" xr:uid="{00000000-0005-0000-0000-000062020000}"/>
    <cellStyle name="AeE?97?a?u? " xfId="581" xr:uid="{00000000-0005-0000-0000-000063020000}"/>
    <cellStyle name="AeE?97Ae?A? " xfId="582" xr:uid="{00000000-0005-0000-0000-000064020000}"/>
    <cellStyle name="AeE?98Ae?A? " xfId="583" xr:uid="{00000000-0005-0000-0000-000065020000}"/>
    <cellStyle name="AeE?AoAUAy캿C? " xfId="584" xr:uid="{00000000-0005-0000-0000-000066020000}"/>
    <cellStyle name="AeE?C?Ao_AoAUAy캿C? " xfId="585" xr:uid="{00000000-0005-0000-0000-000067020000}"/>
    <cellStyle name="AeE?CASH FLOW " xfId="586" xr:uid="{00000000-0005-0000-0000-000068020000}"/>
    <cellStyle name="AeE­_´eºnC￥" xfId="587" xr:uid="{00000000-0005-0000-0000-000069020000}"/>
    <cellStyle name="ÅëÈ­_´ëºñÇ¥" xfId="588" xr:uid="{00000000-0005-0000-0000-00006A020000}"/>
    <cellStyle name="AeE­_´eºnC￥_(그룹)차입금 관련지표 051005" xfId="589" xr:uid="{00000000-0005-0000-0000-00006B020000}"/>
    <cellStyle name="ÅëÈ­_´ëºñÇ¥_(그룹)차입금 관련지표 051005" xfId="590" xr:uid="{00000000-0005-0000-0000-00006C020000}"/>
    <cellStyle name="AeE­_´eºnC￥_(그룹)차입금 관련지표 051005 10" xfId="591" xr:uid="{00000000-0005-0000-0000-00006D020000}"/>
    <cellStyle name="ÅëÈ­_´ëºñÇ¥_(그룹)차입금 관련지표 051005 10" xfId="592" xr:uid="{00000000-0005-0000-0000-00006E020000}"/>
    <cellStyle name="AeE­_´eºnC￥_(그룹)차입금 관련지표 051005 11" xfId="593" xr:uid="{00000000-0005-0000-0000-00006F020000}"/>
    <cellStyle name="ÅëÈ­_´ëºñÇ¥_(그룹)차입금 관련지표 051005 11" xfId="594" xr:uid="{00000000-0005-0000-0000-000070020000}"/>
    <cellStyle name="AeE­_´eºnC￥_(그룹)차입금 관련지표 051005 2" xfId="595" xr:uid="{00000000-0005-0000-0000-000071020000}"/>
    <cellStyle name="ÅëÈ­_´ëºñÇ¥_(그룹)차입금 관련지표 051005 2" xfId="596" xr:uid="{00000000-0005-0000-0000-000072020000}"/>
    <cellStyle name="AeE­_´eºnC￥_(그룹)차입금 관련지표 051005 3" xfId="597" xr:uid="{00000000-0005-0000-0000-000073020000}"/>
    <cellStyle name="ÅëÈ­_´ëºñÇ¥_(그룹)차입금 관련지표 051005 3" xfId="598" xr:uid="{00000000-0005-0000-0000-000074020000}"/>
    <cellStyle name="AeE­_´eºnC￥_(그룹)차입금 관련지표 051005 4" xfId="599" xr:uid="{00000000-0005-0000-0000-000075020000}"/>
    <cellStyle name="ÅëÈ­_´ëºñÇ¥_(그룹)차입금 관련지표 051005 4" xfId="600" xr:uid="{00000000-0005-0000-0000-000076020000}"/>
    <cellStyle name="AeE­_´eºnC￥_(그룹)차입금 관련지표 051005 5" xfId="601" xr:uid="{00000000-0005-0000-0000-000077020000}"/>
    <cellStyle name="ÅëÈ­_´ëºñÇ¥_(그룹)차입금 관련지표 051005 5" xfId="602" xr:uid="{00000000-0005-0000-0000-000078020000}"/>
    <cellStyle name="AeE­_´eºnC￥_(그룹)차입금 관련지표 051005 6" xfId="603" xr:uid="{00000000-0005-0000-0000-000079020000}"/>
    <cellStyle name="ÅëÈ­_´ëºñÇ¥_(그룹)차입금 관련지표 051005 6" xfId="604" xr:uid="{00000000-0005-0000-0000-00007A020000}"/>
    <cellStyle name="AeE­_´eºnC￥_(그룹)차입금 관련지표 051005 7" xfId="605" xr:uid="{00000000-0005-0000-0000-00007B020000}"/>
    <cellStyle name="ÅëÈ­_´ëºñÇ¥_(그룹)차입금 관련지표 051005 7" xfId="606" xr:uid="{00000000-0005-0000-0000-00007C020000}"/>
    <cellStyle name="AeE­_´eºnC￥_(그룹)차입금 관련지표 051005 8" xfId="607" xr:uid="{00000000-0005-0000-0000-00007D020000}"/>
    <cellStyle name="ÅëÈ­_´ëºñÇ¥_(그룹)차입금 관련지표 051005 8" xfId="608" xr:uid="{00000000-0005-0000-0000-00007E020000}"/>
    <cellStyle name="AeE­_´eºnC￥_(그룹)차입금 관련지표 051005 9" xfId="609" xr:uid="{00000000-0005-0000-0000-00007F020000}"/>
    <cellStyle name="ÅëÈ­_´ëºñÇ¥_(그룹)차입금 관련지표 051005 9" xfId="610" xr:uid="{00000000-0005-0000-0000-000080020000}"/>
    <cellStyle name="AeE­_´eºnC￥_04. 1.14" xfId="611" xr:uid="{00000000-0005-0000-0000-000081020000}"/>
    <cellStyle name="ÅëÈ­_´ëºñÇ¥_04. 1.14" xfId="612" xr:uid="{00000000-0005-0000-0000-000082020000}"/>
    <cellStyle name="AeE­_´eºnC￥_04. 1.14 10" xfId="613" xr:uid="{00000000-0005-0000-0000-000083020000}"/>
    <cellStyle name="ÅëÈ­_´ëºñÇ¥_04. 1.14 10" xfId="614" xr:uid="{00000000-0005-0000-0000-000084020000}"/>
    <cellStyle name="AeE­_´eºnC￥_04. 1.14 11" xfId="615" xr:uid="{00000000-0005-0000-0000-000085020000}"/>
    <cellStyle name="ÅëÈ­_´ëºñÇ¥_04. 1.14 11" xfId="616" xr:uid="{00000000-0005-0000-0000-000086020000}"/>
    <cellStyle name="AeE­_´eºnC￥_04. 1.14 2" xfId="617" xr:uid="{00000000-0005-0000-0000-000087020000}"/>
    <cellStyle name="ÅëÈ­_´ëºñÇ¥_04. 1.14 2" xfId="618" xr:uid="{00000000-0005-0000-0000-000088020000}"/>
    <cellStyle name="AeE­_´eºnC￥_04. 1.14 3" xfId="619" xr:uid="{00000000-0005-0000-0000-000089020000}"/>
    <cellStyle name="ÅëÈ­_´ëºñÇ¥_04. 1.14 3" xfId="620" xr:uid="{00000000-0005-0000-0000-00008A020000}"/>
    <cellStyle name="AeE­_´eºnC￥_04. 1.14 4" xfId="621" xr:uid="{00000000-0005-0000-0000-00008B020000}"/>
    <cellStyle name="ÅëÈ­_´ëºñÇ¥_04. 1.14 4" xfId="622" xr:uid="{00000000-0005-0000-0000-00008C020000}"/>
    <cellStyle name="AeE­_´eºnC￥_04. 1.14 5" xfId="623" xr:uid="{00000000-0005-0000-0000-00008D020000}"/>
    <cellStyle name="ÅëÈ­_´ëºñÇ¥_04. 1.14 5" xfId="624" xr:uid="{00000000-0005-0000-0000-00008E020000}"/>
    <cellStyle name="AeE­_´eºnC￥_04. 1.14 6" xfId="625" xr:uid="{00000000-0005-0000-0000-00008F020000}"/>
    <cellStyle name="ÅëÈ­_´ëºñÇ¥_04. 1.14 6" xfId="626" xr:uid="{00000000-0005-0000-0000-000090020000}"/>
    <cellStyle name="AeE­_´eºnC￥_04. 1.14 7" xfId="627" xr:uid="{00000000-0005-0000-0000-000091020000}"/>
    <cellStyle name="ÅëÈ­_´ëºñÇ¥_04. 1.14 7" xfId="628" xr:uid="{00000000-0005-0000-0000-000092020000}"/>
    <cellStyle name="AeE­_´eºnC￥_04. 1.14 8" xfId="629" xr:uid="{00000000-0005-0000-0000-000093020000}"/>
    <cellStyle name="ÅëÈ­_´ëºñÇ¥_04. 1.14 8" xfId="630" xr:uid="{00000000-0005-0000-0000-000094020000}"/>
    <cellStyle name="AeE­_´eºnC￥_04. 1.14 9" xfId="631" xr:uid="{00000000-0005-0000-0000-000095020000}"/>
    <cellStyle name="ÅëÈ­_´ëºñÇ¥_04. 1.14 9" xfId="632" xr:uid="{00000000-0005-0000-0000-000096020000}"/>
    <cellStyle name="AeE­_´eºnC￥_04.12.21" xfId="633" xr:uid="{00000000-0005-0000-0000-000097020000}"/>
    <cellStyle name="ÅëÈ­_´ëºñÇ¥_04.12.21" xfId="634" xr:uid="{00000000-0005-0000-0000-000098020000}"/>
    <cellStyle name="AeE­_´eºnC￥_05.1.18재무(회장님수정)" xfId="635" xr:uid="{00000000-0005-0000-0000-000099020000}"/>
    <cellStyle name="ÅëÈ­_´ëºñÇ¥_05.1.18재무(회장님수정)" xfId="636" xr:uid="{00000000-0005-0000-0000-00009A020000}"/>
    <cellStyle name="AeE­_´eºnC￥_05.1.18재무(회장님수정) 10" xfId="637" xr:uid="{00000000-0005-0000-0000-00009B020000}"/>
    <cellStyle name="ÅëÈ­_´ëºñÇ¥_05.1.18재무(회장님수정) 10" xfId="638" xr:uid="{00000000-0005-0000-0000-00009C020000}"/>
    <cellStyle name="AeE­_´eºnC￥_05.1.18재무(회장님수정) 11" xfId="639" xr:uid="{00000000-0005-0000-0000-00009D020000}"/>
    <cellStyle name="ÅëÈ­_´ëºñÇ¥_05.1.18재무(회장님수정) 11" xfId="640" xr:uid="{00000000-0005-0000-0000-00009E020000}"/>
    <cellStyle name="AeE­_´eºnC￥_05.1.18재무(회장님수정) 2" xfId="641" xr:uid="{00000000-0005-0000-0000-00009F020000}"/>
    <cellStyle name="ÅëÈ­_´ëºñÇ¥_05.1.18재무(회장님수정) 2" xfId="642" xr:uid="{00000000-0005-0000-0000-0000A0020000}"/>
    <cellStyle name="AeE­_´eºnC￥_05.1.18재무(회장님수정) 3" xfId="643" xr:uid="{00000000-0005-0000-0000-0000A1020000}"/>
    <cellStyle name="ÅëÈ­_´ëºñÇ¥_05.1.18재무(회장님수정) 3" xfId="644" xr:uid="{00000000-0005-0000-0000-0000A2020000}"/>
    <cellStyle name="AeE­_´eºnC￥_05.1.18재무(회장님수정) 4" xfId="645" xr:uid="{00000000-0005-0000-0000-0000A3020000}"/>
    <cellStyle name="ÅëÈ­_´ëºñÇ¥_05.1.18재무(회장님수정) 4" xfId="646" xr:uid="{00000000-0005-0000-0000-0000A4020000}"/>
    <cellStyle name="AeE­_´eºnC￥_05.1.18재무(회장님수정) 5" xfId="647" xr:uid="{00000000-0005-0000-0000-0000A5020000}"/>
    <cellStyle name="ÅëÈ­_´ëºñÇ¥_05.1.18재무(회장님수정) 5" xfId="648" xr:uid="{00000000-0005-0000-0000-0000A6020000}"/>
    <cellStyle name="AeE­_´eºnC￥_05.1.18재무(회장님수정) 6" xfId="649" xr:uid="{00000000-0005-0000-0000-0000A7020000}"/>
    <cellStyle name="ÅëÈ­_´ëºñÇ¥_05.1.18재무(회장님수정) 6" xfId="650" xr:uid="{00000000-0005-0000-0000-0000A8020000}"/>
    <cellStyle name="AeE­_´eºnC￥_05.1.18재무(회장님수정) 7" xfId="651" xr:uid="{00000000-0005-0000-0000-0000A9020000}"/>
    <cellStyle name="ÅëÈ­_´ëºñÇ¥_05.1.18재무(회장님수정) 7" xfId="652" xr:uid="{00000000-0005-0000-0000-0000AA020000}"/>
    <cellStyle name="AeE­_´eºnC￥_05.1.18재무(회장님수정) 8" xfId="653" xr:uid="{00000000-0005-0000-0000-0000AB020000}"/>
    <cellStyle name="ÅëÈ­_´ëºñÇ¥_05.1.18재무(회장님수정) 8" xfId="654" xr:uid="{00000000-0005-0000-0000-0000AC020000}"/>
    <cellStyle name="AeE­_´eºnC￥_05.1.18재무(회장님수정) 9" xfId="655" xr:uid="{00000000-0005-0000-0000-0000AD020000}"/>
    <cellStyle name="ÅëÈ­_´ëºñÇ¥_05.1.18재무(회장님수정) 9" xfId="656" xr:uid="{00000000-0005-0000-0000-0000AE020000}"/>
    <cellStyle name="AeE­_´eºnC￥_3.계량부문" xfId="657" xr:uid="{00000000-0005-0000-0000-0000AF020000}"/>
    <cellStyle name="ÅëÈ­_´ëºñÇ¥_손익분석목표대비" xfId="658" xr:uid="{00000000-0005-0000-0000-0000B0020000}"/>
    <cellStyle name="AeE­_´eºnC￥_재무대책양식05. 3.15" xfId="659" xr:uid="{00000000-0005-0000-0000-0000B1020000}"/>
    <cellStyle name="ÅëÈ­_´ëºñÇ¥_재무대책양식05. 3.15" xfId="660" xr:uid="{00000000-0005-0000-0000-0000B2020000}"/>
    <cellStyle name="AeE­_´eºnC￥_차입금 관련지표 051005" xfId="661" xr:uid="{00000000-0005-0000-0000-0000B3020000}"/>
    <cellStyle name="ÅëÈ­_´ëºñÇ¥_차입금 관련지표 051005" xfId="662" xr:uid="{00000000-0005-0000-0000-0000B4020000}"/>
    <cellStyle name="AeE­_´eºnC￥_차입금 관련지표 051005 10" xfId="663" xr:uid="{00000000-0005-0000-0000-0000B5020000}"/>
    <cellStyle name="ÅëÈ­_´ëºñÇ¥_차입금 관련지표 051005 10" xfId="664" xr:uid="{00000000-0005-0000-0000-0000B6020000}"/>
    <cellStyle name="AeE­_´eºnC￥_차입금 관련지표 051005 11" xfId="665" xr:uid="{00000000-0005-0000-0000-0000B7020000}"/>
    <cellStyle name="ÅëÈ­_´ëºñÇ¥_차입금 관련지표 051005 11" xfId="666" xr:uid="{00000000-0005-0000-0000-0000B8020000}"/>
    <cellStyle name="AeE­_´eºnC￥_차입금 관련지표 051005 2" xfId="667" xr:uid="{00000000-0005-0000-0000-0000B9020000}"/>
    <cellStyle name="ÅëÈ­_´ëºñÇ¥_차입금 관련지표 051005 2" xfId="668" xr:uid="{00000000-0005-0000-0000-0000BA020000}"/>
    <cellStyle name="AeE­_´eºnC￥_차입금 관련지표 051005 3" xfId="669" xr:uid="{00000000-0005-0000-0000-0000BB020000}"/>
    <cellStyle name="ÅëÈ­_´ëºñÇ¥_차입금 관련지표 051005 3" xfId="670" xr:uid="{00000000-0005-0000-0000-0000BC020000}"/>
    <cellStyle name="AeE­_´eºnC￥_차입금 관련지표 051005 4" xfId="671" xr:uid="{00000000-0005-0000-0000-0000BD020000}"/>
    <cellStyle name="ÅëÈ­_´ëºñÇ¥_차입금 관련지표 051005 4" xfId="672" xr:uid="{00000000-0005-0000-0000-0000BE020000}"/>
    <cellStyle name="AeE­_´eºnC￥_차입금 관련지표 051005 5" xfId="673" xr:uid="{00000000-0005-0000-0000-0000BF020000}"/>
    <cellStyle name="ÅëÈ­_´ëºñÇ¥_차입금 관련지표 051005 5" xfId="674" xr:uid="{00000000-0005-0000-0000-0000C0020000}"/>
    <cellStyle name="AeE­_´eºnC￥_차입금 관련지표 051005 6" xfId="675" xr:uid="{00000000-0005-0000-0000-0000C1020000}"/>
    <cellStyle name="ÅëÈ­_´ëºñÇ¥_차입금 관련지표 051005 6" xfId="676" xr:uid="{00000000-0005-0000-0000-0000C2020000}"/>
    <cellStyle name="AeE­_´eºnC￥_차입금 관련지표 051005 7" xfId="677" xr:uid="{00000000-0005-0000-0000-0000C3020000}"/>
    <cellStyle name="ÅëÈ­_´ëºñÇ¥_차입금 관련지표 051005 7" xfId="678" xr:uid="{00000000-0005-0000-0000-0000C4020000}"/>
    <cellStyle name="AeE­_´eºnC￥_차입금 관련지표 051005 8" xfId="679" xr:uid="{00000000-0005-0000-0000-0000C5020000}"/>
    <cellStyle name="ÅëÈ­_´ëºñÇ¥_차입금 관련지표 051005 8" xfId="680" xr:uid="{00000000-0005-0000-0000-0000C6020000}"/>
    <cellStyle name="AeE­_´eºnC￥_차입금 관련지표 051005 9" xfId="681" xr:uid="{00000000-0005-0000-0000-0000C7020000}"/>
    <cellStyle name="ÅëÈ­_´ëºñÇ¥_차입금 관련지표 051005 9" xfId="682" xr:uid="{00000000-0005-0000-0000-0000C8020000}"/>
    <cellStyle name="AeE­_´eºnC￥_차입금및금리지수" xfId="683" xr:uid="{00000000-0005-0000-0000-0000C9020000}"/>
    <cellStyle name="ÅëÈ­_´ëºñÇ¥_차입금및금리지수" xfId="684" xr:uid="{00000000-0005-0000-0000-0000CA020000}"/>
    <cellStyle name="AeE­_¸AAa" xfId="685" xr:uid="{00000000-0005-0000-0000-0000CB020000}"/>
    <cellStyle name="ÅëÈ­_¸ñÂ÷" xfId="686" xr:uid="{00000000-0005-0000-0000-0000CC020000}"/>
    <cellStyle name="AeE­_±a¼ºAoºO" xfId="687" xr:uid="{00000000-0005-0000-0000-0000CD020000}"/>
    <cellStyle name="ÅëÈ­_±â¾ÈÁö" xfId="688" xr:uid="{00000000-0005-0000-0000-0000CE020000}"/>
    <cellStyle name="AeE­_INQUIRY ¿?¾÷AßAø " xfId="689" xr:uid="{00000000-0005-0000-0000-0000CF020000}"/>
    <cellStyle name="ÅëÈ­_laroux" xfId="690" xr:uid="{00000000-0005-0000-0000-0000D0020000}"/>
    <cellStyle name="AeE­_laroux_1" xfId="691" xr:uid="{00000000-0005-0000-0000-0000D1020000}"/>
    <cellStyle name="ÅëÈ­_laroux_1" xfId="692" xr:uid="{00000000-0005-0000-0000-0000D2020000}"/>
    <cellStyle name="AeE­_laroux_1 2" xfId="693" xr:uid="{00000000-0005-0000-0000-0000D3020000}"/>
    <cellStyle name="AeE¡ⓒ [0]_INQUIRY ￠?￥i¨u¡AAⓒ￢Aⓒª " xfId="694" xr:uid="{00000000-0005-0000-0000-0000D4020000}"/>
    <cellStyle name="AeE¡ⓒ_INQUIRY ￠?￥i¨u¡AAⓒ￢Aⓒª " xfId="695" xr:uid="{00000000-0005-0000-0000-0000D5020000}"/>
    <cellStyle name="ALIGNMENT" xfId="696" xr:uid="{00000000-0005-0000-0000-0000D6020000}"/>
    <cellStyle name="Am3/h/대" xfId="697" xr:uid="{00000000-0005-0000-0000-0000D7020000}"/>
    <cellStyle name="Am3/h/대 2" xfId="2426" xr:uid="{00000000-0005-0000-0000-0000D8020000}"/>
    <cellStyle name="arial" xfId="698" xr:uid="{00000000-0005-0000-0000-0000D9020000}"/>
    <cellStyle name="Äþ¸¶" xfId="699" xr:uid="{00000000-0005-0000-0000-0000DA020000}"/>
    <cellStyle name="Äþ¸¶ [0]" xfId="700" xr:uid="{00000000-0005-0000-0000-0000DB020000}"/>
    <cellStyle name="AÞ¸¶ [0]_´eºnC￥" xfId="701" xr:uid="{00000000-0005-0000-0000-0000DC020000}"/>
    <cellStyle name="ÄÞ¸¶ [0]_´ëºñÇ¥" xfId="702" xr:uid="{00000000-0005-0000-0000-0000DD020000}"/>
    <cellStyle name="AÞ¸¶ [0]_´eºnC￥_(그룹)차입금 관련지표 051005" xfId="703" xr:uid="{00000000-0005-0000-0000-0000DE020000}"/>
    <cellStyle name="ÄÞ¸¶ [0]_´ëºñÇ¥_(그룹)차입금 관련지표 051005" xfId="704" xr:uid="{00000000-0005-0000-0000-0000DF020000}"/>
    <cellStyle name="AÞ¸¶ [0]_´eºnC￥_(그룹)차입금 관련지표 051005 10" xfId="705" xr:uid="{00000000-0005-0000-0000-0000E0020000}"/>
    <cellStyle name="ÄÞ¸¶ [0]_´ëºñÇ¥_(그룹)차입금 관련지표 051005 10" xfId="706" xr:uid="{00000000-0005-0000-0000-0000E1020000}"/>
    <cellStyle name="AÞ¸¶ [0]_´eºnC￥_(그룹)차입금 관련지표 051005 11" xfId="707" xr:uid="{00000000-0005-0000-0000-0000E2020000}"/>
    <cellStyle name="ÄÞ¸¶ [0]_´ëºñÇ¥_(그룹)차입금 관련지표 051005 11" xfId="708" xr:uid="{00000000-0005-0000-0000-0000E3020000}"/>
    <cellStyle name="AÞ¸¶ [0]_´eºnC￥_(그룹)차입금 관련지표 051005 2" xfId="709" xr:uid="{00000000-0005-0000-0000-0000E4020000}"/>
    <cellStyle name="ÄÞ¸¶ [0]_´ëºñÇ¥_(그룹)차입금 관련지표 051005 2" xfId="710" xr:uid="{00000000-0005-0000-0000-0000E5020000}"/>
    <cellStyle name="AÞ¸¶ [0]_´eºnC￥_(그룹)차입금 관련지표 051005 3" xfId="711" xr:uid="{00000000-0005-0000-0000-0000E6020000}"/>
    <cellStyle name="ÄÞ¸¶ [0]_´ëºñÇ¥_(그룹)차입금 관련지표 051005 3" xfId="712" xr:uid="{00000000-0005-0000-0000-0000E7020000}"/>
    <cellStyle name="AÞ¸¶ [0]_´eºnC￥_(그룹)차입금 관련지표 051005 4" xfId="713" xr:uid="{00000000-0005-0000-0000-0000E8020000}"/>
    <cellStyle name="ÄÞ¸¶ [0]_´ëºñÇ¥_(그룹)차입금 관련지표 051005 4" xfId="714" xr:uid="{00000000-0005-0000-0000-0000E9020000}"/>
    <cellStyle name="AÞ¸¶ [0]_´eºnC￥_(그룹)차입금 관련지표 051005 5" xfId="715" xr:uid="{00000000-0005-0000-0000-0000EA020000}"/>
    <cellStyle name="ÄÞ¸¶ [0]_´ëºñÇ¥_(그룹)차입금 관련지표 051005 5" xfId="716" xr:uid="{00000000-0005-0000-0000-0000EB020000}"/>
    <cellStyle name="AÞ¸¶ [0]_´eºnC￥_(그룹)차입금 관련지표 051005 6" xfId="717" xr:uid="{00000000-0005-0000-0000-0000EC020000}"/>
    <cellStyle name="ÄÞ¸¶ [0]_´ëºñÇ¥_(그룹)차입금 관련지표 051005 6" xfId="718" xr:uid="{00000000-0005-0000-0000-0000ED020000}"/>
    <cellStyle name="AÞ¸¶ [0]_´eºnC￥_(그룹)차입금 관련지표 051005 7" xfId="719" xr:uid="{00000000-0005-0000-0000-0000EE020000}"/>
    <cellStyle name="ÄÞ¸¶ [0]_´ëºñÇ¥_(그룹)차입금 관련지표 051005 7" xfId="720" xr:uid="{00000000-0005-0000-0000-0000EF020000}"/>
    <cellStyle name="AÞ¸¶ [0]_´eºnC￥_(그룹)차입금 관련지표 051005 8" xfId="721" xr:uid="{00000000-0005-0000-0000-0000F0020000}"/>
    <cellStyle name="ÄÞ¸¶ [0]_´ëºñÇ¥_(그룹)차입금 관련지표 051005 8" xfId="722" xr:uid="{00000000-0005-0000-0000-0000F1020000}"/>
    <cellStyle name="AÞ¸¶ [0]_´eºnC￥_(그룹)차입금 관련지표 051005 9" xfId="723" xr:uid="{00000000-0005-0000-0000-0000F2020000}"/>
    <cellStyle name="ÄÞ¸¶ [0]_´ëºñÇ¥_(그룹)차입금 관련지표 051005 9" xfId="724" xr:uid="{00000000-0005-0000-0000-0000F3020000}"/>
    <cellStyle name="AÞ¸¶ [0]_´eºnC￥_04. 1.14" xfId="725" xr:uid="{00000000-0005-0000-0000-0000F4020000}"/>
    <cellStyle name="ÄÞ¸¶ [0]_´ëºñÇ¥_04. 1.14" xfId="726" xr:uid="{00000000-0005-0000-0000-0000F5020000}"/>
    <cellStyle name="AÞ¸¶ [0]_´eºnC￥_04. 1.14 10" xfId="727" xr:uid="{00000000-0005-0000-0000-0000F6020000}"/>
    <cellStyle name="ÄÞ¸¶ [0]_´ëºñÇ¥_04. 1.14 10" xfId="728" xr:uid="{00000000-0005-0000-0000-0000F7020000}"/>
    <cellStyle name="AÞ¸¶ [0]_´eºnC￥_04. 1.14 11" xfId="729" xr:uid="{00000000-0005-0000-0000-0000F8020000}"/>
    <cellStyle name="ÄÞ¸¶ [0]_´ëºñÇ¥_04. 1.14 11" xfId="730" xr:uid="{00000000-0005-0000-0000-0000F9020000}"/>
    <cellStyle name="AÞ¸¶ [0]_´eºnC￥_04. 1.14 2" xfId="731" xr:uid="{00000000-0005-0000-0000-0000FA020000}"/>
    <cellStyle name="ÄÞ¸¶ [0]_´ëºñÇ¥_04. 1.14 2" xfId="732" xr:uid="{00000000-0005-0000-0000-0000FB020000}"/>
    <cellStyle name="AÞ¸¶ [0]_´eºnC￥_04. 1.14 3" xfId="733" xr:uid="{00000000-0005-0000-0000-0000FC020000}"/>
    <cellStyle name="ÄÞ¸¶ [0]_´ëºñÇ¥_04. 1.14 3" xfId="734" xr:uid="{00000000-0005-0000-0000-0000FD020000}"/>
    <cellStyle name="AÞ¸¶ [0]_´eºnC￥_04. 1.14 4" xfId="735" xr:uid="{00000000-0005-0000-0000-0000FE020000}"/>
    <cellStyle name="ÄÞ¸¶ [0]_´ëºñÇ¥_04. 1.14 4" xfId="736" xr:uid="{00000000-0005-0000-0000-0000FF020000}"/>
    <cellStyle name="AÞ¸¶ [0]_´eºnC￥_04. 1.14 5" xfId="737" xr:uid="{00000000-0005-0000-0000-000000030000}"/>
    <cellStyle name="ÄÞ¸¶ [0]_´ëºñÇ¥_04. 1.14 5" xfId="738" xr:uid="{00000000-0005-0000-0000-000001030000}"/>
    <cellStyle name="AÞ¸¶ [0]_´eºnC￥_04. 1.14 6" xfId="739" xr:uid="{00000000-0005-0000-0000-000002030000}"/>
    <cellStyle name="ÄÞ¸¶ [0]_´ëºñÇ¥_04. 1.14 6" xfId="740" xr:uid="{00000000-0005-0000-0000-000003030000}"/>
    <cellStyle name="AÞ¸¶ [0]_´eºnC￥_04. 1.14 7" xfId="741" xr:uid="{00000000-0005-0000-0000-000004030000}"/>
    <cellStyle name="ÄÞ¸¶ [0]_´ëºñÇ¥_04. 1.14 7" xfId="742" xr:uid="{00000000-0005-0000-0000-000005030000}"/>
    <cellStyle name="AÞ¸¶ [0]_´eºnC￥_04. 1.14 8" xfId="743" xr:uid="{00000000-0005-0000-0000-000006030000}"/>
    <cellStyle name="ÄÞ¸¶ [0]_´ëºñÇ¥_04. 1.14 8" xfId="744" xr:uid="{00000000-0005-0000-0000-000007030000}"/>
    <cellStyle name="AÞ¸¶ [0]_´eºnC￥_04. 1.14 9" xfId="745" xr:uid="{00000000-0005-0000-0000-000008030000}"/>
    <cellStyle name="ÄÞ¸¶ [0]_´ëºñÇ¥_04. 1.14 9" xfId="746" xr:uid="{00000000-0005-0000-0000-000009030000}"/>
    <cellStyle name="AÞ¸¶ [0]_´eºnC￥_04.12.21" xfId="747" xr:uid="{00000000-0005-0000-0000-00000A030000}"/>
    <cellStyle name="ÄÞ¸¶ [0]_´ëºñÇ¥_04.12.21" xfId="748" xr:uid="{00000000-0005-0000-0000-00000B030000}"/>
    <cellStyle name="AÞ¸¶ [0]_´eºnC￥_05.1.18재무(회장님수정)" xfId="749" xr:uid="{00000000-0005-0000-0000-00000C030000}"/>
    <cellStyle name="ÄÞ¸¶ [0]_´ëºñÇ¥_05.1.18재무(회장님수정)" xfId="750" xr:uid="{00000000-0005-0000-0000-00000D030000}"/>
    <cellStyle name="AÞ¸¶ [0]_´eºnC￥_05.1.18재무(회장님수정) 10" xfId="751" xr:uid="{00000000-0005-0000-0000-00000E030000}"/>
    <cellStyle name="ÄÞ¸¶ [0]_´ëºñÇ¥_05.1.18재무(회장님수정) 10" xfId="752" xr:uid="{00000000-0005-0000-0000-00000F030000}"/>
    <cellStyle name="AÞ¸¶ [0]_´eºnC￥_05.1.18재무(회장님수정) 11" xfId="753" xr:uid="{00000000-0005-0000-0000-000010030000}"/>
    <cellStyle name="ÄÞ¸¶ [0]_´ëºñÇ¥_05.1.18재무(회장님수정) 11" xfId="754" xr:uid="{00000000-0005-0000-0000-000011030000}"/>
    <cellStyle name="AÞ¸¶ [0]_´eºnC￥_05.1.18재무(회장님수정) 2" xfId="755" xr:uid="{00000000-0005-0000-0000-000012030000}"/>
    <cellStyle name="ÄÞ¸¶ [0]_´ëºñÇ¥_05.1.18재무(회장님수정) 2" xfId="756" xr:uid="{00000000-0005-0000-0000-000013030000}"/>
    <cellStyle name="AÞ¸¶ [0]_´eºnC￥_05.1.18재무(회장님수정) 3" xfId="757" xr:uid="{00000000-0005-0000-0000-000014030000}"/>
    <cellStyle name="ÄÞ¸¶ [0]_´ëºñÇ¥_05.1.18재무(회장님수정) 3" xfId="758" xr:uid="{00000000-0005-0000-0000-000015030000}"/>
    <cellStyle name="AÞ¸¶ [0]_´eºnC￥_05.1.18재무(회장님수정) 4" xfId="759" xr:uid="{00000000-0005-0000-0000-000016030000}"/>
    <cellStyle name="ÄÞ¸¶ [0]_´ëºñÇ¥_05.1.18재무(회장님수정) 4" xfId="760" xr:uid="{00000000-0005-0000-0000-000017030000}"/>
    <cellStyle name="AÞ¸¶ [0]_´eºnC￥_05.1.18재무(회장님수정) 5" xfId="761" xr:uid="{00000000-0005-0000-0000-000018030000}"/>
    <cellStyle name="ÄÞ¸¶ [0]_´ëºñÇ¥_05.1.18재무(회장님수정) 5" xfId="762" xr:uid="{00000000-0005-0000-0000-000019030000}"/>
    <cellStyle name="AÞ¸¶ [0]_´eºnC￥_05.1.18재무(회장님수정) 6" xfId="763" xr:uid="{00000000-0005-0000-0000-00001A030000}"/>
    <cellStyle name="ÄÞ¸¶ [0]_´ëºñÇ¥_05.1.18재무(회장님수정) 6" xfId="764" xr:uid="{00000000-0005-0000-0000-00001B030000}"/>
    <cellStyle name="AÞ¸¶ [0]_´eºnC￥_05.1.18재무(회장님수정) 7" xfId="765" xr:uid="{00000000-0005-0000-0000-00001C030000}"/>
    <cellStyle name="ÄÞ¸¶ [0]_´ëºñÇ¥_05.1.18재무(회장님수정) 7" xfId="766" xr:uid="{00000000-0005-0000-0000-00001D030000}"/>
    <cellStyle name="AÞ¸¶ [0]_´eºnC￥_05.1.18재무(회장님수정) 8" xfId="767" xr:uid="{00000000-0005-0000-0000-00001E030000}"/>
    <cellStyle name="ÄÞ¸¶ [0]_´ëºñÇ¥_05.1.18재무(회장님수정) 8" xfId="768" xr:uid="{00000000-0005-0000-0000-00001F030000}"/>
    <cellStyle name="AÞ¸¶ [0]_´eºnC￥_05.1.18재무(회장님수정) 9" xfId="769" xr:uid="{00000000-0005-0000-0000-000020030000}"/>
    <cellStyle name="ÄÞ¸¶ [0]_´ëºñÇ¥_05.1.18재무(회장님수정) 9" xfId="770" xr:uid="{00000000-0005-0000-0000-000021030000}"/>
    <cellStyle name="AÞ¸¶ [0]_´eºnC￥_3.계량부문" xfId="771" xr:uid="{00000000-0005-0000-0000-000022030000}"/>
    <cellStyle name="ÄÞ¸¶ [0]_´ëºñÇ¥_손익분석목표대비" xfId="772" xr:uid="{00000000-0005-0000-0000-000023030000}"/>
    <cellStyle name="AÞ¸¶ [0]_´eºnC￥_재무대책양식05. 3.15" xfId="773" xr:uid="{00000000-0005-0000-0000-000024030000}"/>
    <cellStyle name="ÄÞ¸¶ [0]_´ëºñÇ¥_재무대책양식05. 3.15" xfId="774" xr:uid="{00000000-0005-0000-0000-000025030000}"/>
    <cellStyle name="AÞ¸¶ [0]_´eºnC￥_차입금 관련지표 051005" xfId="775" xr:uid="{00000000-0005-0000-0000-000026030000}"/>
    <cellStyle name="ÄÞ¸¶ [0]_´ëºñÇ¥_차입금 관련지표 051005" xfId="776" xr:uid="{00000000-0005-0000-0000-000027030000}"/>
    <cellStyle name="AÞ¸¶ [0]_´eºnC￥_차입금 관련지표 051005 10" xfId="777" xr:uid="{00000000-0005-0000-0000-000028030000}"/>
    <cellStyle name="ÄÞ¸¶ [0]_´ëºñÇ¥_차입금 관련지표 051005 10" xfId="778" xr:uid="{00000000-0005-0000-0000-000029030000}"/>
    <cellStyle name="AÞ¸¶ [0]_´eºnC￥_차입금 관련지표 051005 11" xfId="779" xr:uid="{00000000-0005-0000-0000-00002A030000}"/>
    <cellStyle name="ÄÞ¸¶ [0]_´ëºñÇ¥_차입금 관련지표 051005 11" xfId="780" xr:uid="{00000000-0005-0000-0000-00002B030000}"/>
    <cellStyle name="AÞ¸¶ [0]_´eºnC￥_차입금 관련지표 051005 2" xfId="781" xr:uid="{00000000-0005-0000-0000-00002C030000}"/>
    <cellStyle name="ÄÞ¸¶ [0]_´ëºñÇ¥_차입금 관련지표 051005 2" xfId="782" xr:uid="{00000000-0005-0000-0000-00002D030000}"/>
    <cellStyle name="AÞ¸¶ [0]_´eºnC￥_차입금 관련지표 051005 3" xfId="783" xr:uid="{00000000-0005-0000-0000-00002E030000}"/>
    <cellStyle name="ÄÞ¸¶ [0]_´ëºñÇ¥_차입금 관련지표 051005 3" xfId="784" xr:uid="{00000000-0005-0000-0000-00002F030000}"/>
    <cellStyle name="AÞ¸¶ [0]_´eºnC￥_차입금 관련지표 051005 4" xfId="785" xr:uid="{00000000-0005-0000-0000-000030030000}"/>
    <cellStyle name="ÄÞ¸¶ [0]_´ëºñÇ¥_차입금 관련지표 051005 4" xfId="786" xr:uid="{00000000-0005-0000-0000-000031030000}"/>
    <cellStyle name="AÞ¸¶ [0]_´eºnC￥_차입금 관련지표 051005 5" xfId="787" xr:uid="{00000000-0005-0000-0000-000032030000}"/>
    <cellStyle name="ÄÞ¸¶ [0]_´ëºñÇ¥_차입금 관련지표 051005 5" xfId="788" xr:uid="{00000000-0005-0000-0000-000033030000}"/>
    <cellStyle name="AÞ¸¶ [0]_´eºnC￥_차입금 관련지표 051005 6" xfId="789" xr:uid="{00000000-0005-0000-0000-000034030000}"/>
    <cellStyle name="ÄÞ¸¶ [0]_´ëºñÇ¥_차입금 관련지표 051005 6" xfId="790" xr:uid="{00000000-0005-0000-0000-000035030000}"/>
    <cellStyle name="AÞ¸¶ [0]_´eºnC￥_차입금 관련지표 051005 7" xfId="791" xr:uid="{00000000-0005-0000-0000-000036030000}"/>
    <cellStyle name="ÄÞ¸¶ [0]_´ëºñÇ¥_차입금 관련지표 051005 7" xfId="792" xr:uid="{00000000-0005-0000-0000-000037030000}"/>
    <cellStyle name="AÞ¸¶ [0]_´eºnC￥_차입금 관련지표 051005 8" xfId="793" xr:uid="{00000000-0005-0000-0000-000038030000}"/>
    <cellStyle name="ÄÞ¸¶ [0]_´ëºñÇ¥_차입금 관련지표 051005 8" xfId="794" xr:uid="{00000000-0005-0000-0000-000039030000}"/>
    <cellStyle name="AÞ¸¶ [0]_´eºnC￥_차입금 관련지표 051005 9" xfId="795" xr:uid="{00000000-0005-0000-0000-00003A030000}"/>
    <cellStyle name="ÄÞ¸¶ [0]_´ëºñÇ¥_차입금 관련지표 051005 9" xfId="796" xr:uid="{00000000-0005-0000-0000-00003B030000}"/>
    <cellStyle name="AÞ¸¶ [0]_´eºnC￥_차입금및금리지수" xfId="797" xr:uid="{00000000-0005-0000-0000-00003C030000}"/>
    <cellStyle name="ÄÞ¸¶ [0]_´ëºñÇ¥_차입금및금리지수" xfId="798" xr:uid="{00000000-0005-0000-0000-00003D030000}"/>
    <cellStyle name="AÞ¸¶ [0]_¸AAa" xfId="799" xr:uid="{00000000-0005-0000-0000-00003E030000}"/>
    <cellStyle name="ÄÞ¸¶ [0]_¿ì¹°Åë" xfId="800" xr:uid="{00000000-0005-0000-0000-00003F030000}"/>
    <cellStyle name="AÞ¸¶ [0]_INQUIRY ¿?¾÷AßAø " xfId="801" xr:uid="{00000000-0005-0000-0000-000040030000}"/>
    <cellStyle name="ÄÞ¸¶ [0]_laroux" xfId="802" xr:uid="{00000000-0005-0000-0000-000041030000}"/>
    <cellStyle name="AÞ¸¶ [0]_laroux_1" xfId="803" xr:uid="{00000000-0005-0000-0000-000042030000}"/>
    <cellStyle name="AÞ¸¶_´eºnC￥" xfId="804" xr:uid="{00000000-0005-0000-0000-000043030000}"/>
    <cellStyle name="ÄÞ¸¶_´ëºñÇ¥" xfId="805" xr:uid="{00000000-0005-0000-0000-000044030000}"/>
    <cellStyle name="AÞ¸¶_´eºnC￥_(그룹)차입금 관련지표 051005" xfId="806" xr:uid="{00000000-0005-0000-0000-000045030000}"/>
    <cellStyle name="ÄÞ¸¶_´ëºñÇ¥_(그룹)차입금 관련지표 051005" xfId="807" xr:uid="{00000000-0005-0000-0000-000046030000}"/>
    <cellStyle name="AÞ¸¶_´eºnC￥_(그룹)차입금 관련지표 051005 10" xfId="808" xr:uid="{00000000-0005-0000-0000-000047030000}"/>
    <cellStyle name="ÄÞ¸¶_´ëºñÇ¥_(그룹)차입금 관련지표 051005 10" xfId="809" xr:uid="{00000000-0005-0000-0000-000048030000}"/>
    <cellStyle name="AÞ¸¶_´eºnC￥_(그룹)차입금 관련지표 051005 11" xfId="810" xr:uid="{00000000-0005-0000-0000-000049030000}"/>
    <cellStyle name="ÄÞ¸¶_´ëºñÇ¥_(그룹)차입금 관련지표 051005 11" xfId="811" xr:uid="{00000000-0005-0000-0000-00004A030000}"/>
    <cellStyle name="AÞ¸¶_´eºnC￥_(그룹)차입금 관련지표 051005 2" xfId="812" xr:uid="{00000000-0005-0000-0000-00004B030000}"/>
    <cellStyle name="ÄÞ¸¶_´ëºñÇ¥_(그룹)차입금 관련지표 051005 2" xfId="813" xr:uid="{00000000-0005-0000-0000-00004C030000}"/>
    <cellStyle name="AÞ¸¶_´eºnC￥_(그룹)차입금 관련지표 051005 3" xfId="814" xr:uid="{00000000-0005-0000-0000-00004D030000}"/>
    <cellStyle name="ÄÞ¸¶_´ëºñÇ¥_(그룹)차입금 관련지표 051005 3" xfId="815" xr:uid="{00000000-0005-0000-0000-00004E030000}"/>
    <cellStyle name="AÞ¸¶_´eºnC￥_(그룹)차입금 관련지표 051005 4" xfId="816" xr:uid="{00000000-0005-0000-0000-00004F030000}"/>
    <cellStyle name="ÄÞ¸¶_´ëºñÇ¥_(그룹)차입금 관련지표 051005 4" xfId="817" xr:uid="{00000000-0005-0000-0000-000050030000}"/>
    <cellStyle name="AÞ¸¶_´eºnC￥_(그룹)차입금 관련지표 051005 5" xfId="818" xr:uid="{00000000-0005-0000-0000-000051030000}"/>
    <cellStyle name="ÄÞ¸¶_´ëºñÇ¥_(그룹)차입금 관련지표 051005 5" xfId="819" xr:uid="{00000000-0005-0000-0000-000052030000}"/>
    <cellStyle name="AÞ¸¶_´eºnC￥_(그룹)차입금 관련지표 051005 6" xfId="820" xr:uid="{00000000-0005-0000-0000-000053030000}"/>
    <cellStyle name="ÄÞ¸¶_´ëºñÇ¥_(그룹)차입금 관련지표 051005 6" xfId="821" xr:uid="{00000000-0005-0000-0000-000054030000}"/>
    <cellStyle name="AÞ¸¶_´eºnC￥_(그룹)차입금 관련지표 051005 7" xfId="822" xr:uid="{00000000-0005-0000-0000-000055030000}"/>
    <cellStyle name="ÄÞ¸¶_´ëºñÇ¥_(그룹)차입금 관련지표 051005 7" xfId="823" xr:uid="{00000000-0005-0000-0000-000056030000}"/>
    <cellStyle name="AÞ¸¶_´eºnC￥_(그룹)차입금 관련지표 051005 8" xfId="824" xr:uid="{00000000-0005-0000-0000-000057030000}"/>
    <cellStyle name="ÄÞ¸¶_´ëºñÇ¥_(그룹)차입금 관련지표 051005 8" xfId="825" xr:uid="{00000000-0005-0000-0000-000058030000}"/>
    <cellStyle name="AÞ¸¶_´eºnC￥_(그룹)차입금 관련지표 051005 9" xfId="826" xr:uid="{00000000-0005-0000-0000-000059030000}"/>
    <cellStyle name="ÄÞ¸¶_´ëºñÇ¥_(그룹)차입금 관련지표 051005 9" xfId="827" xr:uid="{00000000-0005-0000-0000-00005A030000}"/>
    <cellStyle name="AÞ¸¶_´eºnC￥_030401-IR배포자료(구조조정수정)" xfId="828" xr:uid="{00000000-0005-0000-0000-00005B030000}"/>
    <cellStyle name="ÄÞ¸¶_´ëºñÇ¥_04. 1.14" xfId="829" xr:uid="{00000000-0005-0000-0000-00005C030000}"/>
    <cellStyle name="AÞ¸¶_´eºnC￥_04.12.21" xfId="830" xr:uid="{00000000-0005-0000-0000-00005D030000}"/>
    <cellStyle name="ÄÞ¸¶_´ëºñÇ¥_04.12.21" xfId="831" xr:uid="{00000000-0005-0000-0000-00005E030000}"/>
    <cellStyle name="AÞ¸¶_´eºnC￥_05.1.18재무(회장님수정)" xfId="832" xr:uid="{00000000-0005-0000-0000-00005F030000}"/>
    <cellStyle name="ÄÞ¸¶_´ëºñÇ¥_05.1.18재무(회장님수정)" xfId="833" xr:uid="{00000000-0005-0000-0000-000060030000}"/>
    <cellStyle name="AÞ¸¶_´eºnC￥_05.1.18재무(회장님수정) 10" xfId="834" xr:uid="{00000000-0005-0000-0000-000061030000}"/>
    <cellStyle name="ÄÞ¸¶_´ëºñÇ¥_05.1.18재무(회장님수정) 10" xfId="835" xr:uid="{00000000-0005-0000-0000-000062030000}"/>
    <cellStyle name="AÞ¸¶_´eºnC￥_05.1.18재무(회장님수정) 11" xfId="836" xr:uid="{00000000-0005-0000-0000-000063030000}"/>
    <cellStyle name="ÄÞ¸¶_´ëºñÇ¥_05.1.18재무(회장님수정) 11" xfId="837" xr:uid="{00000000-0005-0000-0000-000064030000}"/>
    <cellStyle name="AÞ¸¶_´eºnC￥_05.1.18재무(회장님수정) 2" xfId="838" xr:uid="{00000000-0005-0000-0000-000065030000}"/>
    <cellStyle name="ÄÞ¸¶_´ëºñÇ¥_05.1.18재무(회장님수정) 2" xfId="839" xr:uid="{00000000-0005-0000-0000-000066030000}"/>
    <cellStyle name="AÞ¸¶_´eºnC￥_05.1.18재무(회장님수정) 3" xfId="840" xr:uid="{00000000-0005-0000-0000-000067030000}"/>
    <cellStyle name="ÄÞ¸¶_´ëºñÇ¥_05.1.18재무(회장님수정) 3" xfId="841" xr:uid="{00000000-0005-0000-0000-000068030000}"/>
    <cellStyle name="AÞ¸¶_´eºnC￥_05.1.18재무(회장님수정) 4" xfId="842" xr:uid="{00000000-0005-0000-0000-000069030000}"/>
    <cellStyle name="ÄÞ¸¶_´ëºñÇ¥_05.1.18재무(회장님수정) 4" xfId="843" xr:uid="{00000000-0005-0000-0000-00006A030000}"/>
    <cellStyle name="AÞ¸¶_´eºnC￥_05.1.18재무(회장님수정) 5" xfId="844" xr:uid="{00000000-0005-0000-0000-00006B030000}"/>
    <cellStyle name="ÄÞ¸¶_´ëºñÇ¥_05.1.18재무(회장님수정) 5" xfId="845" xr:uid="{00000000-0005-0000-0000-00006C030000}"/>
    <cellStyle name="AÞ¸¶_´eºnC￥_05.1.18재무(회장님수정) 6" xfId="846" xr:uid="{00000000-0005-0000-0000-00006D030000}"/>
    <cellStyle name="ÄÞ¸¶_´ëºñÇ¥_05.1.18재무(회장님수정) 6" xfId="847" xr:uid="{00000000-0005-0000-0000-00006E030000}"/>
    <cellStyle name="AÞ¸¶_´eºnC￥_05.1.18재무(회장님수정) 7" xfId="848" xr:uid="{00000000-0005-0000-0000-00006F030000}"/>
    <cellStyle name="ÄÞ¸¶_´ëºñÇ¥_05.1.18재무(회장님수정) 7" xfId="849" xr:uid="{00000000-0005-0000-0000-000070030000}"/>
    <cellStyle name="AÞ¸¶_´eºnC￥_05.1.18재무(회장님수정) 8" xfId="850" xr:uid="{00000000-0005-0000-0000-000071030000}"/>
    <cellStyle name="ÄÞ¸¶_´ëºñÇ¥_05.1.18재무(회장님수정) 8" xfId="851" xr:uid="{00000000-0005-0000-0000-000072030000}"/>
    <cellStyle name="AÞ¸¶_´eºnC￥_05.1.18재무(회장님수정) 9" xfId="852" xr:uid="{00000000-0005-0000-0000-000073030000}"/>
    <cellStyle name="ÄÞ¸¶_´ëºñÇ¥_05.1.18재무(회장님수정) 9" xfId="853" xr:uid="{00000000-0005-0000-0000-000074030000}"/>
    <cellStyle name="AÞ¸¶_´eºnC￥_NC104743E2" xfId="854" xr:uid="{00000000-0005-0000-0000-000075030000}"/>
    <cellStyle name="ÄÞ¸¶_´ëºñÇ¥_재무대책양식05. 3.15" xfId="855" xr:uid="{00000000-0005-0000-0000-000076030000}"/>
    <cellStyle name="AÞ¸¶_´eºnC￥_차입금 관련지표 051005" xfId="856" xr:uid="{00000000-0005-0000-0000-000077030000}"/>
    <cellStyle name="ÄÞ¸¶_´ëºñÇ¥_차입금 관련지표 051005" xfId="857" xr:uid="{00000000-0005-0000-0000-000078030000}"/>
    <cellStyle name="AÞ¸¶_´eºnC￥_차입금 관련지표 051005 2" xfId="858" xr:uid="{00000000-0005-0000-0000-000079030000}"/>
    <cellStyle name="ÄÞ¸¶_´ëºñÇ¥_차입금 관련지표 051005 2" xfId="859" xr:uid="{00000000-0005-0000-0000-00007A030000}"/>
    <cellStyle name="AÞ¸¶_´eºnC￥_차입금 관련지표 051005 3" xfId="860" xr:uid="{00000000-0005-0000-0000-00007B030000}"/>
    <cellStyle name="ÄÞ¸¶_´ëºñÇ¥_차입금 관련지표 051005 3" xfId="861" xr:uid="{00000000-0005-0000-0000-00007C030000}"/>
    <cellStyle name="AÞ¸¶_´eºnC￥_차입금 관련지표 051005 4" xfId="862" xr:uid="{00000000-0005-0000-0000-00007D030000}"/>
    <cellStyle name="ÄÞ¸¶_´ëºñÇ¥_차입금 관련지표 051005 4" xfId="863" xr:uid="{00000000-0005-0000-0000-00007E030000}"/>
    <cellStyle name="AÞ¸¶_´eºnC￥_차입금 관련지표 051005 5" xfId="864" xr:uid="{00000000-0005-0000-0000-00007F030000}"/>
    <cellStyle name="ÄÞ¸¶_´ëºñÇ¥_차입금 관련지표 051005 5" xfId="865" xr:uid="{00000000-0005-0000-0000-000080030000}"/>
    <cellStyle name="AÞ¸¶_´eºnC￥_차입금 관련지표 051005 6" xfId="866" xr:uid="{00000000-0005-0000-0000-000081030000}"/>
    <cellStyle name="ÄÞ¸¶_´ëºñÇ¥_차입금 관련지표 051005 6" xfId="867" xr:uid="{00000000-0005-0000-0000-000082030000}"/>
    <cellStyle name="AÞ¸¶_´eºnC￥_차입금 관련지표 051005 7" xfId="868" xr:uid="{00000000-0005-0000-0000-000083030000}"/>
    <cellStyle name="ÄÞ¸¶_´ëºñÇ¥_차입금 관련지표 051005 7" xfId="869" xr:uid="{00000000-0005-0000-0000-000084030000}"/>
    <cellStyle name="AÞ¸¶_´eºnC￥_차입금및금리지수" xfId="870" xr:uid="{00000000-0005-0000-0000-000085030000}"/>
    <cellStyle name="ÄÞ¸¶_´ëºñÇ¥_차입금및금리지수" xfId="871" xr:uid="{00000000-0005-0000-0000-000086030000}"/>
    <cellStyle name="AÞ¸¶_¸AAa" xfId="872" xr:uid="{00000000-0005-0000-0000-000087030000}"/>
    <cellStyle name="ÄÞ¸¶_¸ñÂ÷" xfId="873" xr:uid="{00000000-0005-0000-0000-000088030000}"/>
    <cellStyle name="AÞ¸¶_±a¼ºAoºO" xfId="874" xr:uid="{00000000-0005-0000-0000-000089030000}"/>
    <cellStyle name="ÄÞ¸¶_±â¾ÈÁö" xfId="875" xr:uid="{00000000-0005-0000-0000-00008A030000}"/>
    <cellStyle name="AÞ¸¶_INQUIRY ¿?¾÷AßAø " xfId="876" xr:uid="{00000000-0005-0000-0000-00008B030000}"/>
    <cellStyle name="ÄÞ¸¶_laroux" xfId="877" xr:uid="{00000000-0005-0000-0000-00008C030000}"/>
    <cellStyle name="AÞ¸¶_laroux_1" xfId="878" xr:uid="{00000000-0005-0000-0000-00008D030000}"/>
    <cellStyle name="Bad" xfId="25" builtinId="27" customBuiltin="1"/>
    <cellStyle name="Bad 2" xfId="879" xr:uid="{00000000-0005-0000-0000-00008F030000}"/>
    <cellStyle name="C?AO_?? " xfId="880" xr:uid="{00000000-0005-0000-0000-000090030000}"/>
    <cellStyle name="C?AØ_¿?¾÷CoE² " xfId="881" xr:uid="{00000000-0005-0000-0000-000091030000}"/>
    <cellStyle name="C¡IA¨ª_¡ic¨u¡A¨￢I¨￢¡Æ AN¡Æe " xfId="882" xr:uid="{00000000-0005-0000-0000-000092030000}"/>
    <cellStyle name="Ç¥áø" xfId="883" xr:uid="{00000000-0005-0000-0000-000093030000}"/>
    <cellStyle name="C￥AØ_ 97³a °æ¿μºÐ¼R(¾E)" xfId="884" xr:uid="{00000000-0005-0000-0000-000094030000}"/>
    <cellStyle name="Ç¥ÁØ_´çÃÊ±¸ÀÔ»ý»ê" xfId="885" xr:uid="{00000000-0005-0000-0000-000095030000}"/>
    <cellStyle name="C￥AØ_´eºnC￥ (2)_1_ºI´eAa°ø " xfId="886" xr:uid="{00000000-0005-0000-0000-000096030000}"/>
    <cellStyle name="Ç¥ÁØ_´ëºñÇ¥ (2)_1_ºÎ´ëÅä°ø " xfId="887" xr:uid="{00000000-0005-0000-0000-000097030000}"/>
    <cellStyle name="C￥AØ_´eºnC￥ (2)_ºI´eAa°ø " xfId="888" xr:uid="{00000000-0005-0000-0000-000098030000}"/>
    <cellStyle name="Ç¥ÁØ_´ëºñÇ¥ (2)_ºÎ´ëÅä°ø " xfId="889" xr:uid="{00000000-0005-0000-0000-000099030000}"/>
    <cellStyle name="C￥AØ_¿μ¾÷CoE² " xfId="890" xr:uid="{00000000-0005-0000-0000-00009A030000}"/>
    <cellStyle name="Ç¥ÁØ_±³°¢¼ö·®" xfId="891" xr:uid="{00000000-0005-0000-0000-00009B030000}"/>
    <cellStyle name="C￥AØ_³o½E≫c¿A" xfId="892" xr:uid="{00000000-0005-0000-0000-00009C030000}"/>
    <cellStyle name="Ç¥ÁØ_Àü·«°èÈ¹" xfId="893" xr:uid="{00000000-0005-0000-0000-00009D030000}"/>
    <cellStyle name="C￥AØ_laroux_1" xfId="894" xr:uid="{00000000-0005-0000-0000-00009E030000}"/>
    <cellStyle name="Ç¥ÁØ_laroux_1" xfId="895" xr:uid="{00000000-0005-0000-0000-00009F030000}"/>
    <cellStyle name="C￥AØ_laroux_1 2" xfId="896" xr:uid="{00000000-0005-0000-0000-0000A0030000}"/>
    <cellStyle name="Ç¥ÁØ_laroux_2" xfId="897" xr:uid="{00000000-0005-0000-0000-0000A1030000}"/>
    <cellStyle name="C￥AØ_laroux_2_4대목표집계표" xfId="898" xr:uid="{00000000-0005-0000-0000-0000A2030000}"/>
    <cellStyle name="Ç¥ÁØ_laroux_3" xfId="899" xr:uid="{00000000-0005-0000-0000-0000A3030000}"/>
    <cellStyle name="C￥AØ_laroux_3_4대목표집계표" xfId="900" xr:uid="{00000000-0005-0000-0000-0000A4030000}"/>
    <cellStyle name="Ç¥ÁØ_laroux_4" xfId="901" xr:uid="{00000000-0005-0000-0000-0000A5030000}"/>
    <cellStyle name="C￥AØ_laroux_4대목표집계표" xfId="902" xr:uid="{00000000-0005-0000-0000-0000A6030000}"/>
    <cellStyle name="Calc Currency (0)" xfId="903" xr:uid="{00000000-0005-0000-0000-0000A7030000}"/>
    <cellStyle name="Calc Currency (2)" xfId="904" xr:uid="{00000000-0005-0000-0000-0000A8030000}"/>
    <cellStyle name="Calc Percent (0)" xfId="905" xr:uid="{00000000-0005-0000-0000-0000A9030000}"/>
    <cellStyle name="Calc Percent (1)" xfId="906" xr:uid="{00000000-0005-0000-0000-0000AA030000}"/>
    <cellStyle name="Calc Percent (2)" xfId="907" xr:uid="{00000000-0005-0000-0000-0000AB030000}"/>
    <cellStyle name="Calc Units (0)" xfId="908" xr:uid="{00000000-0005-0000-0000-0000AC030000}"/>
    <cellStyle name="Calc Units (1)" xfId="909" xr:uid="{00000000-0005-0000-0000-0000AD030000}"/>
    <cellStyle name="Calc Units (2)" xfId="910" xr:uid="{00000000-0005-0000-0000-0000AE030000}"/>
    <cellStyle name="Calculation" xfId="26" builtinId="22" customBuiltin="1"/>
    <cellStyle name="Calculation 2" xfId="911" xr:uid="{00000000-0005-0000-0000-0000B0030000}"/>
    <cellStyle name="category" xfId="912" xr:uid="{00000000-0005-0000-0000-0000B1030000}"/>
    <cellStyle name="Check Cell" xfId="27" builtinId="23" customBuiltin="1"/>
    <cellStyle name="Check Cell 2" xfId="1135" xr:uid="{00000000-0005-0000-0000-0000B3030000}"/>
    <cellStyle name="Chi phÝ kh¸c_Book1" xfId="1136" xr:uid="{00000000-0005-0000-0000-0000B4030000}"/>
    <cellStyle name="CMH/대" xfId="913" xr:uid="{00000000-0005-0000-0000-0000B5030000}"/>
    <cellStyle name="CMH/대 2" xfId="2427" xr:uid="{00000000-0005-0000-0000-0000B6030000}"/>
    <cellStyle name="CMM/대" xfId="914" xr:uid="{00000000-0005-0000-0000-0000B7030000}"/>
    <cellStyle name="CMM/대 2" xfId="2428" xr:uid="{00000000-0005-0000-0000-0000B8030000}"/>
    <cellStyle name="Comma" xfId="28" builtinId="3"/>
    <cellStyle name="Comma [0] 10" xfId="915" xr:uid="{00000000-0005-0000-0000-0000BA030000}"/>
    <cellStyle name="Comma [0] 10 2" xfId="916" xr:uid="{00000000-0005-0000-0000-0000BB030000}"/>
    <cellStyle name="Comma [0] 11" xfId="917" xr:uid="{00000000-0005-0000-0000-0000BC030000}"/>
    <cellStyle name="Comma [0] 11 2" xfId="918" xr:uid="{00000000-0005-0000-0000-0000BD030000}"/>
    <cellStyle name="Comma [0] 12" xfId="919" xr:uid="{00000000-0005-0000-0000-0000BE030000}"/>
    <cellStyle name="Comma [0] 12 2" xfId="920" xr:uid="{00000000-0005-0000-0000-0000BF030000}"/>
    <cellStyle name="Comma [0] 13" xfId="921" xr:uid="{00000000-0005-0000-0000-0000C0030000}"/>
    <cellStyle name="Comma [0] 13 2" xfId="922" xr:uid="{00000000-0005-0000-0000-0000C1030000}"/>
    <cellStyle name="Comma [0] 14" xfId="923" xr:uid="{00000000-0005-0000-0000-0000C2030000}"/>
    <cellStyle name="Comma [0] 14 2" xfId="924" xr:uid="{00000000-0005-0000-0000-0000C3030000}"/>
    <cellStyle name="Comma [0] 15" xfId="925" xr:uid="{00000000-0005-0000-0000-0000C4030000}"/>
    <cellStyle name="Comma [0] 15 2" xfId="926" xr:uid="{00000000-0005-0000-0000-0000C5030000}"/>
    <cellStyle name="Comma [0] 16" xfId="927" xr:uid="{00000000-0005-0000-0000-0000C6030000}"/>
    <cellStyle name="Comma [0] 16 2" xfId="928" xr:uid="{00000000-0005-0000-0000-0000C7030000}"/>
    <cellStyle name="Comma [0] 17" xfId="929" xr:uid="{00000000-0005-0000-0000-0000C8030000}"/>
    <cellStyle name="Comma [0] 17 2" xfId="930" xr:uid="{00000000-0005-0000-0000-0000C9030000}"/>
    <cellStyle name="Comma [0] 18" xfId="931" xr:uid="{00000000-0005-0000-0000-0000CA030000}"/>
    <cellStyle name="Comma [0] 18 2" xfId="932" xr:uid="{00000000-0005-0000-0000-0000CB030000}"/>
    <cellStyle name="Comma [0] 19" xfId="933" xr:uid="{00000000-0005-0000-0000-0000CC030000}"/>
    <cellStyle name="Comma [0] 19 2" xfId="934" xr:uid="{00000000-0005-0000-0000-0000CD030000}"/>
    <cellStyle name="Comma [0] 2" xfId="935" xr:uid="{00000000-0005-0000-0000-0000CE030000}"/>
    <cellStyle name="Comma [0] 2 2" xfId="936" xr:uid="{00000000-0005-0000-0000-0000CF030000}"/>
    <cellStyle name="Comma [0] 20" xfId="937" xr:uid="{00000000-0005-0000-0000-0000D0030000}"/>
    <cellStyle name="Comma [0] 20 2" xfId="938" xr:uid="{00000000-0005-0000-0000-0000D1030000}"/>
    <cellStyle name="Comma [0] 21" xfId="939" xr:uid="{00000000-0005-0000-0000-0000D2030000}"/>
    <cellStyle name="Comma [0] 21 2" xfId="940" xr:uid="{00000000-0005-0000-0000-0000D3030000}"/>
    <cellStyle name="Comma [0] 22" xfId="941" xr:uid="{00000000-0005-0000-0000-0000D4030000}"/>
    <cellStyle name="Comma [0] 22 2" xfId="942" xr:uid="{00000000-0005-0000-0000-0000D5030000}"/>
    <cellStyle name="Comma [0] 23" xfId="943" xr:uid="{00000000-0005-0000-0000-0000D6030000}"/>
    <cellStyle name="Comma [0] 23 2" xfId="944" xr:uid="{00000000-0005-0000-0000-0000D7030000}"/>
    <cellStyle name="Comma [0] 24" xfId="945" xr:uid="{00000000-0005-0000-0000-0000D8030000}"/>
    <cellStyle name="Comma [0] 24 2" xfId="946" xr:uid="{00000000-0005-0000-0000-0000D9030000}"/>
    <cellStyle name="Comma [0] 25" xfId="947" xr:uid="{00000000-0005-0000-0000-0000DA030000}"/>
    <cellStyle name="Comma [0] 25 2" xfId="948" xr:uid="{00000000-0005-0000-0000-0000DB030000}"/>
    <cellStyle name="Comma [0] 26" xfId="949" xr:uid="{00000000-0005-0000-0000-0000DC030000}"/>
    <cellStyle name="Comma [0] 26 2" xfId="950" xr:uid="{00000000-0005-0000-0000-0000DD030000}"/>
    <cellStyle name="Comma [0] 27" xfId="951" xr:uid="{00000000-0005-0000-0000-0000DE030000}"/>
    <cellStyle name="Comma [0] 27 2" xfId="952" xr:uid="{00000000-0005-0000-0000-0000DF030000}"/>
    <cellStyle name="Comma [0] 28" xfId="953" xr:uid="{00000000-0005-0000-0000-0000E0030000}"/>
    <cellStyle name="Comma [0] 28 2" xfId="954" xr:uid="{00000000-0005-0000-0000-0000E1030000}"/>
    <cellStyle name="Comma [0] 29" xfId="955" xr:uid="{00000000-0005-0000-0000-0000E2030000}"/>
    <cellStyle name="Comma [0] 29 2" xfId="956" xr:uid="{00000000-0005-0000-0000-0000E3030000}"/>
    <cellStyle name="Comma [0] 3" xfId="957" xr:uid="{00000000-0005-0000-0000-0000E4030000}"/>
    <cellStyle name="Comma [0] 3 2" xfId="958" xr:uid="{00000000-0005-0000-0000-0000E5030000}"/>
    <cellStyle name="Comma [0] 30" xfId="959" xr:uid="{00000000-0005-0000-0000-0000E6030000}"/>
    <cellStyle name="Comma [0] 30 2" xfId="960" xr:uid="{00000000-0005-0000-0000-0000E7030000}"/>
    <cellStyle name="Comma [0] 31" xfId="961" xr:uid="{00000000-0005-0000-0000-0000E8030000}"/>
    <cellStyle name="Comma [0] 31 2" xfId="962" xr:uid="{00000000-0005-0000-0000-0000E9030000}"/>
    <cellStyle name="Comma [0] 32" xfId="963" xr:uid="{00000000-0005-0000-0000-0000EA030000}"/>
    <cellStyle name="Comma [0] 32 2" xfId="964" xr:uid="{00000000-0005-0000-0000-0000EB030000}"/>
    <cellStyle name="Comma [0] 33" xfId="965" xr:uid="{00000000-0005-0000-0000-0000EC030000}"/>
    <cellStyle name="Comma [0] 33 2" xfId="966" xr:uid="{00000000-0005-0000-0000-0000ED030000}"/>
    <cellStyle name="Comma [0] 34" xfId="967" xr:uid="{00000000-0005-0000-0000-0000EE030000}"/>
    <cellStyle name="Comma [0] 34 2" xfId="968" xr:uid="{00000000-0005-0000-0000-0000EF030000}"/>
    <cellStyle name="Comma [0] 35" xfId="969" xr:uid="{00000000-0005-0000-0000-0000F0030000}"/>
    <cellStyle name="Comma [0] 35 2" xfId="970" xr:uid="{00000000-0005-0000-0000-0000F1030000}"/>
    <cellStyle name="Comma [0] 36" xfId="971" xr:uid="{00000000-0005-0000-0000-0000F2030000}"/>
    <cellStyle name="Comma [0] 36 2" xfId="972" xr:uid="{00000000-0005-0000-0000-0000F3030000}"/>
    <cellStyle name="Comma [0] 37" xfId="973" xr:uid="{00000000-0005-0000-0000-0000F4030000}"/>
    <cellStyle name="Comma [0] 37 2" xfId="974" xr:uid="{00000000-0005-0000-0000-0000F5030000}"/>
    <cellStyle name="Comma [0] 38" xfId="975" xr:uid="{00000000-0005-0000-0000-0000F6030000}"/>
    <cellStyle name="Comma [0] 38 2" xfId="976" xr:uid="{00000000-0005-0000-0000-0000F7030000}"/>
    <cellStyle name="Comma [0] 39" xfId="977" xr:uid="{00000000-0005-0000-0000-0000F8030000}"/>
    <cellStyle name="Comma [0] 39 2" xfId="978" xr:uid="{00000000-0005-0000-0000-0000F9030000}"/>
    <cellStyle name="Comma [0] 4" xfId="979" xr:uid="{00000000-0005-0000-0000-0000FA030000}"/>
    <cellStyle name="Comma [0] 4 2" xfId="980" xr:uid="{00000000-0005-0000-0000-0000FB030000}"/>
    <cellStyle name="Comma [0] 40" xfId="981" xr:uid="{00000000-0005-0000-0000-0000FC030000}"/>
    <cellStyle name="Comma [0] 40 2" xfId="982" xr:uid="{00000000-0005-0000-0000-0000FD030000}"/>
    <cellStyle name="Comma [0] 41" xfId="983" xr:uid="{00000000-0005-0000-0000-0000FE030000}"/>
    <cellStyle name="Comma [0] 41 2" xfId="984" xr:uid="{00000000-0005-0000-0000-0000FF030000}"/>
    <cellStyle name="Comma [0] 42" xfId="985" xr:uid="{00000000-0005-0000-0000-000000040000}"/>
    <cellStyle name="Comma [0] 42 2" xfId="986" xr:uid="{00000000-0005-0000-0000-000001040000}"/>
    <cellStyle name="Comma [0] 43" xfId="987" xr:uid="{00000000-0005-0000-0000-000002040000}"/>
    <cellStyle name="Comma [0] 43 2" xfId="988" xr:uid="{00000000-0005-0000-0000-000003040000}"/>
    <cellStyle name="Comma [0] 44" xfId="989" xr:uid="{00000000-0005-0000-0000-000004040000}"/>
    <cellStyle name="Comma [0] 45" xfId="990" xr:uid="{00000000-0005-0000-0000-000005040000}"/>
    <cellStyle name="Comma [0] 5" xfId="991" xr:uid="{00000000-0005-0000-0000-000006040000}"/>
    <cellStyle name="Comma [0] 5 2" xfId="992" xr:uid="{00000000-0005-0000-0000-000007040000}"/>
    <cellStyle name="Comma [0] 6" xfId="993" xr:uid="{00000000-0005-0000-0000-000008040000}"/>
    <cellStyle name="Comma [0] 6 2" xfId="994" xr:uid="{00000000-0005-0000-0000-000009040000}"/>
    <cellStyle name="Comma [0] 7" xfId="995" xr:uid="{00000000-0005-0000-0000-00000A040000}"/>
    <cellStyle name="Comma [0] 7 2" xfId="996" xr:uid="{00000000-0005-0000-0000-00000B040000}"/>
    <cellStyle name="Comma [0] 8" xfId="997" xr:uid="{00000000-0005-0000-0000-00000C040000}"/>
    <cellStyle name="Comma [0] 8 2" xfId="998" xr:uid="{00000000-0005-0000-0000-00000D040000}"/>
    <cellStyle name="Comma [0] 9" xfId="999" xr:uid="{00000000-0005-0000-0000-00000E040000}"/>
    <cellStyle name="Comma [0] 9 2" xfId="1000" xr:uid="{00000000-0005-0000-0000-00000F040000}"/>
    <cellStyle name="Comma [00]" xfId="1001" xr:uid="{00000000-0005-0000-0000-000010040000}"/>
    <cellStyle name="Comma 10" xfId="1002" xr:uid="{00000000-0005-0000-0000-000011040000}"/>
    <cellStyle name="Comma 10 2" xfId="1003" xr:uid="{00000000-0005-0000-0000-000012040000}"/>
    <cellStyle name="Comma 11" xfId="1004" xr:uid="{00000000-0005-0000-0000-000013040000}"/>
    <cellStyle name="Comma 11 2" xfId="1005" xr:uid="{00000000-0005-0000-0000-000014040000}"/>
    <cellStyle name="Comma 12" xfId="1006" xr:uid="{00000000-0005-0000-0000-000015040000}"/>
    <cellStyle name="Comma 12 2" xfId="1007" xr:uid="{00000000-0005-0000-0000-000016040000}"/>
    <cellStyle name="Comma 13" xfId="1008" xr:uid="{00000000-0005-0000-0000-000017040000}"/>
    <cellStyle name="Comma 13 2" xfId="1009" xr:uid="{00000000-0005-0000-0000-000018040000}"/>
    <cellStyle name="Comma 14" xfId="1010" xr:uid="{00000000-0005-0000-0000-000019040000}"/>
    <cellStyle name="Comma 14 2" xfId="1011" xr:uid="{00000000-0005-0000-0000-00001A040000}"/>
    <cellStyle name="Comma 14 2 2" xfId="2613" xr:uid="{00000000-0005-0000-0000-00001B040000}"/>
    <cellStyle name="Comma 14 3" xfId="2612" xr:uid="{00000000-0005-0000-0000-00001C040000}"/>
    <cellStyle name="Comma 15" xfId="1012" xr:uid="{00000000-0005-0000-0000-00001D040000}"/>
    <cellStyle name="Comma 15 2" xfId="1013" xr:uid="{00000000-0005-0000-0000-00001E040000}"/>
    <cellStyle name="Comma 16" xfId="72" xr:uid="{00000000-0005-0000-0000-00001F040000}"/>
    <cellStyle name="Comma 16 2" xfId="1014" xr:uid="{00000000-0005-0000-0000-000020040000}"/>
    <cellStyle name="Comma 16 2 2" xfId="2614" xr:uid="{00000000-0005-0000-0000-000021040000}"/>
    <cellStyle name="Comma 16 3" xfId="2497" xr:uid="{00000000-0005-0000-0000-000022040000}"/>
    <cellStyle name="Comma 17" xfId="1015" xr:uid="{00000000-0005-0000-0000-000023040000}"/>
    <cellStyle name="Comma 17 2" xfId="1016" xr:uid="{00000000-0005-0000-0000-000024040000}"/>
    <cellStyle name="Comma 18" xfId="1017" xr:uid="{00000000-0005-0000-0000-000025040000}"/>
    <cellStyle name="Comma 18 2" xfId="1018" xr:uid="{00000000-0005-0000-0000-000026040000}"/>
    <cellStyle name="Comma 19" xfId="1019" xr:uid="{00000000-0005-0000-0000-000027040000}"/>
    <cellStyle name="Comma 19 2" xfId="1020" xr:uid="{00000000-0005-0000-0000-000028040000}"/>
    <cellStyle name="Comma 2" xfId="73" xr:uid="{00000000-0005-0000-0000-000029040000}"/>
    <cellStyle name="Comma 2 2" xfId="1021" xr:uid="{00000000-0005-0000-0000-00002A040000}"/>
    <cellStyle name="Comma 2 3" xfId="1022" xr:uid="{00000000-0005-0000-0000-00002B040000}"/>
    <cellStyle name="Comma 20" xfId="1023" xr:uid="{00000000-0005-0000-0000-00002C040000}"/>
    <cellStyle name="Comma 20 2" xfId="1024" xr:uid="{00000000-0005-0000-0000-00002D040000}"/>
    <cellStyle name="Comma 21" xfId="74" xr:uid="{00000000-0005-0000-0000-00002E040000}"/>
    <cellStyle name="Comma 21 2" xfId="1025" xr:uid="{00000000-0005-0000-0000-00002F040000}"/>
    <cellStyle name="Comma 21 2 2" xfId="2615" xr:uid="{00000000-0005-0000-0000-000030040000}"/>
    <cellStyle name="Comma 21 3" xfId="2498" xr:uid="{00000000-0005-0000-0000-000031040000}"/>
    <cellStyle name="Comma 22" xfId="75" xr:uid="{00000000-0005-0000-0000-000032040000}"/>
    <cellStyle name="Comma 22 2" xfId="1026" xr:uid="{00000000-0005-0000-0000-000033040000}"/>
    <cellStyle name="Comma 22 2 2" xfId="2616" xr:uid="{00000000-0005-0000-0000-000034040000}"/>
    <cellStyle name="Comma 22 3" xfId="2499" xr:uid="{00000000-0005-0000-0000-000035040000}"/>
    <cellStyle name="Comma 23" xfId="1027" xr:uid="{00000000-0005-0000-0000-000036040000}"/>
    <cellStyle name="Comma 24" xfId="76" xr:uid="{00000000-0005-0000-0000-000037040000}"/>
    <cellStyle name="Comma 24 2" xfId="1028" xr:uid="{00000000-0005-0000-0000-000038040000}"/>
    <cellStyle name="Comma 24 2 2" xfId="2617" xr:uid="{00000000-0005-0000-0000-000039040000}"/>
    <cellStyle name="Comma 24 3" xfId="2500" xr:uid="{00000000-0005-0000-0000-00003A040000}"/>
    <cellStyle name="Comma 25" xfId="77" xr:uid="{00000000-0005-0000-0000-00003B040000}"/>
    <cellStyle name="Comma 25 2" xfId="1029" xr:uid="{00000000-0005-0000-0000-00003C040000}"/>
    <cellStyle name="Comma 25 2 2" xfId="2618" xr:uid="{00000000-0005-0000-0000-00003D040000}"/>
    <cellStyle name="Comma 25 3" xfId="2501" xr:uid="{00000000-0005-0000-0000-00003E040000}"/>
    <cellStyle name="Comma 26" xfId="78" xr:uid="{00000000-0005-0000-0000-00003F040000}"/>
    <cellStyle name="Comma 26 2" xfId="1030" xr:uid="{00000000-0005-0000-0000-000040040000}"/>
    <cellStyle name="Comma 26 2 2" xfId="2619" xr:uid="{00000000-0005-0000-0000-000041040000}"/>
    <cellStyle name="Comma 26 3" xfId="2502" xr:uid="{00000000-0005-0000-0000-000042040000}"/>
    <cellStyle name="Comma 27" xfId="79" xr:uid="{00000000-0005-0000-0000-000043040000}"/>
    <cellStyle name="Comma 27 2" xfId="1031" xr:uid="{00000000-0005-0000-0000-000044040000}"/>
    <cellStyle name="Comma 27 2 2" xfId="2620" xr:uid="{00000000-0005-0000-0000-000045040000}"/>
    <cellStyle name="Comma 27 3" xfId="2503" xr:uid="{00000000-0005-0000-0000-000046040000}"/>
    <cellStyle name="Comma 28" xfId="80" xr:uid="{00000000-0005-0000-0000-000047040000}"/>
    <cellStyle name="Comma 28 2" xfId="1032" xr:uid="{00000000-0005-0000-0000-000048040000}"/>
    <cellStyle name="Comma 28 2 2" xfId="2621" xr:uid="{00000000-0005-0000-0000-000049040000}"/>
    <cellStyle name="Comma 28 3" xfId="2504" xr:uid="{00000000-0005-0000-0000-00004A040000}"/>
    <cellStyle name="Comma 29" xfId="81" xr:uid="{00000000-0005-0000-0000-00004B040000}"/>
    <cellStyle name="Comma 29 2" xfId="1033" xr:uid="{00000000-0005-0000-0000-00004C040000}"/>
    <cellStyle name="Comma 29 2 2" xfId="2622" xr:uid="{00000000-0005-0000-0000-00004D040000}"/>
    <cellStyle name="Comma 29 3" xfId="2505" xr:uid="{00000000-0005-0000-0000-00004E040000}"/>
    <cellStyle name="Comma 3" xfId="82" xr:uid="{00000000-0005-0000-0000-00004F040000}"/>
    <cellStyle name="Comma 3 2" xfId="1034" xr:uid="{00000000-0005-0000-0000-000050040000}"/>
    <cellStyle name="Comma 3 2 2" xfId="2623" xr:uid="{00000000-0005-0000-0000-000051040000}"/>
    <cellStyle name="Comma 3 3" xfId="1035" xr:uid="{00000000-0005-0000-0000-000052040000}"/>
    <cellStyle name="Comma 3 3 2" xfId="2624" xr:uid="{00000000-0005-0000-0000-000053040000}"/>
    <cellStyle name="Comma 30" xfId="83" xr:uid="{00000000-0005-0000-0000-000054040000}"/>
    <cellStyle name="Comma 30 2" xfId="1036" xr:uid="{00000000-0005-0000-0000-000055040000}"/>
    <cellStyle name="Comma 30 2 2" xfId="2625" xr:uid="{00000000-0005-0000-0000-000056040000}"/>
    <cellStyle name="Comma 30 3" xfId="2506" xr:uid="{00000000-0005-0000-0000-000057040000}"/>
    <cellStyle name="Comma 31" xfId="84" xr:uid="{00000000-0005-0000-0000-000058040000}"/>
    <cellStyle name="Comma 31 2" xfId="1037" xr:uid="{00000000-0005-0000-0000-000059040000}"/>
    <cellStyle name="Comma 31 2 2" xfId="2626" xr:uid="{00000000-0005-0000-0000-00005A040000}"/>
    <cellStyle name="Comma 31 3" xfId="2507" xr:uid="{00000000-0005-0000-0000-00005B040000}"/>
    <cellStyle name="Comma 32" xfId="85" xr:uid="{00000000-0005-0000-0000-00005C040000}"/>
    <cellStyle name="Comma 32 2" xfId="1038" xr:uid="{00000000-0005-0000-0000-00005D040000}"/>
    <cellStyle name="Comma 32 2 2" xfId="2627" xr:uid="{00000000-0005-0000-0000-00005E040000}"/>
    <cellStyle name="Comma 32 3" xfId="2508" xr:uid="{00000000-0005-0000-0000-00005F040000}"/>
    <cellStyle name="Comma 33" xfId="86" xr:uid="{00000000-0005-0000-0000-000060040000}"/>
    <cellStyle name="Comma 33 2" xfId="1039" xr:uid="{00000000-0005-0000-0000-000061040000}"/>
    <cellStyle name="Comma 33 2 2" xfId="2628" xr:uid="{00000000-0005-0000-0000-000062040000}"/>
    <cellStyle name="Comma 33 3" xfId="2509" xr:uid="{00000000-0005-0000-0000-000063040000}"/>
    <cellStyle name="Comma 34" xfId="1040" xr:uid="{00000000-0005-0000-0000-000064040000}"/>
    <cellStyle name="Comma 34 2" xfId="1041" xr:uid="{00000000-0005-0000-0000-000065040000}"/>
    <cellStyle name="Comma 35" xfId="87" xr:uid="{00000000-0005-0000-0000-000066040000}"/>
    <cellStyle name="Comma 35 2" xfId="1042" xr:uid="{00000000-0005-0000-0000-000067040000}"/>
    <cellStyle name="Comma 35 2 2" xfId="2629" xr:uid="{00000000-0005-0000-0000-000068040000}"/>
    <cellStyle name="Comma 35 3" xfId="2510" xr:uid="{00000000-0005-0000-0000-000069040000}"/>
    <cellStyle name="Comma 36" xfId="88" xr:uid="{00000000-0005-0000-0000-00006A040000}"/>
    <cellStyle name="Comma 36 2" xfId="1043" xr:uid="{00000000-0005-0000-0000-00006B040000}"/>
    <cellStyle name="Comma 36 2 2" xfId="2630" xr:uid="{00000000-0005-0000-0000-00006C040000}"/>
    <cellStyle name="Comma 36 3" xfId="2511" xr:uid="{00000000-0005-0000-0000-00006D040000}"/>
    <cellStyle name="Comma 37" xfId="89" xr:uid="{00000000-0005-0000-0000-00006E040000}"/>
    <cellStyle name="Comma 37 2" xfId="1044" xr:uid="{00000000-0005-0000-0000-00006F040000}"/>
    <cellStyle name="Comma 37 2 2" xfId="2631" xr:uid="{00000000-0005-0000-0000-000070040000}"/>
    <cellStyle name="Comma 37 3" xfId="2512" xr:uid="{00000000-0005-0000-0000-000071040000}"/>
    <cellStyle name="Comma 38" xfId="90" xr:uid="{00000000-0005-0000-0000-000072040000}"/>
    <cellStyle name="Comma 38 2" xfId="1045" xr:uid="{00000000-0005-0000-0000-000073040000}"/>
    <cellStyle name="Comma 38 2 2" xfId="2632" xr:uid="{00000000-0005-0000-0000-000074040000}"/>
    <cellStyle name="Comma 38 3" xfId="2513" xr:uid="{00000000-0005-0000-0000-000075040000}"/>
    <cellStyle name="Comma 39" xfId="91" xr:uid="{00000000-0005-0000-0000-000076040000}"/>
    <cellStyle name="Comma 39 2" xfId="1046" xr:uid="{00000000-0005-0000-0000-000077040000}"/>
    <cellStyle name="Comma 39 2 2" xfId="2633" xr:uid="{00000000-0005-0000-0000-000078040000}"/>
    <cellStyle name="Comma 39 3" xfId="2514" xr:uid="{00000000-0005-0000-0000-000079040000}"/>
    <cellStyle name="Comma 4" xfId="92" xr:uid="{00000000-0005-0000-0000-00007A040000}"/>
    <cellStyle name="Comma 4 2" xfId="1047" xr:uid="{00000000-0005-0000-0000-00007B040000}"/>
    <cellStyle name="Comma 4 2 2" xfId="2634" xr:uid="{00000000-0005-0000-0000-00007C040000}"/>
    <cellStyle name="Comma 40" xfId="1048" xr:uid="{00000000-0005-0000-0000-00007D040000}"/>
    <cellStyle name="Comma 40 2" xfId="1049" xr:uid="{00000000-0005-0000-0000-00007E040000}"/>
    <cellStyle name="Comma 40 2 2" xfId="2636" xr:uid="{00000000-0005-0000-0000-00007F040000}"/>
    <cellStyle name="Comma 40 3" xfId="2635" xr:uid="{00000000-0005-0000-0000-000080040000}"/>
    <cellStyle name="Comma 41" xfId="1050" xr:uid="{00000000-0005-0000-0000-000081040000}"/>
    <cellStyle name="Comma 41 2" xfId="1051" xr:uid="{00000000-0005-0000-0000-000082040000}"/>
    <cellStyle name="Comma 41 2 2" xfId="2638" xr:uid="{00000000-0005-0000-0000-000083040000}"/>
    <cellStyle name="Comma 41 3" xfId="2637" xr:uid="{00000000-0005-0000-0000-000084040000}"/>
    <cellStyle name="Comma 42" xfId="1052" xr:uid="{00000000-0005-0000-0000-000085040000}"/>
    <cellStyle name="Comma 42 2" xfId="1053" xr:uid="{00000000-0005-0000-0000-000086040000}"/>
    <cellStyle name="Comma 42 2 2" xfId="2640" xr:uid="{00000000-0005-0000-0000-000087040000}"/>
    <cellStyle name="Comma 42 3" xfId="2639" xr:uid="{00000000-0005-0000-0000-000088040000}"/>
    <cellStyle name="Comma 43" xfId="1054" xr:uid="{00000000-0005-0000-0000-000089040000}"/>
    <cellStyle name="Comma 43 2" xfId="1055" xr:uid="{00000000-0005-0000-0000-00008A040000}"/>
    <cellStyle name="Comma 43 2 2" xfId="2642" xr:uid="{00000000-0005-0000-0000-00008B040000}"/>
    <cellStyle name="Comma 43 3" xfId="2641" xr:uid="{00000000-0005-0000-0000-00008C040000}"/>
    <cellStyle name="Comma 44" xfId="1056" xr:uid="{00000000-0005-0000-0000-00008D040000}"/>
    <cellStyle name="Comma 44 2" xfId="1057" xr:uid="{00000000-0005-0000-0000-00008E040000}"/>
    <cellStyle name="Comma 44 2 2" xfId="2644" xr:uid="{00000000-0005-0000-0000-00008F040000}"/>
    <cellStyle name="Comma 44 3" xfId="2643" xr:uid="{00000000-0005-0000-0000-000090040000}"/>
    <cellStyle name="Comma 45" xfId="1058" xr:uid="{00000000-0005-0000-0000-000091040000}"/>
    <cellStyle name="Comma 45 2" xfId="1059" xr:uid="{00000000-0005-0000-0000-000092040000}"/>
    <cellStyle name="Comma 45 2 2" xfId="2646" xr:uid="{00000000-0005-0000-0000-000093040000}"/>
    <cellStyle name="Comma 45 3" xfId="2645" xr:uid="{00000000-0005-0000-0000-000094040000}"/>
    <cellStyle name="Comma 46" xfId="1060" xr:uid="{00000000-0005-0000-0000-000095040000}"/>
    <cellStyle name="Comma 46 2" xfId="1061" xr:uid="{00000000-0005-0000-0000-000096040000}"/>
    <cellStyle name="Comma 46 2 2" xfId="2648" xr:uid="{00000000-0005-0000-0000-000097040000}"/>
    <cellStyle name="Comma 46 3" xfId="2647" xr:uid="{00000000-0005-0000-0000-000098040000}"/>
    <cellStyle name="Comma 47" xfId="1062" xr:uid="{00000000-0005-0000-0000-000099040000}"/>
    <cellStyle name="Comma 47 2" xfId="1063" xr:uid="{00000000-0005-0000-0000-00009A040000}"/>
    <cellStyle name="Comma 47 2 2" xfId="2650" xr:uid="{00000000-0005-0000-0000-00009B040000}"/>
    <cellStyle name="Comma 47 3" xfId="2649" xr:uid="{00000000-0005-0000-0000-00009C040000}"/>
    <cellStyle name="Comma 48" xfId="1064" xr:uid="{00000000-0005-0000-0000-00009D040000}"/>
    <cellStyle name="Comma 48 2" xfId="1065" xr:uid="{00000000-0005-0000-0000-00009E040000}"/>
    <cellStyle name="Comma 48 2 2" xfId="2652" xr:uid="{00000000-0005-0000-0000-00009F040000}"/>
    <cellStyle name="Comma 48 3" xfId="2651" xr:uid="{00000000-0005-0000-0000-0000A0040000}"/>
    <cellStyle name="Comma 49" xfId="93" xr:uid="{00000000-0005-0000-0000-0000A1040000}"/>
    <cellStyle name="Comma 49 2" xfId="1066" xr:uid="{00000000-0005-0000-0000-0000A2040000}"/>
    <cellStyle name="Comma 49 2 2" xfId="2653" xr:uid="{00000000-0005-0000-0000-0000A3040000}"/>
    <cellStyle name="Comma 49 3" xfId="2515" xr:uid="{00000000-0005-0000-0000-0000A4040000}"/>
    <cellStyle name="Comma 5" xfId="70" xr:uid="{00000000-0005-0000-0000-0000A5040000}"/>
    <cellStyle name="Comma 5 2" xfId="1067" xr:uid="{00000000-0005-0000-0000-0000A6040000}"/>
    <cellStyle name="Comma 5 2 2" xfId="1068" xr:uid="{00000000-0005-0000-0000-0000A7040000}"/>
    <cellStyle name="Comma 5 3" xfId="1069" xr:uid="{00000000-0005-0000-0000-0000A8040000}"/>
    <cellStyle name="Comma 50" xfId="94" xr:uid="{00000000-0005-0000-0000-0000A9040000}"/>
    <cellStyle name="Comma 50 2" xfId="1070" xr:uid="{00000000-0005-0000-0000-0000AA040000}"/>
    <cellStyle name="Comma 50 2 2" xfId="2654" xr:uid="{00000000-0005-0000-0000-0000AB040000}"/>
    <cellStyle name="Comma 50 3" xfId="2516" xr:uid="{00000000-0005-0000-0000-0000AC040000}"/>
    <cellStyle name="Comma 51" xfId="95" xr:uid="{00000000-0005-0000-0000-0000AD040000}"/>
    <cellStyle name="Comma 51 2" xfId="1071" xr:uid="{00000000-0005-0000-0000-0000AE040000}"/>
    <cellStyle name="Comma 51 2 2" xfId="2655" xr:uid="{00000000-0005-0000-0000-0000AF040000}"/>
    <cellStyle name="Comma 51 3" xfId="2517" xr:uid="{00000000-0005-0000-0000-0000B0040000}"/>
    <cellStyle name="Comma 52" xfId="96" xr:uid="{00000000-0005-0000-0000-0000B1040000}"/>
    <cellStyle name="Comma 52 2" xfId="1072" xr:uid="{00000000-0005-0000-0000-0000B2040000}"/>
    <cellStyle name="Comma 52 2 2" xfId="2656" xr:uid="{00000000-0005-0000-0000-0000B3040000}"/>
    <cellStyle name="Comma 52 3" xfId="2518" xr:uid="{00000000-0005-0000-0000-0000B4040000}"/>
    <cellStyle name="Comma 53" xfId="97" xr:uid="{00000000-0005-0000-0000-0000B5040000}"/>
    <cellStyle name="Comma 53 2" xfId="1073" xr:uid="{00000000-0005-0000-0000-0000B6040000}"/>
    <cellStyle name="Comma 53 2 2" xfId="2657" xr:uid="{00000000-0005-0000-0000-0000B7040000}"/>
    <cellStyle name="Comma 53 3" xfId="2519" xr:uid="{00000000-0005-0000-0000-0000B8040000}"/>
    <cellStyle name="Comma 54" xfId="98" xr:uid="{00000000-0005-0000-0000-0000B9040000}"/>
    <cellStyle name="Comma 54 2" xfId="1074" xr:uid="{00000000-0005-0000-0000-0000BA040000}"/>
    <cellStyle name="Comma 54 2 2" xfId="2658" xr:uid="{00000000-0005-0000-0000-0000BB040000}"/>
    <cellStyle name="Comma 54 3" xfId="2520" xr:uid="{00000000-0005-0000-0000-0000BC040000}"/>
    <cellStyle name="Comma 55" xfId="99" xr:uid="{00000000-0005-0000-0000-0000BD040000}"/>
    <cellStyle name="Comma 55 2" xfId="1075" xr:uid="{00000000-0005-0000-0000-0000BE040000}"/>
    <cellStyle name="Comma 55 2 2" xfId="2659" xr:uid="{00000000-0005-0000-0000-0000BF040000}"/>
    <cellStyle name="Comma 55 3" xfId="2521" xr:uid="{00000000-0005-0000-0000-0000C0040000}"/>
    <cellStyle name="Comma 56" xfId="100" xr:uid="{00000000-0005-0000-0000-0000C1040000}"/>
    <cellStyle name="Comma 56 2" xfId="1076" xr:uid="{00000000-0005-0000-0000-0000C2040000}"/>
    <cellStyle name="Comma 56 2 2" xfId="2660" xr:uid="{00000000-0005-0000-0000-0000C3040000}"/>
    <cellStyle name="Comma 56 3" xfId="2522" xr:uid="{00000000-0005-0000-0000-0000C4040000}"/>
    <cellStyle name="Comma 57" xfId="101" xr:uid="{00000000-0005-0000-0000-0000C5040000}"/>
    <cellStyle name="Comma 57 2" xfId="1077" xr:uid="{00000000-0005-0000-0000-0000C6040000}"/>
    <cellStyle name="Comma 57 2 2" xfId="2661" xr:uid="{00000000-0005-0000-0000-0000C7040000}"/>
    <cellStyle name="Comma 57 3" xfId="2523" xr:uid="{00000000-0005-0000-0000-0000C8040000}"/>
    <cellStyle name="Comma 58" xfId="102" xr:uid="{00000000-0005-0000-0000-0000C9040000}"/>
    <cellStyle name="Comma 58 2" xfId="1078" xr:uid="{00000000-0005-0000-0000-0000CA040000}"/>
    <cellStyle name="Comma 58 2 2" xfId="2662" xr:uid="{00000000-0005-0000-0000-0000CB040000}"/>
    <cellStyle name="Comma 58 3" xfId="2524" xr:uid="{00000000-0005-0000-0000-0000CC040000}"/>
    <cellStyle name="Comma 59" xfId="103" xr:uid="{00000000-0005-0000-0000-0000CD040000}"/>
    <cellStyle name="Comma 59 2" xfId="1079" xr:uid="{00000000-0005-0000-0000-0000CE040000}"/>
    <cellStyle name="Comma 59 2 2" xfId="2663" xr:uid="{00000000-0005-0000-0000-0000CF040000}"/>
    <cellStyle name="Comma 59 3" xfId="2525" xr:uid="{00000000-0005-0000-0000-0000D0040000}"/>
    <cellStyle name="Comma 6" xfId="1080" xr:uid="{00000000-0005-0000-0000-0000D1040000}"/>
    <cellStyle name="Comma 6 2" xfId="1081" xr:uid="{00000000-0005-0000-0000-0000D2040000}"/>
    <cellStyle name="Comma 60" xfId="104" xr:uid="{00000000-0005-0000-0000-0000D3040000}"/>
    <cellStyle name="Comma 60 2" xfId="1082" xr:uid="{00000000-0005-0000-0000-0000D4040000}"/>
    <cellStyle name="Comma 60 2 2" xfId="2664" xr:uid="{00000000-0005-0000-0000-0000D5040000}"/>
    <cellStyle name="Comma 60 3" xfId="2526" xr:uid="{00000000-0005-0000-0000-0000D6040000}"/>
    <cellStyle name="Comma 61" xfId="105" xr:uid="{00000000-0005-0000-0000-0000D7040000}"/>
    <cellStyle name="Comma 61 2" xfId="1083" xr:uid="{00000000-0005-0000-0000-0000D8040000}"/>
    <cellStyle name="Comma 61 2 2" xfId="2665" xr:uid="{00000000-0005-0000-0000-0000D9040000}"/>
    <cellStyle name="Comma 61 3" xfId="2527" xr:uid="{00000000-0005-0000-0000-0000DA040000}"/>
    <cellStyle name="Comma 62" xfId="106" xr:uid="{00000000-0005-0000-0000-0000DB040000}"/>
    <cellStyle name="Comma 62 2" xfId="1084" xr:uid="{00000000-0005-0000-0000-0000DC040000}"/>
    <cellStyle name="Comma 62 2 2" xfId="2666" xr:uid="{00000000-0005-0000-0000-0000DD040000}"/>
    <cellStyle name="Comma 62 3" xfId="2528" xr:uid="{00000000-0005-0000-0000-0000DE040000}"/>
    <cellStyle name="Comma 63" xfId="107" xr:uid="{00000000-0005-0000-0000-0000DF040000}"/>
    <cellStyle name="Comma 63 2" xfId="1085" xr:uid="{00000000-0005-0000-0000-0000E0040000}"/>
    <cellStyle name="Comma 63 2 2" xfId="2667" xr:uid="{00000000-0005-0000-0000-0000E1040000}"/>
    <cellStyle name="Comma 63 3" xfId="2529" xr:uid="{00000000-0005-0000-0000-0000E2040000}"/>
    <cellStyle name="Comma 64" xfId="108" xr:uid="{00000000-0005-0000-0000-0000E3040000}"/>
    <cellStyle name="Comma 64 2" xfId="1086" xr:uid="{00000000-0005-0000-0000-0000E4040000}"/>
    <cellStyle name="Comma 64 2 2" xfId="2668" xr:uid="{00000000-0005-0000-0000-0000E5040000}"/>
    <cellStyle name="Comma 64 3" xfId="2530" xr:uid="{00000000-0005-0000-0000-0000E6040000}"/>
    <cellStyle name="Comma 65" xfId="109" xr:uid="{00000000-0005-0000-0000-0000E7040000}"/>
    <cellStyle name="Comma 65 2" xfId="1087" xr:uid="{00000000-0005-0000-0000-0000E8040000}"/>
    <cellStyle name="Comma 65 2 2" xfId="2669" xr:uid="{00000000-0005-0000-0000-0000E9040000}"/>
    <cellStyle name="Comma 65 3" xfId="2531" xr:uid="{00000000-0005-0000-0000-0000EA040000}"/>
    <cellStyle name="Comma 66" xfId="110" xr:uid="{00000000-0005-0000-0000-0000EB040000}"/>
    <cellStyle name="Comma 66 2" xfId="1088" xr:uid="{00000000-0005-0000-0000-0000EC040000}"/>
    <cellStyle name="Comma 66 2 2" xfId="2670" xr:uid="{00000000-0005-0000-0000-0000ED040000}"/>
    <cellStyle name="Comma 66 3" xfId="2532" xr:uid="{00000000-0005-0000-0000-0000EE040000}"/>
    <cellStyle name="Comma 67" xfId="1089" xr:uid="{00000000-0005-0000-0000-0000EF040000}"/>
    <cellStyle name="Comma 67 2" xfId="1090" xr:uid="{00000000-0005-0000-0000-0000F0040000}"/>
    <cellStyle name="Comma 67 2 2" xfId="2672" xr:uid="{00000000-0005-0000-0000-0000F1040000}"/>
    <cellStyle name="Comma 67 3" xfId="2671" xr:uid="{00000000-0005-0000-0000-0000F2040000}"/>
    <cellStyle name="Comma 68" xfId="1091" xr:uid="{00000000-0005-0000-0000-0000F3040000}"/>
    <cellStyle name="Comma 68 2" xfId="1092" xr:uid="{00000000-0005-0000-0000-0000F4040000}"/>
    <cellStyle name="Comma 68 2 2" xfId="2674" xr:uid="{00000000-0005-0000-0000-0000F5040000}"/>
    <cellStyle name="Comma 68 3" xfId="2673" xr:uid="{00000000-0005-0000-0000-0000F6040000}"/>
    <cellStyle name="Comma 69" xfId="111" xr:uid="{00000000-0005-0000-0000-0000F7040000}"/>
    <cellStyle name="Comma 69 2" xfId="1093" xr:uid="{00000000-0005-0000-0000-0000F8040000}"/>
    <cellStyle name="Comma 69 2 2" xfId="2675" xr:uid="{00000000-0005-0000-0000-0000F9040000}"/>
    <cellStyle name="Comma 69 3" xfId="2533" xr:uid="{00000000-0005-0000-0000-0000FA040000}"/>
    <cellStyle name="Comma 7" xfId="1094" xr:uid="{00000000-0005-0000-0000-0000FB040000}"/>
    <cellStyle name="Comma 7 2" xfId="1095" xr:uid="{00000000-0005-0000-0000-0000FC040000}"/>
    <cellStyle name="Comma 70" xfId="1096" xr:uid="{00000000-0005-0000-0000-0000FD040000}"/>
    <cellStyle name="Comma 70 2" xfId="1097" xr:uid="{00000000-0005-0000-0000-0000FE040000}"/>
    <cellStyle name="Comma 70 2 2" xfId="2677" xr:uid="{00000000-0005-0000-0000-0000FF040000}"/>
    <cellStyle name="Comma 70 3" xfId="2676" xr:uid="{00000000-0005-0000-0000-000000050000}"/>
    <cellStyle name="Comma 71" xfId="1098" xr:uid="{00000000-0005-0000-0000-000001050000}"/>
    <cellStyle name="Comma 72" xfId="1099" xr:uid="{00000000-0005-0000-0000-000002050000}"/>
    <cellStyle name="Comma 73" xfId="1100" xr:uid="{00000000-0005-0000-0000-000003050000}"/>
    <cellStyle name="Comma 74" xfId="1101" xr:uid="{00000000-0005-0000-0000-000004050000}"/>
    <cellStyle name="Comma 75" xfId="1102" xr:uid="{00000000-0005-0000-0000-000005050000}"/>
    <cellStyle name="Comma 76" xfId="1103" xr:uid="{00000000-0005-0000-0000-000006050000}"/>
    <cellStyle name="Comma 77" xfId="1104" xr:uid="{00000000-0005-0000-0000-000007050000}"/>
    <cellStyle name="Comma 78" xfId="1105" xr:uid="{00000000-0005-0000-0000-000008050000}"/>
    <cellStyle name="Comma 79" xfId="1106" xr:uid="{00000000-0005-0000-0000-000009050000}"/>
    <cellStyle name="Comma 8" xfId="112" xr:uid="{00000000-0005-0000-0000-00000A050000}"/>
    <cellStyle name="Comma 8 2" xfId="1107" xr:uid="{00000000-0005-0000-0000-00000B050000}"/>
    <cellStyle name="Comma 80" xfId="1108" xr:uid="{00000000-0005-0000-0000-00000C050000}"/>
    <cellStyle name="Comma 81" xfId="1109" xr:uid="{00000000-0005-0000-0000-00000D050000}"/>
    <cellStyle name="Comma 82" xfId="1110" xr:uid="{00000000-0005-0000-0000-00000E050000}"/>
    <cellStyle name="Comma 82 2" xfId="2678" xr:uid="{00000000-0005-0000-0000-00000F050000}"/>
    <cellStyle name="Comma 83" xfId="66" xr:uid="{00000000-0005-0000-0000-000010050000}"/>
    <cellStyle name="Comma 83 2" xfId="2707" xr:uid="{00000000-0005-0000-0000-000011050000}"/>
    <cellStyle name="Comma 84" xfId="2420" xr:uid="{00000000-0005-0000-0000-000012050000}"/>
    <cellStyle name="Comma 85" xfId="2495" xr:uid="{00000000-0005-0000-0000-000013050000}"/>
    <cellStyle name="Comma 86" xfId="2706" xr:uid="{00000000-0005-0000-0000-000014050000}"/>
    <cellStyle name="Comma 87" xfId="2732" xr:uid="{00000000-0005-0000-0000-000015050000}"/>
    <cellStyle name="Comma 88" xfId="2734" xr:uid="{00000000-0005-0000-0000-000016050000}"/>
    <cellStyle name="Comma 9" xfId="1111" xr:uid="{00000000-0005-0000-0000-000017050000}"/>
    <cellStyle name="Comma 9 2" xfId="1112" xr:uid="{00000000-0005-0000-0000-000018050000}"/>
    <cellStyle name="Comma 9 2 2" xfId="2680" xr:uid="{00000000-0005-0000-0000-000019050000}"/>
    <cellStyle name="Comma 9 3" xfId="2679" xr:uid="{00000000-0005-0000-0000-00001A050000}"/>
    <cellStyle name="comma zerodec" xfId="1113" xr:uid="{00000000-0005-0000-0000-00001B050000}"/>
    <cellStyle name="comma zerodec 10" xfId="1114" xr:uid="{00000000-0005-0000-0000-00001C050000}"/>
    <cellStyle name="comma zerodec 11" xfId="1115" xr:uid="{00000000-0005-0000-0000-00001D050000}"/>
    <cellStyle name="comma zerodec 2" xfId="1116" xr:uid="{00000000-0005-0000-0000-00001E050000}"/>
    <cellStyle name="comma zerodec 3" xfId="1117" xr:uid="{00000000-0005-0000-0000-00001F050000}"/>
    <cellStyle name="comma zerodec 4" xfId="1118" xr:uid="{00000000-0005-0000-0000-000020050000}"/>
    <cellStyle name="comma zerodec 5" xfId="1119" xr:uid="{00000000-0005-0000-0000-000021050000}"/>
    <cellStyle name="comma zerodec 6" xfId="1120" xr:uid="{00000000-0005-0000-0000-000022050000}"/>
    <cellStyle name="comma zerodec 7" xfId="1121" xr:uid="{00000000-0005-0000-0000-000023050000}"/>
    <cellStyle name="comma zerodec 8" xfId="1122" xr:uid="{00000000-0005-0000-0000-000024050000}"/>
    <cellStyle name="comma zerodec 9" xfId="1123" xr:uid="{00000000-0005-0000-0000-000025050000}"/>
    <cellStyle name="comma zerodec_가설공사 " xfId="1124" xr:uid="{00000000-0005-0000-0000-000026050000}"/>
    <cellStyle name="Comma0" xfId="1125" xr:uid="{00000000-0005-0000-0000-000027050000}"/>
    <cellStyle name="Copied" xfId="1126" xr:uid="{00000000-0005-0000-0000-000028050000}"/>
    <cellStyle name="Curren?_x0012_퐀_x0017_?" xfId="1127" xr:uid="{00000000-0005-0000-0000-000029050000}"/>
    <cellStyle name="Currency [0] 2" xfId="1128" xr:uid="{00000000-0005-0000-0000-00002A050000}"/>
    <cellStyle name="Currency [00]" xfId="1129" xr:uid="{00000000-0005-0000-0000-00002B050000}"/>
    <cellStyle name="Currency 2" xfId="1130" xr:uid="{00000000-0005-0000-0000-00002C050000}"/>
    <cellStyle name="Currency0" xfId="1131" xr:uid="{00000000-0005-0000-0000-00002D050000}"/>
    <cellStyle name="Currency1" xfId="1132" xr:uid="{00000000-0005-0000-0000-00002E050000}"/>
    <cellStyle name="Currency1 2" xfId="1133" xr:uid="{00000000-0005-0000-0000-00002F050000}"/>
    <cellStyle name="Curren堼y_9월경비_1월회비내역 (2)_1" xfId="1134" xr:uid="{00000000-0005-0000-0000-000030050000}"/>
    <cellStyle name="Date" xfId="1137" xr:uid="{00000000-0005-0000-0000-000031050000}"/>
    <cellStyle name="Date 2" xfId="1138" xr:uid="{00000000-0005-0000-0000-000032050000}"/>
    <cellStyle name="Date Short" xfId="1139" xr:uid="{00000000-0005-0000-0000-000033050000}"/>
    <cellStyle name="Dezimal [0]_3200.0600" xfId="1140" xr:uid="{00000000-0005-0000-0000-000034050000}"/>
    <cellStyle name="Dezimal_3200.0600" xfId="1141" xr:uid="{00000000-0005-0000-0000-000035050000}"/>
    <cellStyle name="Dollar (zero dec)" xfId="1142" xr:uid="{00000000-0005-0000-0000-000036050000}"/>
    <cellStyle name="Dollar (zero dec) 10" xfId="1143" xr:uid="{00000000-0005-0000-0000-000037050000}"/>
    <cellStyle name="Dollar (zero dec) 11" xfId="1144" xr:uid="{00000000-0005-0000-0000-000038050000}"/>
    <cellStyle name="Dollar (zero dec) 2" xfId="1145" xr:uid="{00000000-0005-0000-0000-000039050000}"/>
    <cellStyle name="Dollar (zero dec) 3" xfId="1146" xr:uid="{00000000-0005-0000-0000-00003A050000}"/>
    <cellStyle name="Dollar (zero dec) 4" xfId="1147" xr:uid="{00000000-0005-0000-0000-00003B050000}"/>
    <cellStyle name="Dollar (zero dec) 5" xfId="1148" xr:uid="{00000000-0005-0000-0000-00003C050000}"/>
    <cellStyle name="Dollar (zero dec) 6" xfId="1149" xr:uid="{00000000-0005-0000-0000-00003D050000}"/>
    <cellStyle name="Dollar (zero dec) 7" xfId="1150" xr:uid="{00000000-0005-0000-0000-00003E050000}"/>
    <cellStyle name="Dollar (zero dec) 8" xfId="1151" xr:uid="{00000000-0005-0000-0000-00003F050000}"/>
    <cellStyle name="Dollar (zero dec) 9" xfId="1152" xr:uid="{00000000-0005-0000-0000-000040050000}"/>
    <cellStyle name="Dziesi?tny [0]_Invoices2001Slovakia" xfId="1153" xr:uid="{00000000-0005-0000-0000-000041050000}"/>
    <cellStyle name="Dziesi?tny_Invoices2001Slovakia" xfId="1154" xr:uid="{00000000-0005-0000-0000-000042050000}"/>
    <cellStyle name="Dziesietny [0]_Invoices2001Slovakia" xfId="1155" xr:uid="{00000000-0005-0000-0000-000043050000}"/>
    <cellStyle name="Dziesiętny [0]_Invoices2001Slovakia" xfId="1156" xr:uid="{00000000-0005-0000-0000-000044050000}"/>
    <cellStyle name="Dziesietny [0]_Invoices2001Slovakia_Book1" xfId="1157" xr:uid="{00000000-0005-0000-0000-000045050000}"/>
    <cellStyle name="Dziesiętny [0]_Invoices2001Slovakia_Book1" xfId="1158" xr:uid="{00000000-0005-0000-0000-000046050000}"/>
    <cellStyle name="Dziesietny [0]_Invoices2001Slovakia_Book1_Tong hop Cac tuyen(9-1-06)" xfId="1159" xr:uid="{00000000-0005-0000-0000-000047050000}"/>
    <cellStyle name="Dziesiętny [0]_Invoices2001Slovakia_Book1_Tong hop Cac tuyen(9-1-06)" xfId="1160" xr:uid="{00000000-0005-0000-0000-000048050000}"/>
    <cellStyle name="Dziesietny [0]_Invoices2001Slovakia_KL K.C mat duong" xfId="1161" xr:uid="{00000000-0005-0000-0000-000049050000}"/>
    <cellStyle name="Dziesiętny [0]_Invoices2001Slovakia_Nhalamviec VTC(25-1-05)" xfId="1162" xr:uid="{00000000-0005-0000-0000-00004A050000}"/>
    <cellStyle name="Dziesietny [0]_Invoices2001Slovakia_TDT KHANH HOA" xfId="1163" xr:uid="{00000000-0005-0000-0000-00004B050000}"/>
    <cellStyle name="Dziesiętny [0]_Invoices2001Slovakia_TDT KHANH HOA" xfId="1164" xr:uid="{00000000-0005-0000-0000-00004C050000}"/>
    <cellStyle name="Dziesietny [0]_Invoices2001Slovakia_TDT KHANH HOA_Tong hop Cac tuyen(9-1-06)" xfId="1165" xr:uid="{00000000-0005-0000-0000-00004D050000}"/>
    <cellStyle name="Dziesiętny [0]_Invoices2001Slovakia_TDT KHANH HOA_Tong hop Cac tuyen(9-1-06)" xfId="1166" xr:uid="{00000000-0005-0000-0000-00004E050000}"/>
    <cellStyle name="Dziesietny [0]_Invoices2001Slovakia_TDT quangngai" xfId="1167" xr:uid="{00000000-0005-0000-0000-00004F050000}"/>
    <cellStyle name="Dziesiętny [0]_Invoices2001Slovakia_TDT quangngai" xfId="1168" xr:uid="{00000000-0005-0000-0000-000050050000}"/>
    <cellStyle name="Dziesietny [0]_Invoices2001Slovakia_Tong hop Cac tuyen(9-1-06)" xfId="1169" xr:uid="{00000000-0005-0000-0000-000051050000}"/>
    <cellStyle name="Dziesietny_Invoices2001Slovakia" xfId="1170" xr:uid="{00000000-0005-0000-0000-000052050000}"/>
    <cellStyle name="Dziesiętny_Invoices2001Slovakia" xfId="1171" xr:uid="{00000000-0005-0000-0000-000053050000}"/>
    <cellStyle name="Dziesietny_Invoices2001Slovakia_Book1" xfId="1172" xr:uid="{00000000-0005-0000-0000-000054050000}"/>
    <cellStyle name="Dziesiętny_Invoices2001Slovakia_Book1" xfId="1173" xr:uid="{00000000-0005-0000-0000-000055050000}"/>
    <cellStyle name="Dziesietny_Invoices2001Slovakia_Book1_Tong hop Cac tuyen(9-1-06)" xfId="1174" xr:uid="{00000000-0005-0000-0000-000056050000}"/>
    <cellStyle name="Dziesiętny_Invoices2001Slovakia_Book1_Tong hop Cac tuyen(9-1-06)" xfId="1175" xr:uid="{00000000-0005-0000-0000-000057050000}"/>
    <cellStyle name="Dziesietny_Invoices2001Slovakia_KL K.C mat duong" xfId="1176" xr:uid="{00000000-0005-0000-0000-000058050000}"/>
    <cellStyle name="Dziesiętny_Invoices2001Slovakia_Nhalamviec VTC(25-1-05)" xfId="1177" xr:uid="{00000000-0005-0000-0000-000059050000}"/>
    <cellStyle name="Dziesietny_Invoices2001Slovakia_TDT KHANH HOA" xfId="1178" xr:uid="{00000000-0005-0000-0000-00005A050000}"/>
    <cellStyle name="Dziesiętny_Invoices2001Slovakia_TDT KHANH HOA" xfId="1179" xr:uid="{00000000-0005-0000-0000-00005B050000}"/>
    <cellStyle name="Dziesietny_Invoices2001Slovakia_TDT KHANH HOA_Tong hop Cac tuyen(9-1-06)" xfId="1180" xr:uid="{00000000-0005-0000-0000-00005C050000}"/>
    <cellStyle name="Dziesiętny_Invoices2001Slovakia_TDT KHANH HOA_Tong hop Cac tuyen(9-1-06)" xfId="1181" xr:uid="{00000000-0005-0000-0000-00005D050000}"/>
    <cellStyle name="Dziesietny_Invoices2001Slovakia_TDT quangngai" xfId="1182" xr:uid="{00000000-0005-0000-0000-00005E050000}"/>
    <cellStyle name="Dziesiętny_Invoices2001Slovakia_TDT quangngai" xfId="1183" xr:uid="{00000000-0005-0000-0000-00005F050000}"/>
    <cellStyle name="Dziesietny_Invoices2001Slovakia_Tong hop Cac tuyen(9-1-06)" xfId="1184" xr:uid="{00000000-0005-0000-0000-000060050000}"/>
    <cellStyle name="Enter Currency (0)" xfId="1185" xr:uid="{00000000-0005-0000-0000-000061050000}"/>
    <cellStyle name="Enter Currency (2)" xfId="1186" xr:uid="{00000000-0005-0000-0000-000062050000}"/>
    <cellStyle name="Enter Units (0)" xfId="1187" xr:uid="{00000000-0005-0000-0000-000063050000}"/>
    <cellStyle name="Enter Units (1)" xfId="1188" xr:uid="{00000000-0005-0000-0000-000064050000}"/>
    <cellStyle name="Enter Units (2)" xfId="1189" xr:uid="{00000000-0005-0000-0000-000065050000}"/>
    <cellStyle name="Entered" xfId="1190" xr:uid="{00000000-0005-0000-0000-000066050000}"/>
    <cellStyle name="Euro" xfId="1191" xr:uid="{00000000-0005-0000-0000-000067050000}"/>
    <cellStyle name="evision Log" xfId="1192" xr:uid="{00000000-0005-0000-0000-000068050000}"/>
    <cellStyle name="evision Log 2" xfId="1193" xr:uid="{00000000-0005-0000-0000-000069050000}"/>
    <cellStyle name="Explanatory Text" xfId="29" builtinId="53" customBuiltin="1"/>
    <cellStyle name="Explanatory Text 2" xfId="1194" xr:uid="{00000000-0005-0000-0000-00006B050000}"/>
    <cellStyle name="F2" xfId="1195" xr:uid="{00000000-0005-0000-0000-00006C050000}"/>
    <cellStyle name="F3" xfId="1196" xr:uid="{00000000-0005-0000-0000-00006D050000}"/>
    <cellStyle name="F4" xfId="1197" xr:uid="{00000000-0005-0000-0000-00006E050000}"/>
    <cellStyle name="F5" xfId="1198" xr:uid="{00000000-0005-0000-0000-00006F050000}"/>
    <cellStyle name="F6" xfId="1199" xr:uid="{00000000-0005-0000-0000-000070050000}"/>
    <cellStyle name="F7" xfId="1200" xr:uid="{00000000-0005-0000-0000-000071050000}"/>
    <cellStyle name="F8" xfId="1201" xr:uid="{00000000-0005-0000-0000-000072050000}"/>
    <cellStyle name="Fixed" xfId="1202" xr:uid="{00000000-0005-0000-0000-000073050000}"/>
    <cellStyle name="Fixed 2" xfId="1203" xr:uid="{00000000-0005-0000-0000-000074050000}"/>
    <cellStyle name="Good" xfId="30" builtinId="26" customBuiltin="1"/>
    <cellStyle name="Good 2" xfId="1204" xr:uid="{00000000-0005-0000-0000-000076050000}"/>
    <cellStyle name="Grey" xfId="1205" xr:uid="{00000000-0005-0000-0000-000077050000}"/>
    <cellStyle name="Grey 2" xfId="1206" xr:uid="{00000000-0005-0000-0000-000078050000}"/>
    <cellStyle name="HEADER" xfId="1207" xr:uid="{00000000-0005-0000-0000-000079050000}"/>
    <cellStyle name="Header1" xfId="1208" xr:uid="{00000000-0005-0000-0000-00007A050000}"/>
    <cellStyle name="Header2" xfId="1209" xr:uid="{00000000-0005-0000-0000-00007B050000}"/>
    <cellStyle name="Header2 2" xfId="2429" xr:uid="{00000000-0005-0000-0000-00007C050000}"/>
    <cellStyle name="Heading 1" xfId="31" builtinId="16" customBuiltin="1"/>
    <cellStyle name="Heading 1 2" xfId="1210" xr:uid="{00000000-0005-0000-0000-00007E050000}"/>
    <cellStyle name="Heading 2" xfId="32" builtinId="17" customBuiltin="1"/>
    <cellStyle name="Heading 2 2" xfId="1211" xr:uid="{00000000-0005-0000-0000-000080050000}"/>
    <cellStyle name="Heading 3" xfId="33" builtinId="18" customBuiltin="1"/>
    <cellStyle name="Heading 3 2" xfId="1212" xr:uid="{00000000-0005-0000-0000-000082050000}"/>
    <cellStyle name="Heading 4" xfId="34" builtinId="19" customBuiltin="1"/>
    <cellStyle name="Heading 4 2" xfId="1213" xr:uid="{00000000-0005-0000-0000-000084050000}"/>
    <cellStyle name="HEADING1" xfId="1214" xr:uid="{00000000-0005-0000-0000-000085050000}"/>
    <cellStyle name="HEADING1 2" xfId="1215" xr:uid="{00000000-0005-0000-0000-000086050000}"/>
    <cellStyle name="HEADING2" xfId="1216" xr:uid="{00000000-0005-0000-0000-000087050000}"/>
    <cellStyle name="HEADING2 2" xfId="1217" xr:uid="{00000000-0005-0000-0000-000088050000}"/>
    <cellStyle name="headoption" xfId="1218" xr:uid="{00000000-0005-0000-0000-000089050000}"/>
    <cellStyle name="headoption 2" xfId="2430" xr:uid="{00000000-0005-0000-0000-00008A050000}"/>
    <cellStyle name="Hoa-Scholl" xfId="1219" xr:uid="{00000000-0005-0000-0000-00008B050000}"/>
    <cellStyle name="Hoa-Scholl 2" xfId="2431" xr:uid="{00000000-0005-0000-0000-00008C050000}"/>
    <cellStyle name="Hyperlink" xfId="1220" xr:uid="{00000000-0005-0000-0000-00008D050000}"/>
    <cellStyle name="Hyperlink 10" xfId="1221" xr:uid="{00000000-0005-0000-0000-00008E050000}"/>
    <cellStyle name="Hyperlink 11" xfId="1222" xr:uid="{00000000-0005-0000-0000-00008F050000}"/>
    <cellStyle name="Hyperlink 12" xfId="1223" xr:uid="{00000000-0005-0000-0000-000090050000}"/>
    <cellStyle name="Hyperlink 13" xfId="1224" xr:uid="{00000000-0005-0000-0000-000091050000}"/>
    <cellStyle name="Hyperlink 14" xfId="1225" xr:uid="{00000000-0005-0000-0000-000092050000}"/>
    <cellStyle name="Hyperlink 15" xfId="1226" xr:uid="{00000000-0005-0000-0000-000093050000}"/>
    <cellStyle name="Hyperlink 16" xfId="1227" xr:uid="{00000000-0005-0000-0000-000094050000}"/>
    <cellStyle name="Hyperlink 17" xfId="1228" xr:uid="{00000000-0005-0000-0000-000095050000}"/>
    <cellStyle name="Hyperlink 18" xfId="1229" xr:uid="{00000000-0005-0000-0000-000096050000}"/>
    <cellStyle name="Hyperlink 19" xfId="1230" xr:uid="{00000000-0005-0000-0000-000097050000}"/>
    <cellStyle name="Hyperlink 2" xfId="1231" xr:uid="{00000000-0005-0000-0000-000098050000}"/>
    <cellStyle name="Hyperlink 20" xfId="1232" xr:uid="{00000000-0005-0000-0000-000099050000}"/>
    <cellStyle name="Hyperlink 21" xfId="1233" xr:uid="{00000000-0005-0000-0000-00009A050000}"/>
    <cellStyle name="Hyperlink 22" xfId="1234" xr:uid="{00000000-0005-0000-0000-00009B050000}"/>
    <cellStyle name="Hyperlink 23" xfId="1235" xr:uid="{00000000-0005-0000-0000-00009C050000}"/>
    <cellStyle name="Hyperlink 24" xfId="1236" xr:uid="{00000000-0005-0000-0000-00009D050000}"/>
    <cellStyle name="Hyperlink 25" xfId="1237" xr:uid="{00000000-0005-0000-0000-00009E050000}"/>
    <cellStyle name="Hyperlink 26" xfId="1238" xr:uid="{00000000-0005-0000-0000-00009F050000}"/>
    <cellStyle name="Hyperlink 27" xfId="1239" xr:uid="{00000000-0005-0000-0000-0000A0050000}"/>
    <cellStyle name="Hyperlink 28" xfId="1240" xr:uid="{00000000-0005-0000-0000-0000A1050000}"/>
    <cellStyle name="Hyperlink 29" xfId="1241" xr:uid="{00000000-0005-0000-0000-0000A2050000}"/>
    <cellStyle name="Hyperlink 3" xfId="1242" xr:uid="{00000000-0005-0000-0000-0000A3050000}"/>
    <cellStyle name="Hyperlink 30" xfId="1243" xr:uid="{00000000-0005-0000-0000-0000A4050000}"/>
    <cellStyle name="Hyperlink 31" xfId="1244" xr:uid="{00000000-0005-0000-0000-0000A5050000}"/>
    <cellStyle name="Hyperlink 32" xfId="1245" xr:uid="{00000000-0005-0000-0000-0000A6050000}"/>
    <cellStyle name="Hyperlink 33" xfId="1246" xr:uid="{00000000-0005-0000-0000-0000A7050000}"/>
    <cellStyle name="Hyperlink 34" xfId="1247" xr:uid="{00000000-0005-0000-0000-0000A8050000}"/>
    <cellStyle name="Hyperlink 35" xfId="1248" xr:uid="{00000000-0005-0000-0000-0000A9050000}"/>
    <cellStyle name="Hyperlink 36" xfId="1249" xr:uid="{00000000-0005-0000-0000-0000AA050000}"/>
    <cellStyle name="Hyperlink 37" xfId="1250" xr:uid="{00000000-0005-0000-0000-0000AB050000}"/>
    <cellStyle name="Hyperlink 38" xfId="1251" xr:uid="{00000000-0005-0000-0000-0000AC050000}"/>
    <cellStyle name="Hyperlink 39" xfId="1252" xr:uid="{00000000-0005-0000-0000-0000AD050000}"/>
    <cellStyle name="Hyperlink 4" xfId="1253" xr:uid="{00000000-0005-0000-0000-0000AE050000}"/>
    <cellStyle name="Hyperlink 40" xfId="1254" xr:uid="{00000000-0005-0000-0000-0000AF050000}"/>
    <cellStyle name="Hyperlink 41" xfId="1255" xr:uid="{00000000-0005-0000-0000-0000B0050000}"/>
    <cellStyle name="Hyperlink 42" xfId="1256" xr:uid="{00000000-0005-0000-0000-0000B1050000}"/>
    <cellStyle name="Hyperlink 43" xfId="1257" xr:uid="{00000000-0005-0000-0000-0000B2050000}"/>
    <cellStyle name="Hyperlink 5" xfId="1258" xr:uid="{00000000-0005-0000-0000-0000B3050000}"/>
    <cellStyle name="Hyperlink 6" xfId="1259" xr:uid="{00000000-0005-0000-0000-0000B4050000}"/>
    <cellStyle name="Hyperlink 7" xfId="1260" xr:uid="{00000000-0005-0000-0000-0000B5050000}"/>
    <cellStyle name="Hyperlink 8" xfId="1261" xr:uid="{00000000-0005-0000-0000-0000B6050000}"/>
    <cellStyle name="Hyperlink 9" xfId="1262" xr:uid="{00000000-0005-0000-0000-0000B7050000}"/>
    <cellStyle name="Input" xfId="35" builtinId="20" customBuiltin="1"/>
    <cellStyle name="Input [yellow]" xfId="1263" xr:uid="{00000000-0005-0000-0000-0000B9050000}"/>
    <cellStyle name="Input [yellow] 2" xfId="1264" xr:uid="{00000000-0005-0000-0000-0000BA050000}"/>
    <cellStyle name="Input [yellow] 2 2" xfId="2433" xr:uid="{00000000-0005-0000-0000-0000BB050000}"/>
    <cellStyle name="Input [yellow] 3" xfId="2432" xr:uid="{00000000-0005-0000-0000-0000BC050000}"/>
    <cellStyle name="Input 2" xfId="1265" xr:uid="{00000000-0005-0000-0000-0000BD050000}"/>
    <cellStyle name="KAGE" xfId="1266" xr:uid="{00000000-0005-0000-0000-0000BE050000}"/>
    <cellStyle name="kcal/h" xfId="1267" xr:uid="{00000000-0005-0000-0000-0000BF050000}"/>
    <cellStyle name="kg/h" xfId="1268" xr:uid="{00000000-0005-0000-0000-0000C0050000}"/>
    <cellStyle name="kg/h 2" xfId="2434" xr:uid="{00000000-0005-0000-0000-0000C1050000}"/>
    <cellStyle name="kg/h/대" xfId="1269" xr:uid="{00000000-0005-0000-0000-0000C2050000}"/>
    <cellStyle name="kg/h/대 2" xfId="2435" xr:uid="{00000000-0005-0000-0000-0000C3050000}"/>
    <cellStyle name="kg/대" xfId="1270" xr:uid="{00000000-0005-0000-0000-0000C4050000}"/>
    <cellStyle name="kg/대 2" xfId="2436" xr:uid="{00000000-0005-0000-0000-0000C5050000}"/>
    <cellStyle name="khanh" xfId="1272" xr:uid="{00000000-0005-0000-0000-0000C6050000}"/>
    <cellStyle name="KW/대" xfId="1271" xr:uid="{00000000-0005-0000-0000-0000C7050000}"/>
    <cellStyle name="KW/대 2" xfId="2437" xr:uid="{00000000-0005-0000-0000-0000C8050000}"/>
    <cellStyle name="L`" xfId="1273" xr:uid="{00000000-0005-0000-0000-0000C9050000}"/>
    <cellStyle name="Link Currency (0)" xfId="1274" xr:uid="{00000000-0005-0000-0000-0000CA050000}"/>
    <cellStyle name="Link Currency (2)" xfId="1275" xr:uid="{00000000-0005-0000-0000-0000CB050000}"/>
    <cellStyle name="Link Units (0)" xfId="1276" xr:uid="{00000000-0005-0000-0000-0000CC050000}"/>
    <cellStyle name="Link Units (1)" xfId="1277" xr:uid="{00000000-0005-0000-0000-0000CD050000}"/>
    <cellStyle name="Link Units (2)" xfId="1278" xr:uid="{00000000-0005-0000-0000-0000CE050000}"/>
    <cellStyle name="Linked Cell" xfId="36" builtinId="24" customBuiltin="1"/>
    <cellStyle name="Linked Cell 2" xfId="1279" xr:uid="{00000000-0005-0000-0000-0000D0050000}"/>
    <cellStyle name="m" xfId="1280" xr:uid="{00000000-0005-0000-0000-0000D1050000}"/>
    <cellStyle name="m_01)보일러" xfId="1281" xr:uid="{00000000-0005-0000-0000-0000D2050000}"/>
    <cellStyle name="m_02)터빈발전기" xfId="1282" xr:uid="{00000000-0005-0000-0000-0000D3050000}"/>
    <cellStyle name="m_03)급복수계통" xfId="1283" xr:uid="{00000000-0005-0000-0000-0000D4050000}"/>
    <cellStyle name="m_04)냉각수계통" xfId="1284" xr:uid="{00000000-0005-0000-0000-0000D5050000}"/>
    <cellStyle name="m_05)도장공사" xfId="1285" xr:uid="{00000000-0005-0000-0000-0000D6050000}"/>
    <cellStyle name="m_06)공용1차" xfId="1286" xr:uid="{00000000-0005-0000-0000-0000D7050000}"/>
    <cellStyle name="m_07)배관1차" xfId="1287" xr:uid="{00000000-0005-0000-0000-0000D8050000}"/>
    <cellStyle name="m_08)배관2차" xfId="1288" xr:uid="{00000000-0005-0000-0000-0000D9050000}"/>
    <cellStyle name="m_09)보온공사" xfId="1289" xr:uid="{00000000-0005-0000-0000-0000DA050000}"/>
    <cellStyle name="m_10)공용2차" xfId="1290" xr:uid="{00000000-0005-0000-0000-0000DB050000}"/>
    <cellStyle name="m_99)적용률" xfId="1291" xr:uid="{00000000-0005-0000-0000-0000DC050000}"/>
    <cellStyle name="m_내부결재용4" xfId="1292" xr:uid="{00000000-0005-0000-0000-0000DD050000}"/>
    <cellStyle name="m3/대" xfId="1293" xr:uid="{00000000-0005-0000-0000-0000DE050000}"/>
    <cellStyle name="m3/대 2" xfId="2438" xr:uid="{00000000-0005-0000-0000-0000DF050000}"/>
    <cellStyle name="Main-item" xfId="1294" xr:uid="{00000000-0005-0000-0000-0000E0050000}"/>
    <cellStyle name="Main-item 2" xfId="2439" xr:uid="{00000000-0005-0000-0000-0000E1050000}"/>
    <cellStyle name="Millares [0]_PERSONAL" xfId="1295" xr:uid="{00000000-0005-0000-0000-0000E2050000}"/>
    <cellStyle name="Millares_PERSONAL" xfId="1296" xr:uid="{00000000-0005-0000-0000-0000E3050000}"/>
    <cellStyle name="Milliers [0]_BOQ buildings furniture" xfId="1297" xr:uid="{00000000-0005-0000-0000-0000E4050000}"/>
    <cellStyle name="Milliers_BOQ buildings furniture" xfId="1298" xr:uid="{00000000-0005-0000-0000-0000E5050000}"/>
    <cellStyle name="mm" xfId="1299" xr:uid="{00000000-0005-0000-0000-0000E6050000}"/>
    <cellStyle name="mmaryInformation" xfId="1300" xr:uid="{00000000-0005-0000-0000-0000E7050000}"/>
    <cellStyle name="Model" xfId="1301" xr:uid="{00000000-0005-0000-0000-0000E8050000}"/>
    <cellStyle name="moi" xfId="1302" xr:uid="{00000000-0005-0000-0000-0000E9050000}"/>
    <cellStyle name="moi 2" xfId="2440" xr:uid="{00000000-0005-0000-0000-0000EA050000}"/>
    <cellStyle name="Moneda [0]_CONTENCION CONDELL 25.051" xfId="1303" xr:uid="{00000000-0005-0000-0000-0000EB050000}"/>
    <cellStyle name="Moneda_CONTENCION CONDELL 25.051" xfId="1304" xr:uid="{00000000-0005-0000-0000-0000EC050000}"/>
    <cellStyle name="Monétaire [0]_BOQ buildings furniture" xfId="1305" xr:uid="{00000000-0005-0000-0000-0000ED050000}"/>
    <cellStyle name="Monétaire_BOQ buildings furniture" xfId="1306" xr:uid="{00000000-0005-0000-0000-0000EE050000}"/>
    <cellStyle name="MW" xfId="1307" xr:uid="{00000000-0005-0000-0000-0000EF050000}"/>
    <cellStyle name="MW 2" xfId="2441" xr:uid="{00000000-0005-0000-0000-0000F0050000}"/>
    <cellStyle name="n" xfId="1308" xr:uid="{00000000-0005-0000-0000-0000F1050000}"/>
    <cellStyle name="Neutral" xfId="37" builtinId="28" customBuiltin="1"/>
    <cellStyle name="Neutral 2" xfId="1309" xr:uid="{00000000-0005-0000-0000-0000F3050000}"/>
    <cellStyle name="Neutral 3" xfId="2726" xr:uid="{00000000-0005-0000-0000-0000F4050000}"/>
    <cellStyle name="New Times Roman" xfId="1310" xr:uid="{00000000-0005-0000-0000-0000F5050000}"/>
    <cellStyle name="no dec" xfId="1311" xr:uid="{00000000-0005-0000-0000-0000F6050000}"/>
    <cellStyle name="Normal" xfId="0" builtinId="0" customBuiltin="1"/>
    <cellStyle name="Normal - Style1" xfId="1312" xr:uid="{00000000-0005-0000-0000-0000F8050000}"/>
    <cellStyle name="Normal - Style1 2" xfId="1313" xr:uid="{00000000-0005-0000-0000-0000F9050000}"/>
    <cellStyle name="Normal - Style2" xfId="1314" xr:uid="{00000000-0005-0000-0000-0000FA050000}"/>
    <cellStyle name="Normal - Style3" xfId="1315" xr:uid="{00000000-0005-0000-0000-0000FB050000}"/>
    <cellStyle name="Normal - Style4" xfId="1316" xr:uid="{00000000-0005-0000-0000-0000FC050000}"/>
    <cellStyle name="Normal - Style5" xfId="1317" xr:uid="{00000000-0005-0000-0000-0000FD050000}"/>
    <cellStyle name="Normal - Style6" xfId="1318" xr:uid="{00000000-0005-0000-0000-0000FE050000}"/>
    <cellStyle name="Normal - Style7" xfId="1319" xr:uid="{00000000-0005-0000-0000-0000FF050000}"/>
    <cellStyle name="Normal - Style8" xfId="1320" xr:uid="{00000000-0005-0000-0000-000000060000}"/>
    <cellStyle name="Normal - 유형1" xfId="1321" xr:uid="{00000000-0005-0000-0000-000001060000}"/>
    <cellStyle name="Normal - 유형2" xfId="1322" xr:uid="{00000000-0005-0000-0000-000002060000}"/>
    <cellStyle name="Normal - 유형3" xfId="1323" xr:uid="{00000000-0005-0000-0000-000003060000}"/>
    <cellStyle name="Normal - 유형4" xfId="1324" xr:uid="{00000000-0005-0000-0000-000004060000}"/>
    <cellStyle name="Normal - 유형5" xfId="1325" xr:uid="{00000000-0005-0000-0000-000005060000}"/>
    <cellStyle name="Normal - 유형6" xfId="1326" xr:uid="{00000000-0005-0000-0000-000006060000}"/>
    <cellStyle name="Normal - 유형7" xfId="1327" xr:uid="{00000000-0005-0000-0000-000007060000}"/>
    <cellStyle name="Normal - 유형8" xfId="1328" xr:uid="{00000000-0005-0000-0000-000008060000}"/>
    <cellStyle name="Normal 10" xfId="1329" xr:uid="{00000000-0005-0000-0000-000009060000}"/>
    <cellStyle name="Normal 10 2" xfId="1330" xr:uid="{00000000-0005-0000-0000-00000A060000}"/>
    <cellStyle name="Normal 10 2 2" xfId="1331" xr:uid="{00000000-0005-0000-0000-00000B060000}"/>
    <cellStyle name="Normal 10 3" xfId="1332" xr:uid="{00000000-0005-0000-0000-00000C060000}"/>
    <cellStyle name="Normal 11" xfId="1333" xr:uid="{00000000-0005-0000-0000-00000D060000}"/>
    <cellStyle name="Normal 11 2" xfId="1334" xr:uid="{00000000-0005-0000-0000-00000E060000}"/>
    <cellStyle name="Normal 11 2 2" xfId="1335" xr:uid="{00000000-0005-0000-0000-00000F060000}"/>
    <cellStyle name="Normal 11 3" xfId="1336" xr:uid="{00000000-0005-0000-0000-000010060000}"/>
    <cellStyle name="Normal 12" xfId="1337" xr:uid="{00000000-0005-0000-0000-000011060000}"/>
    <cellStyle name="Normal 12 2" xfId="1338" xr:uid="{00000000-0005-0000-0000-000012060000}"/>
    <cellStyle name="Normal 12 2 2" xfId="1339" xr:uid="{00000000-0005-0000-0000-000013060000}"/>
    <cellStyle name="Normal 12 3" xfId="1340" xr:uid="{00000000-0005-0000-0000-000014060000}"/>
    <cellStyle name="Normal 13" xfId="1341" xr:uid="{00000000-0005-0000-0000-000015060000}"/>
    <cellStyle name="Normal 13 2" xfId="1342" xr:uid="{00000000-0005-0000-0000-000016060000}"/>
    <cellStyle name="Normal 13 2 2" xfId="1343" xr:uid="{00000000-0005-0000-0000-000017060000}"/>
    <cellStyle name="Normal 13 3" xfId="1344" xr:uid="{00000000-0005-0000-0000-000018060000}"/>
    <cellStyle name="Normal 14" xfId="1345" xr:uid="{00000000-0005-0000-0000-000019060000}"/>
    <cellStyle name="Normal 14 2" xfId="1346" xr:uid="{00000000-0005-0000-0000-00001A060000}"/>
    <cellStyle name="Normal 14 2 2" xfId="1347" xr:uid="{00000000-0005-0000-0000-00001B060000}"/>
    <cellStyle name="Normal 14 3" xfId="1348" xr:uid="{00000000-0005-0000-0000-00001C060000}"/>
    <cellStyle name="Normal 15" xfId="1349" xr:uid="{00000000-0005-0000-0000-00001D060000}"/>
    <cellStyle name="Normal 15 2" xfId="1350" xr:uid="{00000000-0005-0000-0000-00001E060000}"/>
    <cellStyle name="Normal 15 2 2" xfId="1351" xr:uid="{00000000-0005-0000-0000-00001F060000}"/>
    <cellStyle name="Normal 15 3" xfId="1352" xr:uid="{00000000-0005-0000-0000-000020060000}"/>
    <cellStyle name="Normal 16" xfId="1353" xr:uid="{00000000-0005-0000-0000-000021060000}"/>
    <cellStyle name="Normal 16 2" xfId="1354" xr:uid="{00000000-0005-0000-0000-000022060000}"/>
    <cellStyle name="Normal 17" xfId="1355" xr:uid="{00000000-0005-0000-0000-000023060000}"/>
    <cellStyle name="Normal 17 2" xfId="1356" xr:uid="{00000000-0005-0000-0000-000024060000}"/>
    <cellStyle name="Normal 18" xfId="1357" xr:uid="{00000000-0005-0000-0000-000025060000}"/>
    <cellStyle name="Normal 18 2" xfId="1358" xr:uid="{00000000-0005-0000-0000-000026060000}"/>
    <cellStyle name="Normal 19" xfId="1359" xr:uid="{00000000-0005-0000-0000-000027060000}"/>
    <cellStyle name="Normal 19 2" xfId="1360" xr:uid="{00000000-0005-0000-0000-000028060000}"/>
    <cellStyle name="Normal 19 2 2" xfId="2682" xr:uid="{00000000-0005-0000-0000-000029060000}"/>
    <cellStyle name="Normal 19 3" xfId="2681" xr:uid="{00000000-0005-0000-0000-00002A060000}"/>
    <cellStyle name="Normal 2" xfId="43" xr:uid="{00000000-0005-0000-0000-00002B060000}"/>
    <cellStyle name="Normal 2 2" xfId="1361" xr:uid="{00000000-0005-0000-0000-00002C060000}"/>
    <cellStyle name="Normal 2 2 2" xfId="1362" xr:uid="{00000000-0005-0000-0000-00002D060000}"/>
    <cellStyle name="Normal 2 2 2 2" xfId="2683" xr:uid="{00000000-0005-0000-0000-00002E060000}"/>
    <cellStyle name="Normal 2 2 2 6" xfId="1363" xr:uid="{00000000-0005-0000-0000-00002F060000}"/>
    <cellStyle name="Normal 2 2 3" xfId="1364" xr:uid="{00000000-0005-0000-0000-000030060000}"/>
    <cellStyle name="Normal 2 3" xfId="1365" xr:uid="{00000000-0005-0000-0000-000031060000}"/>
    <cellStyle name="Normal 2 4" xfId="68" xr:uid="{00000000-0005-0000-0000-000032060000}"/>
    <cellStyle name="Normal 2_PC Report 18.02" xfId="1366" xr:uid="{00000000-0005-0000-0000-000033060000}"/>
    <cellStyle name="Normal 20" xfId="1367" xr:uid="{00000000-0005-0000-0000-000034060000}"/>
    <cellStyle name="Normal 21" xfId="1368" xr:uid="{00000000-0005-0000-0000-000035060000}"/>
    <cellStyle name="Normal 21 2" xfId="1369" xr:uid="{00000000-0005-0000-0000-000036060000}"/>
    <cellStyle name="Normal 22" xfId="1370" xr:uid="{00000000-0005-0000-0000-000037060000}"/>
    <cellStyle name="Normal 22 2" xfId="1371" xr:uid="{00000000-0005-0000-0000-000038060000}"/>
    <cellStyle name="Normal 23" xfId="1372" xr:uid="{00000000-0005-0000-0000-000039060000}"/>
    <cellStyle name="Normal 23 2" xfId="1373" xr:uid="{00000000-0005-0000-0000-00003A060000}"/>
    <cellStyle name="Normal 23 2 2" xfId="2685" xr:uid="{00000000-0005-0000-0000-00003B060000}"/>
    <cellStyle name="Normal 23 3" xfId="2684" xr:uid="{00000000-0005-0000-0000-00003C060000}"/>
    <cellStyle name="Normal 24" xfId="1374" xr:uid="{00000000-0005-0000-0000-00003D060000}"/>
    <cellStyle name="Normal 24 2" xfId="1375" xr:uid="{00000000-0005-0000-0000-00003E060000}"/>
    <cellStyle name="Normal 25" xfId="1376" xr:uid="{00000000-0005-0000-0000-00003F060000}"/>
    <cellStyle name="Normal 25 2" xfId="1377" xr:uid="{00000000-0005-0000-0000-000040060000}"/>
    <cellStyle name="Normal 26" xfId="1378" xr:uid="{00000000-0005-0000-0000-000041060000}"/>
    <cellStyle name="Normal 26 2" xfId="1379" xr:uid="{00000000-0005-0000-0000-000042060000}"/>
    <cellStyle name="Normal 27" xfId="1380" xr:uid="{00000000-0005-0000-0000-000043060000}"/>
    <cellStyle name="Normal 27 2" xfId="1381" xr:uid="{00000000-0005-0000-0000-000044060000}"/>
    <cellStyle name="Normal 28" xfId="1382" xr:uid="{00000000-0005-0000-0000-000045060000}"/>
    <cellStyle name="Normal 28 2" xfId="1383" xr:uid="{00000000-0005-0000-0000-000046060000}"/>
    <cellStyle name="Normal 29" xfId="1384" xr:uid="{00000000-0005-0000-0000-000047060000}"/>
    <cellStyle name="Normal 29 2" xfId="1385" xr:uid="{00000000-0005-0000-0000-000048060000}"/>
    <cellStyle name="Normal 3" xfId="44" xr:uid="{00000000-0005-0000-0000-000049060000}"/>
    <cellStyle name="Normal 3 2" xfId="1386" xr:uid="{00000000-0005-0000-0000-00004A060000}"/>
    <cellStyle name="Normal 3 2 2" xfId="1387" xr:uid="{00000000-0005-0000-0000-00004B060000}"/>
    <cellStyle name="Normal 3 2 2 2" xfId="2687" xr:uid="{00000000-0005-0000-0000-00004C060000}"/>
    <cellStyle name="Normal 3 2 3" xfId="2686" xr:uid="{00000000-0005-0000-0000-00004D060000}"/>
    <cellStyle name="Normal 3 3" xfId="1388" xr:uid="{00000000-0005-0000-0000-00004E060000}"/>
    <cellStyle name="Normal 3 3 2" xfId="2688" xr:uid="{00000000-0005-0000-0000-00004F060000}"/>
    <cellStyle name="Normal 3 4" xfId="1389" xr:uid="{00000000-0005-0000-0000-000050060000}"/>
    <cellStyle name="Normal 30" xfId="1390" xr:uid="{00000000-0005-0000-0000-000051060000}"/>
    <cellStyle name="Normal 30 2" xfId="1391" xr:uid="{00000000-0005-0000-0000-000052060000}"/>
    <cellStyle name="Normal 30 2 2" xfId="2690" xr:uid="{00000000-0005-0000-0000-000053060000}"/>
    <cellStyle name="Normal 30 3" xfId="2689" xr:uid="{00000000-0005-0000-0000-000054060000}"/>
    <cellStyle name="Normal 31" xfId="1392" xr:uid="{00000000-0005-0000-0000-000055060000}"/>
    <cellStyle name="Normal 31 2" xfId="1393" xr:uid="{00000000-0005-0000-0000-000056060000}"/>
    <cellStyle name="Normal 32" xfId="1394" xr:uid="{00000000-0005-0000-0000-000057060000}"/>
    <cellStyle name="Normal 32 2" xfId="1395" xr:uid="{00000000-0005-0000-0000-000058060000}"/>
    <cellStyle name="Normal 33" xfId="1396" xr:uid="{00000000-0005-0000-0000-000059060000}"/>
    <cellStyle name="Normal 33 2" xfId="1397" xr:uid="{00000000-0005-0000-0000-00005A060000}"/>
    <cellStyle name="Normal 34" xfId="1398" xr:uid="{00000000-0005-0000-0000-00005B060000}"/>
    <cellStyle name="Normal 35" xfId="1399" xr:uid="{00000000-0005-0000-0000-00005C060000}"/>
    <cellStyle name="Normal 35 2" xfId="1400" xr:uid="{00000000-0005-0000-0000-00005D060000}"/>
    <cellStyle name="Normal 35 2 2" xfId="2692" xr:uid="{00000000-0005-0000-0000-00005E060000}"/>
    <cellStyle name="Normal 35 3" xfId="2691" xr:uid="{00000000-0005-0000-0000-00005F060000}"/>
    <cellStyle name="Normal 36" xfId="1401" xr:uid="{00000000-0005-0000-0000-000060060000}"/>
    <cellStyle name="Normal 37" xfId="1402" xr:uid="{00000000-0005-0000-0000-000061060000}"/>
    <cellStyle name="Normal 37 2" xfId="1403" xr:uid="{00000000-0005-0000-0000-000062060000}"/>
    <cellStyle name="Normal 37 2 2" xfId="1404" xr:uid="{00000000-0005-0000-0000-000063060000}"/>
    <cellStyle name="Normal 37 2 2 2" xfId="2695" xr:uid="{00000000-0005-0000-0000-000064060000}"/>
    <cellStyle name="Normal 37 2 3" xfId="2694" xr:uid="{00000000-0005-0000-0000-000065060000}"/>
    <cellStyle name="Normal 37 3" xfId="1405" xr:uid="{00000000-0005-0000-0000-000066060000}"/>
    <cellStyle name="Normal 37 3 2" xfId="2696" xr:uid="{00000000-0005-0000-0000-000067060000}"/>
    <cellStyle name="Normal 37 4" xfId="2693" xr:uid="{00000000-0005-0000-0000-000068060000}"/>
    <cellStyle name="Normal 38" xfId="1406" xr:uid="{00000000-0005-0000-0000-000069060000}"/>
    <cellStyle name="Normal 39" xfId="1407" xr:uid="{00000000-0005-0000-0000-00006A060000}"/>
    <cellStyle name="Normal 4" xfId="113" xr:uid="{00000000-0005-0000-0000-00006B060000}"/>
    <cellStyle name="Normal 4 2" xfId="1408" xr:uid="{00000000-0005-0000-0000-00006C060000}"/>
    <cellStyle name="Normal 4 2 2" xfId="1409" xr:uid="{00000000-0005-0000-0000-00006D060000}"/>
    <cellStyle name="Normal 4 2 2 2" xfId="2697" xr:uid="{00000000-0005-0000-0000-00006E060000}"/>
    <cellStyle name="Normal 4 3" xfId="1410" xr:uid="{00000000-0005-0000-0000-00006F060000}"/>
    <cellStyle name="Normal 4 3 2" xfId="2698" xr:uid="{00000000-0005-0000-0000-000070060000}"/>
    <cellStyle name="Normal 4 4" xfId="1411" xr:uid="{00000000-0005-0000-0000-000071060000}"/>
    <cellStyle name="Normal 4 4 2" xfId="2699" xr:uid="{00000000-0005-0000-0000-000072060000}"/>
    <cellStyle name="Normal 40" xfId="1412" xr:uid="{00000000-0005-0000-0000-000073060000}"/>
    <cellStyle name="Normal 41" xfId="1413" xr:uid="{00000000-0005-0000-0000-000074060000}"/>
    <cellStyle name="Normal 42" xfId="1414" xr:uid="{00000000-0005-0000-0000-000075060000}"/>
    <cellStyle name="Normal 43" xfId="1415" xr:uid="{00000000-0005-0000-0000-000076060000}"/>
    <cellStyle name="Normal 44" xfId="1416" xr:uid="{00000000-0005-0000-0000-000077060000}"/>
    <cellStyle name="Normal 45" xfId="1417" xr:uid="{00000000-0005-0000-0000-000078060000}"/>
    <cellStyle name="Normal 46" xfId="1418" xr:uid="{00000000-0005-0000-0000-000079060000}"/>
    <cellStyle name="Normal 47" xfId="1419" xr:uid="{00000000-0005-0000-0000-00007A060000}"/>
    <cellStyle name="Normal 48" xfId="1420" xr:uid="{00000000-0005-0000-0000-00007B060000}"/>
    <cellStyle name="Normal 49" xfId="1421" xr:uid="{00000000-0005-0000-0000-00007C060000}"/>
    <cellStyle name="Normal 5" xfId="69" xr:uid="{00000000-0005-0000-0000-00007D060000}"/>
    <cellStyle name="Normal 5 2" xfId="1422" xr:uid="{00000000-0005-0000-0000-00007E060000}"/>
    <cellStyle name="Normal 5 2 2" xfId="2700" xr:uid="{00000000-0005-0000-0000-00007F060000}"/>
    <cellStyle name="Normal 5 3" xfId="123" xr:uid="{00000000-0005-0000-0000-000080060000}"/>
    <cellStyle name="Normal 50" xfId="1423" xr:uid="{00000000-0005-0000-0000-000081060000}"/>
    <cellStyle name="Normal 51" xfId="1424" xr:uid="{00000000-0005-0000-0000-000082060000}"/>
    <cellStyle name="Normal 52" xfId="1425" xr:uid="{00000000-0005-0000-0000-000083060000}"/>
    <cellStyle name="Normal 53" xfId="1426" xr:uid="{00000000-0005-0000-0000-000084060000}"/>
    <cellStyle name="Normal 54" xfId="1427" xr:uid="{00000000-0005-0000-0000-000085060000}"/>
    <cellStyle name="Normal 55" xfId="1428" xr:uid="{00000000-0005-0000-0000-000086060000}"/>
    <cellStyle name="Normal 56" xfId="1429" xr:uid="{00000000-0005-0000-0000-000087060000}"/>
    <cellStyle name="Normal 57" xfId="1430" xr:uid="{00000000-0005-0000-0000-000088060000}"/>
    <cellStyle name="Normal 58" xfId="1431" xr:uid="{00000000-0005-0000-0000-000089060000}"/>
    <cellStyle name="Normal 59" xfId="1432" xr:uid="{00000000-0005-0000-0000-00008A060000}"/>
    <cellStyle name="Normal 6" xfId="1433" xr:uid="{00000000-0005-0000-0000-00008B060000}"/>
    <cellStyle name="Normal 60" xfId="1434" xr:uid="{00000000-0005-0000-0000-00008C060000}"/>
    <cellStyle name="Normal 61" xfId="114" xr:uid="{00000000-0005-0000-0000-00008D060000}"/>
    <cellStyle name="Normal 62" xfId="115" xr:uid="{00000000-0005-0000-0000-00008E060000}"/>
    <cellStyle name="Normal 63" xfId="116" xr:uid="{00000000-0005-0000-0000-00008F060000}"/>
    <cellStyle name="Normal 64" xfId="1435" xr:uid="{00000000-0005-0000-0000-000090060000}"/>
    <cellStyle name="Normal 65" xfId="1436" xr:uid="{00000000-0005-0000-0000-000091060000}"/>
    <cellStyle name="Normal 66" xfId="1437" xr:uid="{00000000-0005-0000-0000-000092060000}"/>
    <cellStyle name="Normal 67" xfId="1438" xr:uid="{00000000-0005-0000-0000-000093060000}"/>
    <cellStyle name="Normal 68" xfId="1439" xr:uid="{00000000-0005-0000-0000-000094060000}"/>
    <cellStyle name="Normal 69" xfId="1440" xr:uid="{00000000-0005-0000-0000-000095060000}"/>
    <cellStyle name="Normal 7" xfId="1441" xr:uid="{00000000-0005-0000-0000-000096060000}"/>
    <cellStyle name="Normal 7 3" xfId="1442" xr:uid="{00000000-0005-0000-0000-000097060000}"/>
    <cellStyle name="Normal 70" xfId="1443" xr:uid="{00000000-0005-0000-0000-000098060000}"/>
    <cellStyle name="Normal 71" xfId="1444" xr:uid="{00000000-0005-0000-0000-000099060000}"/>
    <cellStyle name="Normal 72" xfId="1445" xr:uid="{00000000-0005-0000-0000-00009A060000}"/>
    <cellStyle name="Normal 73" xfId="1446" xr:uid="{00000000-0005-0000-0000-00009B060000}"/>
    <cellStyle name="Normal 74" xfId="1447" xr:uid="{00000000-0005-0000-0000-00009C060000}"/>
    <cellStyle name="Normal 75" xfId="1448" xr:uid="{00000000-0005-0000-0000-00009D060000}"/>
    <cellStyle name="Normal 76" xfId="1449" xr:uid="{00000000-0005-0000-0000-00009E060000}"/>
    <cellStyle name="Normal 77" xfId="1450" xr:uid="{00000000-0005-0000-0000-00009F060000}"/>
    <cellStyle name="Normal 78" xfId="1451" xr:uid="{00000000-0005-0000-0000-0000A0060000}"/>
    <cellStyle name="Normal 79" xfId="1452" xr:uid="{00000000-0005-0000-0000-0000A1060000}"/>
    <cellStyle name="Normal 8" xfId="1453" xr:uid="{00000000-0005-0000-0000-0000A2060000}"/>
    <cellStyle name="Normal 8 2" xfId="1454" xr:uid="{00000000-0005-0000-0000-0000A3060000}"/>
    <cellStyle name="Normal 8 3" xfId="1455" xr:uid="{00000000-0005-0000-0000-0000A4060000}"/>
    <cellStyle name="Normal 8 3 2" xfId="1456" xr:uid="{00000000-0005-0000-0000-0000A5060000}"/>
    <cellStyle name="Normal 8 4" xfId="1457" xr:uid="{00000000-0005-0000-0000-0000A6060000}"/>
    <cellStyle name="Normal 80" xfId="1458" xr:uid="{00000000-0005-0000-0000-0000A7060000}"/>
    <cellStyle name="Normal 81" xfId="1459" xr:uid="{00000000-0005-0000-0000-0000A8060000}"/>
    <cellStyle name="Normal 82" xfId="1460" xr:uid="{00000000-0005-0000-0000-0000A9060000}"/>
    <cellStyle name="Normal 83" xfId="1461" xr:uid="{00000000-0005-0000-0000-0000AA060000}"/>
    <cellStyle name="Normal 84" xfId="117" xr:uid="{00000000-0005-0000-0000-0000AB060000}"/>
    <cellStyle name="Normal 85" xfId="118" xr:uid="{00000000-0005-0000-0000-0000AC060000}"/>
    <cellStyle name="Normal 86" xfId="1462" xr:uid="{00000000-0005-0000-0000-0000AD060000}"/>
    <cellStyle name="Normal 87" xfId="1463" xr:uid="{00000000-0005-0000-0000-0000AE060000}"/>
    <cellStyle name="Normal 87 2" xfId="1464" xr:uid="{00000000-0005-0000-0000-0000AF060000}"/>
    <cellStyle name="Normal 88" xfId="1465" xr:uid="{00000000-0005-0000-0000-0000B0060000}"/>
    <cellStyle name="Normal 89" xfId="1466" xr:uid="{00000000-0005-0000-0000-0000B1060000}"/>
    <cellStyle name="Normal 9" xfId="1467" xr:uid="{00000000-0005-0000-0000-0000B2060000}"/>
    <cellStyle name="Normal 9 2" xfId="1468" xr:uid="{00000000-0005-0000-0000-0000B3060000}"/>
    <cellStyle name="Normal 9 2 2" xfId="1469" xr:uid="{00000000-0005-0000-0000-0000B4060000}"/>
    <cellStyle name="Normal 9 3" xfId="1470" xr:uid="{00000000-0005-0000-0000-0000B5060000}"/>
    <cellStyle name="Normal 90" xfId="65" xr:uid="{00000000-0005-0000-0000-0000B6060000}"/>
    <cellStyle name="Normal 91" xfId="2728" xr:uid="{00000000-0005-0000-0000-0000B7060000}"/>
    <cellStyle name="Normal 92" xfId="2729" xr:uid="{00000000-0005-0000-0000-0000B8060000}"/>
    <cellStyle name="Normal 93" xfId="2730" xr:uid="{00000000-0005-0000-0000-0000B9060000}"/>
    <cellStyle name="Normal 94" xfId="2731" xr:uid="{00000000-0005-0000-0000-0000BA060000}"/>
    <cellStyle name="Normal1" xfId="1471" xr:uid="{00000000-0005-0000-0000-0000BB060000}"/>
    <cellStyle name="Normal2" xfId="1472" xr:uid="{00000000-0005-0000-0000-0000BC060000}"/>
    <cellStyle name="Normal3" xfId="1473" xr:uid="{00000000-0005-0000-0000-0000BD060000}"/>
    <cellStyle name="Normal4" xfId="1474" xr:uid="{00000000-0005-0000-0000-0000BE060000}"/>
    <cellStyle name="Normale_BILL" xfId="1475" xr:uid="{00000000-0005-0000-0000-0000BF060000}"/>
    <cellStyle name="Normalny_Cennik obowiazuje od 06-08-2001 r (1)" xfId="1476" xr:uid="{00000000-0005-0000-0000-0000C0060000}"/>
    <cellStyle name="Note" xfId="38" builtinId="10" customBuiltin="1"/>
    <cellStyle name="Note 2" xfId="1477" xr:uid="{00000000-0005-0000-0000-0000C2060000}"/>
    <cellStyle name="Note 2 2" xfId="1478" xr:uid="{00000000-0005-0000-0000-0000C3060000}"/>
    <cellStyle name="Note 2 2 2" xfId="2702" xr:uid="{00000000-0005-0000-0000-0000C4060000}"/>
    <cellStyle name="Note 2 3" xfId="2701" xr:uid="{00000000-0005-0000-0000-0000C5060000}"/>
    <cellStyle name="Note 3" xfId="1479" xr:uid="{00000000-0005-0000-0000-0000C6060000}"/>
    <cellStyle name="Note 3 2" xfId="1480" xr:uid="{00000000-0005-0000-0000-0000C7060000}"/>
    <cellStyle name="Note 3 2 2" xfId="2704" xr:uid="{00000000-0005-0000-0000-0000C8060000}"/>
    <cellStyle name="Note 3 3" xfId="2703" xr:uid="{00000000-0005-0000-0000-0000C9060000}"/>
    <cellStyle name="Note 4" xfId="1481" xr:uid="{00000000-0005-0000-0000-0000CA060000}"/>
    <cellStyle name="Note 4 2" xfId="2705" xr:uid="{00000000-0005-0000-0000-0000CB060000}"/>
    <cellStyle name="Note 5" xfId="64" xr:uid="{00000000-0005-0000-0000-0000CC060000}"/>
    <cellStyle name="Note 5 2" xfId="2727" xr:uid="{00000000-0005-0000-0000-0000CD060000}"/>
    <cellStyle name="Note 6" xfId="2494" xr:uid="{00000000-0005-0000-0000-0000CE060000}"/>
    <cellStyle name="oft Excel]_x000d__x000a_Comment=open=/f ‚ðZw’è‚·‚é‚ÆAƒ†[ƒU[’è‹`ŠÖ”‚ðŠÖ”“\‚è•t‚¯‚Ìˆê——‚É“o˜^‚·‚é‚±‚Æ‚ª‚Å‚«‚Ü‚·B_x000d__x000a_Maximized" xfId="1482" xr:uid="{00000000-0005-0000-0000-0000CF060000}"/>
    <cellStyle name="oft Excel]_x000d__x000a_Comment=open=/f ‚ðŽw’è‚·‚é‚ÆAƒ†[ƒU[’è‹`ŠÖ”‚ðŠÖ”“\‚è•t‚¯‚Ìˆê——‚É“o˜^‚·‚é‚±‚Æ‚ª‚Å‚«‚Ü‚·B_x000d__x000a_Maximized" xfId="1483" xr:uid="{00000000-0005-0000-0000-0000D0060000}"/>
    <cellStyle name="Output" xfId="39" builtinId="21" customBuiltin="1"/>
    <cellStyle name="Output 2" xfId="1484" xr:uid="{00000000-0005-0000-0000-0000D2060000}"/>
    <cellStyle name="Percent" xfId="45" builtinId="5"/>
    <cellStyle name="Percent [0]" xfId="1485" xr:uid="{00000000-0005-0000-0000-0000D4060000}"/>
    <cellStyle name="Percent [00]" xfId="1486" xr:uid="{00000000-0005-0000-0000-0000D5060000}"/>
    <cellStyle name="Percent [2]" xfId="1487" xr:uid="{00000000-0005-0000-0000-0000D6060000}"/>
    <cellStyle name="Percent 2" xfId="119" xr:uid="{00000000-0005-0000-0000-0000D7060000}"/>
    <cellStyle name="Percent 2 2" xfId="1488" xr:uid="{00000000-0005-0000-0000-0000D8060000}"/>
    <cellStyle name="Percent 3" xfId="71" xr:uid="{00000000-0005-0000-0000-0000D9060000}"/>
    <cellStyle name="Percent 3 7" xfId="1489" xr:uid="{00000000-0005-0000-0000-0000DA060000}"/>
    <cellStyle name="Percent 4" xfId="67" xr:uid="{00000000-0005-0000-0000-0000DB060000}"/>
    <cellStyle name="Percent 5" xfId="2421" xr:uid="{00000000-0005-0000-0000-0000DC060000}"/>
    <cellStyle name="Percent 6" xfId="2496" xr:uid="{00000000-0005-0000-0000-0000DD060000}"/>
    <cellStyle name="Percent 7" xfId="2534" xr:uid="{00000000-0005-0000-0000-0000DE060000}"/>
    <cellStyle name="Percent 8" xfId="2733" xr:uid="{00000000-0005-0000-0000-0000DF060000}"/>
    <cellStyle name="PrePop Currency (0)" xfId="1490" xr:uid="{00000000-0005-0000-0000-0000E0060000}"/>
    <cellStyle name="PrePop Currency (2)" xfId="1491" xr:uid="{00000000-0005-0000-0000-0000E1060000}"/>
    <cellStyle name="PrePop Units (0)" xfId="1492" xr:uid="{00000000-0005-0000-0000-0000E2060000}"/>
    <cellStyle name="PrePop Units (1)" xfId="1493" xr:uid="{00000000-0005-0000-0000-0000E3060000}"/>
    <cellStyle name="PrePop Units (2)" xfId="1494" xr:uid="{00000000-0005-0000-0000-0000E4060000}"/>
    <cellStyle name="pricing" xfId="1495" xr:uid="{00000000-0005-0000-0000-0000E5060000}"/>
    <cellStyle name="PSChar" xfId="1496" xr:uid="{00000000-0005-0000-0000-0000E6060000}"/>
    <cellStyle name="PSHeading" xfId="1497" xr:uid="{00000000-0005-0000-0000-0000E7060000}"/>
    <cellStyle name="RevList" xfId="1498" xr:uid="{00000000-0005-0000-0000-0000E8060000}"/>
    <cellStyle name="s]_x000d__x000a_load=atikey32.exe_x000d__x000a_run=C:\HNC\HNCSVR32.EXE C:\V3\SYSMON32.EXE_x000d__x000a_NullPort=None_x000d__x000a_device=포스데이타 POS-LBP5100(PCL5/KS" xfId="1499" xr:uid="{00000000-0005-0000-0000-0000E9060000}"/>
    <cellStyle name="SAPBEXaggData" xfId="1500" xr:uid="{00000000-0005-0000-0000-0000EA060000}"/>
    <cellStyle name="SAPBEXaggData 2" xfId="2442" xr:uid="{00000000-0005-0000-0000-0000EB060000}"/>
    <cellStyle name="SAPBEXaggDataEmph" xfId="1501" xr:uid="{00000000-0005-0000-0000-0000EC060000}"/>
    <cellStyle name="SAPBEXaggDataEmph 2" xfId="2443" xr:uid="{00000000-0005-0000-0000-0000ED060000}"/>
    <cellStyle name="SAPBEXaggItem" xfId="1502" xr:uid="{00000000-0005-0000-0000-0000EE060000}"/>
    <cellStyle name="SAPBEXaggItem 2" xfId="2444" xr:uid="{00000000-0005-0000-0000-0000EF060000}"/>
    <cellStyle name="SAPBEXchaText" xfId="1503" xr:uid="{00000000-0005-0000-0000-0000F0060000}"/>
    <cellStyle name="SAPBEXexcBad7" xfId="1504" xr:uid="{00000000-0005-0000-0000-0000F1060000}"/>
    <cellStyle name="SAPBEXexcBad7 2" xfId="2445" xr:uid="{00000000-0005-0000-0000-0000F2060000}"/>
    <cellStyle name="SAPBEXexcBad8" xfId="1505" xr:uid="{00000000-0005-0000-0000-0000F3060000}"/>
    <cellStyle name="SAPBEXexcBad8 2" xfId="2446" xr:uid="{00000000-0005-0000-0000-0000F4060000}"/>
    <cellStyle name="SAPBEXexcBad9" xfId="1506" xr:uid="{00000000-0005-0000-0000-0000F5060000}"/>
    <cellStyle name="SAPBEXexcBad9 2" xfId="2447" xr:uid="{00000000-0005-0000-0000-0000F6060000}"/>
    <cellStyle name="SAPBEXexcCritical4" xfId="1507" xr:uid="{00000000-0005-0000-0000-0000F7060000}"/>
    <cellStyle name="SAPBEXexcCritical4 2" xfId="2448" xr:uid="{00000000-0005-0000-0000-0000F8060000}"/>
    <cellStyle name="SAPBEXexcCritical5" xfId="1508" xr:uid="{00000000-0005-0000-0000-0000F9060000}"/>
    <cellStyle name="SAPBEXexcCritical5 2" xfId="2449" xr:uid="{00000000-0005-0000-0000-0000FA060000}"/>
    <cellStyle name="SAPBEXexcCritical6" xfId="1509" xr:uid="{00000000-0005-0000-0000-0000FB060000}"/>
    <cellStyle name="SAPBEXexcCritical6 2" xfId="2450" xr:uid="{00000000-0005-0000-0000-0000FC060000}"/>
    <cellStyle name="SAPBEXexcGood1" xfId="1510" xr:uid="{00000000-0005-0000-0000-0000FD060000}"/>
    <cellStyle name="SAPBEXexcGood1 2" xfId="2451" xr:uid="{00000000-0005-0000-0000-0000FE060000}"/>
    <cellStyle name="SAPBEXexcGood2" xfId="1511" xr:uid="{00000000-0005-0000-0000-0000FF060000}"/>
    <cellStyle name="SAPBEXexcGood2 2" xfId="2452" xr:uid="{00000000-0005-0000-0000-000000070000}"/>
    <cellStyle name="SAPBEXexcGood3" xfId="1512" xr:uid="{00000000-0005-0000-0000-000001070000}"/>
    <cellStyle name="SAPBEXexcGood3 2" xfId="2453" xr:uid="{00000000-0005-0000-0000-000002070000}"/>
    <cellStyle name="SAPBEXfilterDrill" xfId="1513" xr:uid="{00000000-0005-0000-0000-000003070000}"/>
    <cellStyle name="SAPBEXfilterItem" xfId="1514" xr:uid="{00000000-0005-0000-0000-000004070000}"/>
    <cellStyle name="SAPBEXfilterText" xfId="1515" xr:uid="{00000000-0005-0000-0000-000005070000}"/>
    <cellStyle name="SAPBEXformats" xfId="1516" xr:uid="{00000000-0005-0000-0000-000006070000}"/>
    <cellStyle name="SAPBEXformats 2" xfId="2454" xr:uid="{00000000-0005-0000-0000-000007070000}"/>
    <cellStyle name="SAPBEXheaderItem" xfId="1517" xr:uid="{00000000-0005-0000-0000-000008070000}"/>
    <cellStyle name="SAPBEXheaderText" xfId="1518" xr:uid="{00000000-0005-0000-0000-000009070000}"/>
    <cellStyle name="SAPBEXresData" xfId="1519" xr:uid="{00000000-0005-0000-0000-00000A070000}"/>
    <cellStyle name="SAPBEXresData 2" xfId="2455" xr:uid="{00000000-0005-0000-0000-00000B070000}"/>
    <cellStyle name="SAPBEXresDataEmph" xfId="1520" xr:uid="{00000000-0005-0000-0000-00000C070000}"/>
    <cellStyle name="SAPBEXresDataEmph 2" xfId="2456" xr:uid="{00000000-0005-0000-0000-00000D070000}"/>
    <cellStyle name="SAPBEXresItem" xfId="1521" xr:uid="{00000000-0005-0000-0000-00000E070000}"/>
    <cellStyle name="SAPBEXresItem 2" xfId="2457" xr:uid="{00000000-0005-0000-0000-00000F070000}"/>
    <cellStyle name="SAPBEXstdData" xfId="1522" xr:uid="{00000000-0005-0000-0000-000010070000}"/>
    <cellStyle name="SAPBEXstdData 2" xfId="2458" xr:uid="{00000000-0005-0000-0000-000011070000}"/>
    <cellStyle name="SAPBEXstdDataEmph" xfId="1523" xr:uid="{00000000-0005-0000-0000-000012070000}"/>
    <cellStyle name="SAPBEXstdDataEmph 2" xfId="2459" xr:uid="{00000000-0005-0000-0000-000013070000}"/>
    <cellStyle name="SAPBEXstdItem" xfId="1524" xr:uid="{00000000-0005-0000-0000-000014070000}"/>
    <cellStyle name="SAPBEXstdItem 2" xfId="2460" xr:uid="{00000000-0005-0000-0000-000015070000}"/>
    <cellStyle name="SAPBEXtitle" xfId="1525" xr:uid="{00000000-0005-0000-0000-000016070000}"/>
    <cellStyle name="SAPBEXtitle 2" xfId="2461" xr:uid="{00000000-0005-0000-0000-000017070000}"/>
    <cellStyle name="SAPBEXundefined" xfId="1526" xr:uid="{00000000-0005-0000-0000-000018070000}"/>
    <cellStyle name="SAPBEXundefined 2" xfId="2462" xr:uid="{00000000-0005-0000-0000-000019070000}"/>
    <cellStyle name="Second-item" xfId="1527" xr:uid="{00000000-0005-0000-0000-00001A070000}"/>
    <cellStyle name="Second-item 2" xfId="2463" xr:uid="{00000000-0005-0000-0000-00001B070000}"/>
    <cellStyle name="Standard_3200.0600" xfId="1528" xr:uid="{00000000-0005-0000-0000-00001C070000}"/>
    <cellStyle name="STD" xfId="1529" xr:uid="{00000000-0005-0000-0000-00001D070000}"/>
    <cellStyle name="STD1" xfId="1530" xr:uid="{00000000-0005-0000-0000-00001E070000}"/>
    <cellStyle name="STYL1 - 유형1" xfId="1531" xr:uid="{00000000-0005-0000-0000-00001F070000}"/>
    <cellStyle name="STYL2 - 유형2" xfId="1532" xr:uid="{00000000-0005-0000-0000-000020070000}"/>
    <cellStyle name="Style 1" xfId="1533" xr:uid="{00000000-0005-0000-0000-000021070000}"/>
    <cellStyle name="Style 2" xfId="1534" xr:uid="{00000000-0005-0000-0000-000022070000}"/>
    <cellStyle name="subhead" xfId="1535" xr:uid="{00000000-0005-0000-0000-000023070000}"/>
    <cellStyle name="Subtotal" xfId="1536" xr:uid="{00000000-0005-0000-0000-000024070000}"/>
    <cellStyle name="T" xfId="1537" xr:uid="{00000000-0005-0000-0000-000025070000}"/>
    <cellStyle name="T 2" xfId="2611" xr:uid="{00000000-0005-0000-0000-000026070000}"/>
    <cellStyle name="Tabellina" xfId="1538" xr:uid="{00000000-0005-0000-0000-000027070000}"/>
    <cellStyle name="Tabellina 2" xfId="2464" xr:uid="{00000000-0005-0000-0000-000028070000}"/>
    <cellStyle name="Text Indent A" xfId="1539" xr:uid="{00000000-0005-0000-0000-000029070000}"/>
    <cellStyle name="Text Indent B" xfId="1540" xr:uid="{00000000-0005-0000-0000-00002A070000}"/>
    <cellStyle name="Text Indent C" xfId="1541" xr:uid="{00000000-0005-0000-0000-00002B070000}"/>
    <cellStyle name="th" xfId="1552" xr:uid="{00000000-0005-0000-0000-00002C070000}"/>
    <cellStyle name="þ_x001d_" xfId="1553" xr:uid="{00000000-0005-0000-0000-00002D070000}"/>
    <cellStyle name="th 2" xfId="2610" xr:uid="{00000000-0005-0000-0000-00002E070000}"/>
    <cellStyle name="þ_x001d_ðK_x000c_Fý_x001b__x000d_9ýU" xfId="1554" xr:uid="{00000000-0005-0000-0000-00002F070000}"/>
    <cellStyle name="þ_x001d_ðK_x000c_Fý_x001b__x000d_9ýU_x0001_Ð_x0008_" xfId="1555" xr:uid="{00000000-0005-0000-0000-000030070000}"/>
    <cellStyle name="þ_x001d_ðK_x000c_Fý_x001b__x000d_9ýU_x0001_Ð_x0008_¦)_x0007__x0001_" xfId="1556" xr:uid="{00000000-0005-0000-0000-000031070000}"/>
    <cellStyle name="þ_x001d_ðK_x000c_Fý_x001b__x000d_9ýU_x0001_Ð_x0008_¦)_x0007__x0001__x0001_" xfId="1557" xr:uid="{00000000-0005-0000-0000-000032070000}"/>
    <cellStyle name="tion" xfId="1542" xr:uid="{00000000-0005-0000-0000-000033070000}"/>
    <cellStyle name="tion 2" xfId="1543" xr:uid="{00000000-0005-0000-0000-000034070000}"/>
    <cellStyle name="Title" xfId="40" builtinId="15" customBuiltin="1"/>
    <cellStyle name="Title 2" xfId="1544" xr:uid="{00000000-0005-0000-0000-000036070000}"/>
    <cellStyle name="Ton" xfId="1545" xr:uid="{00000000-0005-0000-0000-000037070000}"/>
    <cellStyle name="Ton 2" xfId="2465" xr:uid="{00000000-0005-0000-0000-000038070000}"/>
    <cellStyle name="ton/m3" xfId="1546" xr:uid="{00000000-0005-0000-0000-000039070000}"/>
    <cellStyle name="Ton/set" xfId="1547" xr:uid="{00000000-0005-0000-0000-00003A070000}"/>
    <cellStyle name="Ton/set 2" xfId="2466" xr:uid="{00000000-0005-0000-0000-00003B070000}"/>
    <cellStyle name="Ton/대" xfId="1548" xr:uid="{00000000-0005-0000-0000-00003C070000}"/>
    <cellStyle name="Ton/대 2" xfId="2467" xr:uid="{00000000-0005-0000-0000-00003D070000}"/>
    <cellStyle name="Ton_00)비교표" xfId="1549" xr:uid="{00000000-0005-0000-0000-00003E070000}"/>
    <cellStyle name="Total" xfId="41" builtinId="25" customBuiltin="1"/>
    <cellStyle name="Total 2" xfId="1550" xr:uid="{00000000-0005-0000-0000-000040070000}"/>
    <cellStyle name="TPH/대" xfId="1551" xr:uid="{00000000-0005-0000-0000-000041070000}"/>
    <cellStyle name="TPH/대 2" xfId="2468" xr:uid="{00000000-0005-0000-0000-000042070000}"/>
    <cellStyle name="Valuta (0)_tucumancivlistcomp" xfId="1558" xr:uid="{00000000-0005-0000-0000-000043070000}"/>
    <cellStyle name="Valuta_tucumancivlistcomp" xfId="1559" xr:uid="{00000000-0005-0000-0000-000044070000}"/>
    <cellStyle name="viet" xfId="1560" xr:uid="{00000000-0005-0000-0000-000045070000}"/>
    <cellStyle name="viet2" xfId="1561" xr:uid="{00000000-0005-0000-0000-000046070000}"/>
    <cellStyle name="viet2 2" xfId="2469" xr:uid="{00000000-0005-0000-0000-000047070000}"/>
    <cellStyle name="vnbo" xfId="1562" xr:uid="{00000000-0005-0000-0000-000048070000}"/>
    <cellStyle name="vnbo 2" xfId="2609" xr:uid="{00000000-0005-0000-0000-000049070000}"/>
    <cellStyle name="vnhead1" xfId="1565" xr:uid="{00000000-0005-0000-0000-00004A070000}"/>
    <cellStyle name="vnhead1 2" xfId="2470" xr:uid="{00000000-0005-0000-0000-00004B070000}"/>
    <cellStyle name="vnhead2" xfId="1566" xr:uid="{00000000-0005-0000-0000-00004C070000}"/>
    <cellStyle name="vnhead2 2" xfId="2608" xr:uid="{00000000-0005-0000-0000-00004D070000}"/>
    <cellStyle name="vnhead3" xfId="1567" xr:uid="{00000000-0005-0000-0000-00004E070000}"/>
    <cellStyle name="vnhead3 2" xfId="2607" xr:uid="{00000000-0005-0000-0000-00004F070000}"/>
    <cellStyle name="vnhead4" xfId="1568" xr:uid="{00000000-0005-0000-0000-000050070000}"/>
    <cellStyle name="vntxt1" xfId="1563" xr:uid="{00000000-0005-0000-0000-000051070000}"/>
    <cellStyle name="vntxt2" xfId="1564" xr:uid="{00000000-0005-0000-0000-000052070000}"/>
    <cellStyle name="W?rung [0]_laroux" xfId="1569" xr:uid="{00000000-0005-0000-0000-000053070000}"/>
    <cellStyle name="W?rung_laroux" xfId="1570" xr:uid="{00000000-0005-0000-0000-000054070000}"/>
    <cellStyle name="Währung [0]_3200.0600" xfId="1571" xr:uid="{00000000-0005-0000-0000-000055070000}"/>
    <cellStyle name="Währung_3200.0600" xfId="1572" xr:uid="{00000000-0005-0000-0000-000056070000}"/>
    <cellStyle name="Walutowy [0]_Invoices2001Slovakia" xfId="1573" xr:uid="{00000000-0005-0000-0000-000057070000}"/>
    <cellStyle name="Walutowy_Invoices2001Slovakia" xfId="1574" xr:uid="{00000000-0005-0000-0000-000058070000}"/>
    <cellStyle name="Warning Text" xfId="42" builtinId="11" customBuiltin="1"/>
    <cellStyle name="Warning Text 2" xfId="1575" xr:uid="{00000000-0005-0000-0000-00005A070000}"/>
    <cellStyle name="W鋒rung [0]_laroux" xfId="1576" xr:uid="{00000000-0005-0000-0000-00005B070000}"/>
    <cellStyle name="W鋒rung_laroux" xfId="1577" xr:uid="{00000000-0005-0000-0000-00005C070000}"/>
    <cellStyle name="xuan" xfId="1578" xr:uid="{00000000-0005-0000-0000-00005D070000}"/>
    <cellStyle name="ハイパーリンク" xfId="1579" xr:uid="{00000000-0005-0000-0000-00005E070000}"/>
    <cellStyle name="|?ドE" xfId="1580" xr:uid="{00000000-0005-0000-0000-00005F070000}"/>
    <cellStyle name=" [0.00]_ Att. 1- Cover" xfId="1581" xr:uid="{00000000-0005-0000-0000-000060070000}"/>
    <cellStyle name="_ Att. 1- Cover" xfId="1582" xr:uid="{00000000-0005-0000-0000-000061070000}"/>
    <cellStyle name="?_ Att. 1- Cover" xfId="1583" xr:uid="{00000000-0005-0000-0000-000062070000}"/>
    <cellStyle name="고정소숫점" xfId="1584" xr:uid="{00000000-0005-0000-0000-000063070000}"/>
    <cellStyle name="고정출력1" xfId="1585" xr:uid="{00000000-0005-0000-0000-000064070000}"/>
    <cellStyle name="고정출력2" xfId="1586" xr:uid="{00000000-0005-0000-0000-000065070000}"/>
    <cellStyle name="咬訌裝?report-2 " xfId="2406" xr:uid="{00000000-0005-0000-0000-0000A50A0000}"/>
    <cellStyle name="금액" xfId="1587" xr:uid="{00000000-0005-0000-0000-000066070000}"/>
    <cellStyle name="금액 2" xfId="2471" xr:uid="{00000000-0005-0000-0000-000067070000}"/>
    <cellStyle name="기계" xfId="1588" xr:uid="{00000000-0005-0000-0000-000068070000}"/>
    <cellStyle name="끼_x0001_?" xfId="1589" xr:uid="{00000000-0005-0000-0000-000069070000}"/>
    <cellStyle name="날짜" xfId="1590" xr:uid="{00000000-0005-0000-0000-00006A070000}"/>
    <cellStyle name="달러" xfId="1591" xr:uid="{00000000-0005-0000-0000-00006B070000}"/>
    <cellStyle name="뒤에 오는 하이퍼링크" xfId="1592" xr:uid="{00000000-0005-0000-0000-00006C070000}"/>
    <cellStyle name="똿떓죶Ø괻 [0.00]_NT Server " xfId="1593" xr:uid="{00000000-0005-0000-0000-00006D070000}"/>
    <cellStyle name="똿떓죶Ø괻_NT Server " xfId="1594" xr:uid="{00000000-0005-0000-0000-00006E070000}"/>
    <cellStyle name="똿뗦먛귟 [0.00]_PRODUCT DETAIL Q1" xfId="1595" xr:uid="{00000000-0005-0000-0000-00006F070000}"/>
    <cellStyle name="똿뗦먛귟_PRODUCT DETAIL Q1" xfId="1596" xr:uid="{00000000-0005-0000-0000-000070070000}"/>
    <cellStyle name="묮뎋 [0.00]_NT Server " xfId="1597" xr:uid="{00000000-0005-0000-0000-000071070000}"/>
    <cellStyle name="묮뎋_NT Server " xfId="1598" xr:uid="{00000000-0005-0000-0000-000072070000}"/>
    <cellStyle name="물량" xfId="1599" xr:uid="{00000000-0005-0000-0000-000073070000}"/>
    <cellStyle name="물량 2" xfId="2472" xr:uid="{00000000-0005-0000-0000-000074070000}"/>
    <cellStyle name="믅됞 [0.00]_PRODUCT DETAIL Q1" xfId="1600" xr:uid="{00000000-0005-0000-0000-000075070000}"/>
    <cellStyle name="믅됞_PRODUCT DETAIL Q1" xfId="1601" xr:uid="{00000000-0005-0000-0000-000076070000}"/>
    <cellStyle name="백분율 2" xfId="1602" xr:uid="{00000000-0005-0000-0000-000077070000}"/>
    <cellStyle name="백분율 2 2" xfId="1603" xr:uid="{00000000-0005-0000-0000-000078070000}"/>
    <cellStyle name="백분율 2 2 2" xfId="1604" xr:uid="{00000000-0005-0000-0000-000079070000}"/>
    <cellStyle name="백분율 3" xfId="1605" xr:uid="{00000000-0005-0000-0000-00007A070000}"/>
    <cellStyle name="백분율 3 2" xfId="1606" xr:uid="{00000000-0005-0000-0000-00007B070000}"/>
    <cellStyle name="백분율 4" xfId="1607" xr:uid="{00000000-0005-0000-0000-00007C070000}"/>
    <cellStyle name="백분율 4 2" xfId="1608" xr:uid="{00000000-0005-0000-0000-00007D070000}"/>
    <cellStyle name="백분율 5" xfId="2738" xr:uid="{00000000-0005-0000-0000-00007E070000}"/>
    <cellStyle name="普通_laroux" xfId="2408" xr:uid="{00000000-0005-0000-0000-0000A70A0000}"/>
    <cellStyle name="부제목" xfId="1609" xr:uid="{00000000-0005-0000-0000-00007F070000}"/>
    <cellStyle name="부제목 2" xfId="2473" xr:uid="{00000000-0005-0000-0000-000080070000}"/>
    <cellStyle name="분수" xfId="1610" xr:uid="{00000000-0005-0000-0000-000081070000}"/>
    <cellStyle name="분수 2" xfId="1611" xr:uid="{00000000-0005-0000-0000-000082070000}"/>
    <cellStyle name="뷭?_BOOKSHIP" xfId="1612" xr:uid="{00000000-0005-0000-0000-000083070000}"/>
    <cellStyle name="常规_2004年本部关联交易合并资料" xfId="2407" xr:uid="{00000000-0005-0000-0000-0000A60A0000}"/>
    <cellStyle name="새귑[0]_롤痰삠悧 " xfId="1613" xr:uid="{00000000-0005-0000-0000-000084070000}"/>
    <cellStyle name="새귑_롤痰삠悧 " xfId="1614" xr:uid="{00000000-0005-0000-0000-000085070000}"/>
    <cellStyle name="숫자(R)" xfId="1615" xr:uid="{00000000-0005-0000-0000-000086070000}"/>
    <cellStyle name="숫자(R) 10" xfId="1616" xr:uid="{00000000-0005-0000-0000-000087070000}"/>
    <cellStyle name="숫자(R) 11" xfId="1617" xr:uid="{00000000-0005-0000-0000-000088070000}"/>
    <cellStyle name="숫자(R) 2" xfId="1618" xr:uid="{00000000-0005-0000-0000-000089070000}"/>
    <cellStyle name="숫자(R) 3" xfId="1619" xr:uid="{00000000-0005-0000-0000-00008A070000}"/>
    <cellStyle name="숫자(R) 4" xfId="1620" xr:uid="{00000000-0005-0000-0000-00008B070000}"/>
    <cellStyle name="숫자(R) 5" xfId="1621" xr:uid="{00000000-0005-0000-0000-00008C070000}"/>
    <cellStyle name="숫자(R) 6" xfId="1622" xr:uid="{00000000-0005-0000-0000-00008D070000}"/>
    <cellStyle name="숫자(R) 7" xfId="1623" xr:uid="{00000000-0005-0000-0000-00008E070000}"/>
    <cellStyle name="숫자(R) 8" xfId="1624" xr:uid="{00000000-0005-0000-0000-00008F070000}"/>
    <cellStyle name="숫자(R) 9" xfId="1625" xr:uid="{00000000-0005-0000-0000-000090070000}"/>
    <cellStyle name="쉼표 [0] 2" xfId="120" xr:uid="{00000000-0005-0000-0000-000091070000}"/>
    <cellStyle name="쉼표 [0] 2 2" xfId="1626" xr:uid="{00000000-0005-0000-0000-000092070000}"/>
    <cellStyle name="쉼표 [0] 2 2 2" xfId="1627" xr:uid="{00000000-0005-0000-0000-000093070000}"/>
    <cellStyle name="쉼표 [0] 2 2 2 2" xfId="1628" xr:uid="{00000000-0005-0000-0000-000094070000}"/>
    <cellStyle name="쉼표 [0] 2 2 3" xfId="1629" xr:uid="{00000000-0005-0000-0000-000095070000}"/>
    <cellStyle name="쉼표 [0] 2 3" xfId="1630" xr:uid="{00000000-0005-0000-0000-000096070000}"/>
    <cellStyle name="쉼표 [0] 3" xfId="1631" xr:uid="{00000000-0005-0000-0000-000097070000}"/>
    <cellStyle name="쉼표 [0] 3 2" xfId="1632" xr:uid="{00000000-0005-0000-0000-000098070000}"/>
    <cellStyle name="쉼표 [0] 3 2 2" xfId="1633" xr:uid="{00000000-0005-0000-0000-000099070000}"/>
    <cellStyle name="쉼표 [0] 3 3" xfId="1634" xr:uid="{00000000-0005-0000-0000-00009A070000}"/>
    <cellStyle name="쉼표 [0] 4" xfId="1635" xr:uid="{00000000-0005-0000-0000-00009B070000}"/>
    <cellStyle name="쉼표 [0] 4 2" xfId="1636" xr:uid="{00000000-0005-0000-0000-00009C070000}"/>
    <cellStyle name="쉼표 [0] 4 2 2" xfId="1637" xr:uid="{00000000-0005-0000-0000-00009D070000}"/>
    <cellStyle name="쉼표 [0] 4 3" xfId="1638" xr:uid="{00000000-0005-0000-0000-00009E070000}"/>
    <cellStyle name="쉼표 [0] 5" xfId="1639" xr:uid="{00000000-0005-0000-0000-00009F070000}"/>
    <cellStyle name="쉼표 [0] 5 2" xfId="1640" xr:uid="{00000000-0005-0000-0000-0000A0070000}"/>
    <cellStyle name="쉼표 [0] 5 2 2" xfId="1641" xr:uid="{00000000-0005-0000-0000-0000A1070000}"/>
    <cellStyle name="쉼표 [0] 5 3" xfId="1642" xr:uid="{00000000-0005-0000-0000-0000A2070000}"/>
    <cellStyle name="쉼표 [0] 6" xfId="1643" xr:uid="{00000000-0005-0000-0000-0000A3070000}"/>
    <cellStyle name="쉼표 [0] 7" xfId="1644" xr:uid="{00000000-0005-0000-0000-0000A4070000}"/>
    <cellStyle name="쉼표 [0] 7 2" xfId="1645" xr:uid="{00000000-0005-0000-0000-0000A5070000}"/>
    <cellStyle name="쉼표 [0] 7 3" xfId="1646" xr:uid="{00000000-0005-0000-0000-0000A6070000}"/>
    <cellStyle name="쉼표 [0] 8" xfId="2737" xr:uid="{00000000-0005-0000-0000-0000A7070000}"/>
    <cellStyle name="쉼표 2" xfId="121" xr:uid="{00000000-0005-0000-0000-0000A8070000}"/>
    <cellStyle name="쉼표 2 2" xfId="1647" xr:uid="{00000000-0005-0000-0000-0000A9070000}"/>
    <cellStyle name="쉼표 2 3" xfId="1648" xr:uid="{00000000-0005-0000-0000-0000AA070000}"/>
    <cellStyle name="쉼표 3" xfId="1649" xr:uid="{00000000-0005-0000-0000-0000AB070000}"/>
    <cellStyle name="쉼표 4" xfId="1650" xr:uid="{00000000-0005-0000-0000-0000AC070000}"/>
    <cellStyle name="쉼표 5" xfId="2736" xr:uid="{00000000-0005-0000-0000-0000AD070000}"/>
    <cellStyle name="스타일 1" xfId="1651" xr:uid="{00000000-0005-0000-0000-0000AE070000}"/>
    <cellStyle name="스타일 1 2" xfId="1652" xr:uid="{00000000-0005-0000-0000-0000AF070000}"/>
    <cellStyle name="스타일 2" xfId="1653" xr:uid="{00000000-0005-0000-0000-0000B0070000}"/>
    <cellStyle name="스타일 3" xfId="1654" xr:uid="{00000000-0005-0000-0000-0000B1070000}"/>
    <cellStyle name="스타일 4" xfId="1655" xr:uid="{00000000-0005-0000-0000-0000B2070000}"/>
    <cellStyle name="승수" xfId="1656" xr:uid="{00000000-0005-0000-0000-0000B3070000}"/>
    <cellStyle name="승수 2" xfId="2474" xr:uid="{00000000-0005-0000-0000-0000B4070000}"/>
    <cellStyle name="안건회계법인" xfId="1657" xr:uid="{00000000-0005-0000-0000-0000B5070000}"/>
    <cellStyle name="용량보정" xfId="1658" xr:uid="{00000000-0005-0000-0000-0000B6070000}"/>
    <cellStyle name="용량보정 2" xfId="2475" xr:uid="{00000000-0005-0000-0000-0000B7070000}"/>
    <cellStyle name="원" xfId="1659" xr:uid="{00000000-0005-0000-0000-0000B8070000}"/>
    <cellStyle name="원_02대여금" xfId="1660" xr:uid="{00000000-0005-0000-0000-0000B9070000}"/>
    <cellStyle name="원_02대여금 10" xfId="1661" xr:uid="{00000000-0005-0000-0000-0000BA070000}"/>
    <cellStyle name="원_02대여금 11" xfId="1662" xr:uid="{00000000-0005-0000-0000-0000BB070000}"/>
    <cellStyle name="원_02대여금 2" xfId="1663" xr:uid="{00000000-0005-0000-0000-0000BC070000}"/>
    <cellStyle name="원_02대여금 3" xfId="1664" xr:uid="{00000000-0005-0000-0000-0000BD070000}"/>
    <cellStyle name="원_02대여금 4" xfId="1665" xr:uid="{00000000-0005-0000-0000-0000BE070000}"/>
    <cellStyle name="원_02대여금 5" xfId="1666" xr:uid="{00000000-0005-0000-0000-0000BF070000}"/>
    <cellStyle name="원_02대여금 6" xfId="1667" xr:uid="{00000000-0005-0000-0000-0000C0070000}"/>
    <cellStyle name="원_02대여금 7" xfId="1668" xr:uid="{00000000-0005-0000-0000-0000C1070000}"/>
    <cellStyle name="원_02대여금 8" xfId="1669" xr:uid="{00000000-0005-0000-0000-0000C2070000}"/>
    <cellStyle name="원_02대여금 9" xfId="1670" xr:uid="{00000000-0005-0000-0000-0000C3070000}"/>
    <cellStyle name="원_02투자" xfId="1671" xr:uid="{00000000-0005-0000-0000-0000C4070000}"/>
    <cellStyle name="원_02투자 10" xfId="1672" xr:uid="{00000000-0005-0000-0000-0000C5070000}"/>
    <cellStyle name="원_02투자 11" xfId="1673" xr:uid="{00000000-0005-0000-0000-0000C6070000}"/>
    <cellStyle name="원_02투자 2" xfId="1674" xr:uid="{00000000-0005-0000-0000-0000C7070000}"/>
    <cellStyle name="원_02투자 3" xfId="1675" xr:uid="{00000000-0005-0000-0000-0000C8070000}"/>
    <cellStyle name="원_02투자 4" xfId="1676" xr:uid="{00000000-0005-0000-0000-0000C9070000}"/>
    <cellStyle name="원_02투자 5" xfId="1677" xr:uid="{00000000-0005-0000-0000-0000CA070000}"/>
    <cellStyle name="원_02투자 6" xfId="1678" xr:uid="{00000000-0005-0000-0000-0000CB070000}"/>
    <cellStyle name="원_02투자 7" xfId="1679" xr:uid="{00000000-0005-0000-0000-0000CC070000}"/>
    <cellStyle name="원_02투자 8" xfId="1680" xr:uid="{00000000-0005-0000-0000-0000CD070000}"/>
    <cellStyle name="원_02투자 9" xfId="1681" xr:uid="{00000000-0005-0000-0000-0000CE070000}"/>
    <cellStyle name="원_02투자및대여금종합" xfId="1682" xr:uid="{00000000-0005-0000-0000-0000CF070000}"/>
    <cellStyle name="원_02투자및대여금종합 10" xfId="1683" xr:uid="{00000000-0005-0000-0000-0000D0070000}"/>
    <cellStyle name="원_02투자및대여금종합 11" xfId="1684" xr:uid="{00000000-0005-0000-0000-0000D1070000}"/>
    <cellStyle name="원_02투자및대여금종합 2" xfId="1685" xr:uid="{00000000-0005-0000-0000-0000D2070000}"/>
    <cellStyle name="원_02투자및대여금종합 3" xfId="1686" xr:uid="{00000000-0005-0000-0000-0000D3070000}"/>
    <cellStyle name="원_02투자및대여금종합 4" xfId="1687" xr:uid="{00000000-0005-0000-0000-0000D4070000}"/>
    <cellStyle name="원_02투자및대여금종합 5" xfId="1688" xr:uid="{00000000-0005-0000-0000-0000D5070000}"/>
    <cellStyle name="원_02투자및대여금종합 6" xfId="1689" xr:uid="{00000000-0005-0000-0000-0000D6070000}"/>
    <cellStyle name="원_02투자및대여금종합 7" xfId="1690" xr:uid="{00000000-0005-0000-0000-0000D7070000}"/>
    <cellStyle name="원_02투자및대여금종합 8" xfId="1691" xr:uid="{00000000-0005-0000-0000-0000D8070000}"/>
    <cellStyle name="원_02투자및대여금종합 9" xfId="1692" xr:uid="{00000000-0005-0000-0000-0000D9070000}"/>
    <cellStyle name="원_0304분석-1" xfId="1693" xr:uid="{00000000-0005-0000-0000-0000DA070000}"/>
    <cellStyle name="원_03SOC팀20021025" xfId="1694" xr:uid="{00000000-0005-0000-0000-0000DB070000}"/>
    <cellStyle name="원_'03결재양식A4" xfId="1695" xr:uid="{00000000-0005-0000-0000-0000DC070000}"/>
    <cellStyle name="원_03자산실적(9월말기준)및 04년매각계획(회사전체)최종" xfId="1696" xr:uid="{00000000-0005-0000-0000-0000DD070000}"/>
    <cellStyle name="원_03투자종합" xfId="1697" xr:uid="{00000000-0005-0000-0000-0000DE070000}"/>
    <cellStyle name="원_03투자종합 10" xfId="1698" xr:uid="{00000000-0005-0000-0000-0000DF070000}"/>
    <cellStyle name="원_03투자종합 11" xfId="1699" xr:uid="{00000000-0005-0000-0000-0000E0070000}"/>
    <cellStyle name="원_03투자종합 2" xfId="1700" xr:uid="{00000000-0005-0000-0000-0000E1070000}"/>
    <cellStyle name="원_03투자종합 3" xfId="1701" xr:uid="{00000000-0005-0000-0000-0000E2070000}"/>
    <cellStyle name="원_03투자종합 4" xfId="1702" xr:uid="{00000000-0005-0000-0000-0000E3070000}"/>
    <cellStyle name="원_03투자종합 5" xfId="1703" xr:uid="{00000000-0005-0000-0000-0000E4070000}"/>
    <cellStyle name="원_03투자종합 6" xfId="1704" xr:uid="{00000000-0005-0000-0000-0000E5070000}"/>
    <cellStyle name="원_03투자종합 7" xfId="1705" xr:uid="{00000000-0005-0000-0000-0000E6070000}"/>
    <cellStyle name="원_03투자종합 8" xfId="1706" xr:uid="{00000000-0005-0000-0000-0000E7070000}"/>
    <cellStyle name="원_03투자종합 9" xfId="1707" xr:uid="{00000000-0005-0000-0000-0000E8070000}"/>
    <cellStyle name="원_03환경팀수주및투자계획" xfId="1708" xr:uid="{00000000-0005-0000-0000-0000E9070000}"/>
    <cellStyle name="원_'04년 매출원가정리(최종)" xfId="1709" xr:uid="{00000000-0005-0000-0000-0000EA070000}"/>
    <cellStyle name="원_'04년 매출원가정리(최종) 10" xfId="1710" xr:uid="{00000000-0005-0000-0000-0000EB070000}"/>
    <cellStyle name="원_'04년 매출원가정리(최종) 11" xfId="1711" xr:uid="{00000000-0005-0000-0000-0000EC070000}"/>
    <cellStyle name="원_'04년 매출원가정리(최종) 2" xfId="1712" xr:uid="{00000000-0005-0000-0000-0000ED070000}"/>
    <cellStyle name="원_'04년 매출원가정리(최종) 3" xfId="1713" xr:uid="{00000000-0005-0000-0000-0000EE070000}"/>
    <cellStyle name="원_'04년 매출원가정리(최종) 4" xfId="1714" xr:uid="{00000000-0005-0000-0000-0000EF070000}"/>
    <cellStyle name="원_'04년 매출원가정리(최종) 5" xfId="1715" xr:uid="{00000000-0005-0000-0000-0000F0070000}"/>
    <cellStyle name="원_'04년 매출원가정리(최종) 6" xfId="1716" xr:uid="{00000000-0005-0000-0000-0000F1070000}"/>
    <cellStyle name="원_'04년 매출원가정리(최종) 7" xfId="1717" xr:uid="{00000000-0005-0000-0000-0000F2070000}"/>
    <cellStyle name="원_'04년 매출원가정리(최종) 8" xfId="1718" xr:uid="{00000000-0005-0000-0000-0000F3070000}"/>
    <cellStyle name="원_'04년 매출원가정리(최종) 9" xfId="1719" xr:uid="{00000000-0005-0000-0000-0000F4070000}"/>
    <cellStyle name="원_'04년 입금계획 종합" xfId="1720" xr:uid="{00000000-0005-0000-0000-0000F5070000}"/>
    <cellStyle name="원_'04년 입금계획 종합 10" xfId="1721" xr:uid="{00000000-0005-0000-0000-0000F6070000}"/>
    <cellStyle name="원_'04년 입금계획 종합 11" xfId="1722" xr:uid="{00000000-0005-0000-0000-0000F7070000}"/>
    <cellStyle name="원_'04년 입금계획 종합 2" xfId="1723" xr:uid="{00000000-0005-0000-0000-0000F8070000}"/>
    <cellStyle name="원_'04년 입금계획 종합 3" xfId="1724" xr:uid="{00000000-0005-0000-0000-0000F9070000}"/>
    <cellStyle name="원_'04년 입금계획 종합 4" xfId="1725" xr:uid="{00000000-0005-0000-0000-0000FA070000}"/>
    <cellStyle name="원_'04년 입금계획 종합 5" xfId="1726" xr:uid="{00000000-0005-0000-0000-0000FB070000}"/>
    <cellStyle name="원_'04년 입금계획 종합 6" xfId="1727" xr:uid="{00000000-0005-0000-0000-0000FC070000}"/>
    <cellStyle name="원_'04년 입금계획 종합 7" xfId="1728" xr:uid="{00000000-0005-0000-0000-0000FD070000}"/>
    <cellStyle name="원_'04년 입금계획 종합 8" xfId="1729" xr:uid="{00000000-0005-0000-0000-0000FE070000}"/>
    <cellStyle name="원_'04년 입금계획 종합 9" xfId="1730" xr:uid="{00000000-0005-0000-0000-0000FF070000}"/>
    <cellStyle name="원_04년 자산매각계획 및 입금(결재본)" xfId="1731" xr:uid="{00000000-0005-0000-0000-000000080000}"/>
    <cellStyle name="원_04년 자산매각계획 및 입금(결재본) 10" xfId="1732" xr:uid="{00000000-0005-0000-0000-000001080000}"/>
    <cellStyle name="원_04년 자산매각계획 및 입금(결재본) 11" xfId="1733" xr:uid="{00000000-0005-0000-0000-000002080000}"/>
    <cellStyle name="원_04년 자산매각계획 및 입금(결재본) 2" xfId="1734" xr:uid="{00000000-0005-0000-0000-000003080000}"/>
    <cellStyle name="원_04년 자산매각계획 및 입금(결재본) 3" xfId="1735" xr:uid="{00000000-0005-0000-0000-000004080000}"/>
    <cellStyle name="원_04년 자산매각계획 및 입금(결재본) 4" xfId="1736" xr:uid="{00000000-0005-0000-0000-000005080000}"/>
    <cellStyle name="원_04년 자산매각계획 및 입금(결재본) 5" xfId="1737" xr:uid="{00000000-0005-0000-0000-000006080000}"/>
    <cellStyle name="원_04년 자산매각계획 및 입금(결재본) 6" xfId="1738" xr:uid="{00000000-0005-0000-0000-000007080000}"/>
    <cellStyle name="원_04년 자산매각계획 및 입금(결재본) 7" xfId="1739" xr:uid="{00000000-0005-0000-0000-000008080000}"/>
    <cellStyle name="원_04년 자산매각계획 및 입금(결재본) 8" xfId="1740" xr:uid="{00000000-0005-0000-0000-000009080000}"/>
    <cellStyle name="원_04년 자산매각계획 및 입금(결재본) 9" xfId="1741" xr:uid="{00000000-0005-0000-0000-00000A080000}"/>
    <cellStyle name="원_04년 자산매각계획(결재본)" xfId="1742" xr:uid="{00000000-0005-0000-0000-00000B080000}"/>
    <cellStyle name="원_2002사업계획" xfId="1743" xr:uid="{00000000-0005-0000-0000-00000C080000}"/>
    <cellStyle name="원_2003사업계획" xfId="1744" xr:uid="{00000000-0005-0000-0000-00000D080000}"/>
    <cellStyle name="원_2003사업계획매출원가" xfId="1745" xr:uid="{00000000-0005-0000-0000-00000E080000}"/>
    <cellStyle name="원_2003사업계획매출원가 10" xfId="1746" xr:uid="{00000000-0005-0000-0000-00000F080000}"/>
    <cellStyle name="원_2003사업계획매출원가 11" xfId="1747" xr:uid="{00000000-0005-0000-0000-000010080000}"/>
    <cellStyle name="원_2003사업계획매출원가 2" xfId="1748" xr:uid="{00000000-0005-0000-0000-000011080000}"/>
    <cellStyle name="원_2003사업계획매출원가 3" xfId="1749" xr:uid="{00000000-0005-0000-0000-000012080000}"/>
    <cellStyle name="원_2003사업계획매출원가 4" xfId="1750" xr:uid="{00000000-0005-0000-0000-000013080000}"/>
    <cellStyle name="원_2003사업계획매출원가 5" xfId="1751" xr:uid="{00000000-0005-0000-0000-000014080000}"/>
    <cellStyle name="원_2003사업계획매출원가 6" xfId="1752" xr:uid="{00000000-0005-0000-0000-000015080000}"/>
    <cellStyle name="원_2003사업계획매출원가 7" xfId="1753" xr:uid="{00000000-0005-0000-0000-000016080000}"/>
    <cellStyle name="원_2003사업계획매출원가 8" xfId="1754" xr:uid="{00000000-0005-0000-0000-000017080000}"/>
    <cellStyle name="원_2003사업계획매출원가 9" xfId="1755" xr:uid="{00000000-0005-0000-0000-000018080000}"/>
    <cellStyle name="원_2003사업계획입금자료" xfId="1756" xr:uid="{00000000-0005-0000-0000-000019080000}"/>
    <cellStyle name="원_2003사업계획입금자료 10" xfId="1757" xr:uid="{00000000-0005-0000-0000-00001A080000}"/>
    <cellStyle name="원_2003사업계획입금자료 11" xfId="1758" xr:uid="{00000000-0005-0000-0000-00001B080000}"/>
    <cellStyle name="원_2003사업계획입금자료 2" xfId="1759" xr:uid="{00000000-0005-0000-0000-00001C080000}"/>
    <cellStyle name="원_2003사업계획입금자료 3" xfId="1760" xr:uid="{00000000-0005-0000-0000-00001D080000}"/>
    <cellStyle name="원_2003사업계획입금자료 4" xfId="1761" xr:uid="{00000000-0005-0000-0000-00001E080000}"/>
    <cellStyle name="원_2003사업계획입금자료 5" xfId="1762" xr:uid="{00000000-0005-0000-0000-00001F080000}"/>
    <cellStyle name="원_2003사업계획입금자료 6" xfId="1763" xr:uid="{00000000-0005-0000-0000-000020080000}"/>
    <cellStyle name="원_2003사업계획입금자료 7" xfId="1764" xr:uid="{00000000-0005-0000-0000-000021080000}"/>
    <cellStyle name="원_2003사업계획입금자료 8" xfId="1765" xr:uid="{00000000-0005-0000-0000-000022080000}"/>
    <cellStyle name="원_2003사업계획입금자료 9" xfId="1766" xr:uid="{00000000-0005-0000-0000-000023080000}"/>
    <cellStyle name="원_2003차입금예산" xfId="1767" xr:uid="{00000000-0005-0000-0000-000024080000}"/>
    <cellStyle name="원_2004계량부문" xfId="1768" xr:uid="{00000000-0005-0000-0000-000025080000}"/>
    <cellStyle name="원_2004년 사업계획 (운송원가)03년누계" xfId="1769" xr:uid="{00000000-0005-0000-0000-000026080000}"/>
    <cellStyle name="원_2004년 사업계획 (운송원가)1" xfId="1770" xr:uid="{00000000-0005-0000-0000-000027080000}"/>
    <cellStyle name="원_2004년 사업계획 (운송원가)1 10" xfId="1771" xr:uid="{00000000-0005-0000-0000-000028080000}"/>
    <cellStyle name="원_2004년 사업계획 (운송원가)1 11" xfId="1772" xr:uid="{00000000-0005-0000-0000-000029080000}"/>
    <cellStyle name="원_2004년 사업계획 (운송원가)1 2" xfId="1773" xr:uid="{00000000-0005-0000-0000-00002A080000}"/>
    <cellStyle name="원_2004년 사업계획 (운송원가)1 3" xfId="1774" xr:uid="{00000000-0005-0000-0000-00002B080000}"/>
    <cellStyle name="원_2004년 사업계획 (운송원가)1 4" xfId="1775" xr:uid="{00000000-0005-0000-0000-00002C080000}"/>
    <cellStyle name="원_2004년 사업계획 (운송원가)1 5" xfId="1776" xr:uid="{00000000-0005-0000-0000-00002D080000}"/>
    <cellStyle name="원_2004년 사업계획 (운송원가)1 6" xfId="1777" xr:uid="{00000000-0005-0000-0000-00002E080000}"/>
    <cellStyle name="원_2004년 사업계획 (운송원가)1 7" xfId="1778" xr:uid="{00000000-0005-0000-0000-00002F080000}"/>
    <cellStyle name="원_2004년 사업계획 (운송원가)1 8" xfId="1779" xr:uid="{00000000-0005-0000-0000-000030080000}"/>
    <cellStyle name="원_2004년 사업계획 (운송원가)1 9" xfId="1780" xr:uid="{00000000-0005-0000-0000-000031080000}"/>
    <cellStyle name="원_2004년 입금계획(개발)" xfId="1781" xr:uid="{00000000-0005-0000-0000-000032080000}"/>
    <cellStyle name="원_2004년 입금계획(건축)" xfId="1782" xr:uid="{00000000-0005-0000-0000-000033080000}"/>
    <cellStyle name="원_2004년 입금계획(주택대여금)" xfId="1783" xr:uid="{00000000-0005-0000-0000-000034080000}"/>
    <cellStyle name="원_2004년 입금계획(주택사업)" xfId="1784" xr:uid="{00000000-0005-0000-0000-000035080000}"/>
    <cellStyle name="원_2004년 입금계획(주택사업) 10" xfId="1785" xr:uid="{00000000-0005-0000-0000-000036080000}"/>
    <cellStyle name="원_2004년 입금계획(주택사업) 11" xfId="1786" xr:uid="{00000000-0005-0000-0000-000037080000}"/>
    <cellStyle name="원_2004년 입금계획(주택사업) 2" xfId="1787" xr:uid="{00000000-0005-0000-0000-000038080000}"/>
    <cellStyle name="원_2004년 입금계획(주택사업) 3" xfId="1788" xr:uid="{00000000-0005-0000-0000-000039080000}"/>
    <cellStyle name="원_2004년 입금계획(주택사업) 4" xfId="1789" xr:uid="{00000000-0005-0000-0000-00003A080000}"/>
    <cellStyle name="원_2004년 입금계획(주택사업) 5" xfId="1790" xr:uid="{00000000-0005-0000-0000-00003B080000}"/>
    <cellStyle name="원_2004년 입금계획(주택사업) 6" xfId="1791" xr:uid="{00000000-0005-0000-0000-00003C080000}"/>
    <cellStyle name="원_2004년 입금계획(주택사업) 7" xfId="1792" xr:uid="{00000000-0005-0000-0000-00003D080000}"/>
    <cellStyle name="원_2004년 입금계획(주택사업) 8" xfId="1793" xr:uid="{00000000-0005-0000-0000-00003E080000}"/>
    <cellStyle name="원_2004년 입금계획(주택사업) 9" xfId="1794" xr:uid="{00000000-0005-0000-0000-00003F080000}"/>
    <cellStyle name="원_2004년 입금계획(환경)" xfId="1795" xr:uid="{00000000-0005-0000-0000-000040080000}"/>
    <cellStyle name="원_2004년사업계획(최종)" xfId="1796" xr:uid="{00000000-0005-0000-0000-000041080000}"/>
    <cellStyle name="원_31기32기" xfId="1797" xr:uid="{00000000-0005-0000-0000-000042080000}"/>
    <cellStyle name="원_NC125AA5A" xfId="1798" xr:uid="{00000000-0005-0000-0000-000043080000}"/>
    <cellStyle name="원_NC14E7869" xfId="1799" xr:uid="{00000000-0005-0000-0000-000044080000}"/>
    <cellStyle name="원_NC152E015C" xfId="1800" xr:uid="{00000000-0005-0000-0000-000045080000}"/>
    <cellStyle name="원_NC152E015C 10" xfId="1801" xr:uid="{00000000-0005-0000-0000-000046080000}"/>
    <cellStyle name="원_NC152E015C 11" xfId="1802" xr:uid="{00000000-0005-0000-0000-000047080000}"/>
    <cellStyle name="원_NC152E015C 2" xfId="1803" xr:uid="{00000000-0005-0000-0000-000048080000}"/>
    <cellStyle name="원_NC152E015C 3" xfId="1804" xr:uid="{00000000-0005-0000-0000-000049080000}"/>
    <cellStyle name="원_NC152E015C 4" xfId="1805" xr:uid="{00000000-0005-0000-0000-00004A080000}"/>
    <cellStyle name="원_NC152E015C 5" xfId="1806" xr:uid="{00000000-0005-0000-0000-00004B080000}"/>
    <cellStyle name="원_NC152E015C 6" xfId="1807" xr:uid="{00000000-0005-0000-0000-00004C080000}"/>
    <cellStyle name="원_NC152E015C 7" xfId="1808" xr:uid="{00000000-0005-0000-0000-00004D080000}"/>
    <cellStyle name="원_NC152E015C 8" xfId="1809" xr:uid="{00000000-0005-0000-0000-00004E080000}"/>
    <cellStyle name="원_NC152E015C 9" xfId="1810" xr:uid="{00000000-0005-0000-0000-00004F080000}"/>
    <cellStyle name="원_NC1539CF6E" xfId="1811" xr:uid="{00000000-0005-0000-0000-000050080000}"/>
    <cellStyle name="원_NC1539CF6E 10" xfId="1812" xr:uid="{00000000-0005-0000-0000-000051080000}"/>
    <cellStyle name="원_NC1539CF6E 11" xfId="1813" xr:uid="{00000000-0005-0000-0000-000052080000}"/>
    <cellStyle name="원_NC1539CF6E 2" xfId="1814" xr:uid="{00000000-0005-0000-0000-000053080000}"/>
    <cellStyle name="원_NC1539CF6E 3" xfId="1815" xr:uid="{00000000-0005-0000-0000-000054080000}"/>
    <cellStyle name="원_NC1539CF6E 4" xfId="1816" xr:uid="{00000000-0005-0000-0000-000055080000}"/>
    <cellStyle name="원_NC1539CF6E 5" xfId="1817" xr:uid="{00000000-0005-0000-0000-000056080000}"/>
    <cellStyle name="원_NC1539CF6E 6" xfId="1818" xr:uid="{00000000-0005-0000-0000-000057080000}"/>
    <cellStyle name="원_NC1539CF6E 7" xfId="1819" xr:uid="{00000000-0005-0000-0000-000058080000}"/>
    <cellStyle name="원_NC1539CF6E 8" xfId="1820" xr:uid="{00000000-0005-0000-0000-000059080000}"/>
    <cellStyle name="원_NC1539CF6E 9" xfId="1821" xr:uid="{00000000-0005-0000-0000-00005A080000}"/>
    <cellStyle name="원_NC15C5AFF" xfId="1822" xr:uid="{00000000-0005-0000-0000-00005B080000}"/>
    <cellStyle name="원_NC15C5AFF 10" xfId="1823" xr:uid="{00000000-0005-0000-0000-00005C080000}"/>
    <cellStyle name="원_NC15C5AFF 11" xfId="1824" xr:uid="{00000000-0005-0000-0000-00005D080000}"/>
    <cellStyle name="원_NC15C5AFF 2" xfId="1825" xr:uid="{00000000-0005-0000-0000-00005E080000}"/>
    <cellStyle name="원_NC15C5AFF 3" xfId="1826" xr:uid="{00000000-0005-0000-0000-00005F080000}"/>
    <cellStyle name="원_NC15C5AFF 4" xfId="1827" xr:uid="{00000000-0005-0000-0000-000060080000}"/>
    <cellStyle name="원_NC15C5AFF 5" xfId="1828" xr:uid="{00000000-0005-0000-0000-000061080000}"/>
    <cellStyle name="원_NC15C5AFF 6" xfId="1829" xr:uid="{00000000-0005-0000-0000-000062080000}"/>
    <cellStyle name="원_NC15C5AFF 7" xfId="1830" xr:uid="{00000000-0005-0000-0000-000063080000}"/>
    <cellStyle name="원_NC15C5AFF 8" xfId="1831" xr:uid="{00000000-0005-0000-0000-000064080000}"/>
    <cellStyle name="원_NC15C5AFF 9" xfId="1832" xr:uid="{00000000-0005-0000-0000-000065080000}"/>
    <cellStyle name="원_NC1910617" xfId="1833" xr:uid="{00000000-0005-0000-0000-000066080000}"/>
    <cellStyle name="원_NC1910617 10" xfId="1834" xr:uid="{00000000-0005-0000-0000-000067080000}"/>
    <cellStyle name="원_NC1910617 11" xfId="1835" xr:uid="{00000000-0005-0000-0000-000068080000}"/>
    <cellStyle name="원_NC1910617 2" xfId="1836" xr:uid="{00000000-0005-0000-0000-000069080000}"/>
    <cellStyle name="원_NC1910617 3" xfId="1837" xr:uid="{00000000-0005-0000-0000-00006A080000}"/>
    <cellStyle name="원_NC1910617 4" xfId="1838" xr:uid="{00000000-0005-0000-0000-00006B080000}"/>
    <cellStyle name="원_NC1910617 5" xfId="1839" xr:uid="{00000000-0005-0000-0000-00006C080000}"/>
    <cellStyle name="원_NC1910617 6" xfId="1840" xr:uid="{00000000-0005-0000-0000-00006D080000}"/>
    <cellStyle name="원_NC1910617 7" xfId="1841" xr:uid="{00000000-0005-0000-0000-00006E080000}"/>
    <cellStyle name="원_NC1910617 8" xfId="1842" xr:uid="{00000000-0005-0000-0000-00006F080000}"/>
    <cellStyle name="원_NC1910617 9" xfId="1843" xr:uid="{00000000-0005-0000-0000-000070080000}"/>
    <cellStyle name="원_NC22D3368" xfId="1844" xr:uid="{00000000-0005-0000-0000-000071080000}"/>
    <cellStyle name="원_NC22D3368 10" xfId="1845" xr:uid="{00000000-0005-0000-0000-000072080000}"/>
    <cellStyle name="원_NC22D3368 11" xfId="1846" xr:uid="{00000000-0005-0000-0000-000073080000}"/>
    <cellStyle name="원_NC22D3368 2" xfId="1847" xr:uid="{00000000-0005-0000-0000-000074080000}"/>
    <cellStyle name="원_NC22D3368 3" xfId="1848" xr:uid="{00000000-0005-0000-0000-000075080000}"/>
    <cellStyle name="원_NC22D3368 4" xfId="1849" xr:uid="{00000000-0005-0000-0000-000076080000}"/>
    <cellStyle name="원_NC22D3368 5" xfId="1850" xr:uid="{00000000-0005-0000-0000-000077080000}"/>
    <cellStyle name="원_NC22D3368 6" xfId="1851" xr:uid="{00000000-0005-0000-0000-000078080000}"/>
    <cellStyle name="원_NC22D3368 7" xfId="1852" xr:uid="{00000000-0005-0000-0000-000079080000}"/>
    <cellStyle name="원_NC22D3368 8" xfId="1853" xr:uid="{00000000-0005-0000-0000-00007A080000}"/>
    <cellStyle name="원_NC22D3368 9" xfId="1854" xr:uid="{00000000-0005-0000-0000-00007B080000}"/>
    <cellStyle name="원_NC23F4EE" xfId="1855" xr:uid="{00000000-0005-0000-0000-00007C080000}"/>
    <cellStyle name="원_NC28AC271" xfId="1856" xr:uid="{00000000-0005-0000-0000-00007D080000}"/>
    <cellStyle name="원_NC28AC271 10" xfId="1857" xr:uid="{00000000-0005-0000-0000-00007E080000}"/>
    <cellStyle name="원_NC28AC271 11" xfId="1858" xr:uid="{00000000-0005-0000-0000-00007F080000}"/>
    <cellStyle name="원_NC28AC271 2" xfId="1859" xr:uid="{00000000-0005-0000-0000-000080080000}"/>
    <cellStyle name="원_NC28AC271 3" xfId="1860" xr:uid="{00000000-0005-0000-0000-000081080000}"/>
    <cellStyle name="원_NC28AC271 4" xfId="1861" xr:uid="{00000000-0005-0000-0000-000082080000}"/>
    <cellStyle name="원_NC28AC271 5" xfId="1862" xr:uid="{00000000-0005-0000-0000-000083080000}"/>
    <cellStyle name="원_NC28AC271 6" xfId="1863" xr:uid="{00000000-0005-0000-0000-000084080000}"/>
    <cellStyle name="원_NC28AC271 7" xfId="1864" xr:uid="{00000000-0005-0000-0000-000085080000}"/>
    <cellStyle name="원_NC28AC271 8" xfId="1865" xr:uid="{00000000-0005-0000-0000-000086080000}"/>
    <cellStyle name="원_NC28AC271 9" xfId="1866" xr:uid="{00000000-0005-0000-0000-000087080000}"/>
    <cellStyle name="원_NC2BF36D" xfId="1867" xr:uid="{00000000-0005-0000-0000-000088080000}"/>
    <cellStyle name="원_NC2BF36D 10" xfId="1868" xr:uid="{00000000-0005-0000-0000-000089080000}"/>
    <cellStyle name="원_NC2BF36D 11" xfId="1869" xr:uid="{00000000-0005-0000-0000-00008A080000}"/>
    <cellStyle name="원_NC2BF36D 2" xfId="1870" xr:uid="{00000000-0005-0000-0000-00008B080000}"/>
    <cellStyle name="원_NC2BF36D 3" xfId="1871" xr:uid="{00000000-0005-0000-0000-00008C080000}"/>
    <cellStyle name="원_NC2BF36D 4" xfId="1872" xr:uid="{00000000-0005-0000-0000-00008D080000}"/>
    <cellStyle name="원_NC2BF36D 5" xfId="1873" xr:uid="{00000000-0005-0000-0000-00008E080000}"/>
    <cellStyle name="원_NC2BF36D 6" xfId="1874" xr:uid="{00000000-0005-0000-0000-00008F080000}"/>
    <cellStyle name="원_NC2BF36D 7" xfId="1875" xr:uid="{00000000-0005-0000-0000-000090080000}"/>
    <cellStyle name="원_NC2BF36D 8" xfId="1876" xr:uid="{00000000-0005-0000-0000-000091080000}"/>
    <cellStyle name="원_NC2BF36D 9" xfId="1877" xr:uid="{00000000-0005-0000-0000-000092080000}"/>
    <cellStyle name="원_NC2BF36D_NC3938D70" xfId="1878" xr:uid="{00000000-0005-0000-0000-000093080000}"/>
    <cellStyle name="원_NC2BF36D_NC3938D70 10" xfId="1879" xr:uid="{00000000-0005-0000-0000-000094080000}"/>
    <cellStyle name="원_NC2BF36D_NC3938D70 11" xfId="1880" xr:uid="{00000000-0005-0000-0000-000095080000}"/>
    <cellStyle name="원_NC2BF36D_NC3938D70 2" xfId="1881" xr:uid="{00000000-0005-0000-0000-000096080000}"/>
    <cellStyle name="원_NC2BF36D_NC3938D70 3" xfId="1882" xr:uid="{00000000-0005-0000-0000-000097080000}"/>
    <cellStyle name="원_NC2BF36D_NC3938D70 4" xfId="1883" xr:uid="{00000000-0005-0000-0000-000098080000}"/>
    <cellStyle name="원_NC2BF36D_NC3938D70 5" xfId="1884" xr:uid="{00000000-0005-0000-0000-000099080000}"/>
    <cellStyle name="원_NC2BF36D_NC3938D70 6" xfId="1885" xr:uid="{00000000-0005-0000-0000-00009A080000}"/>
    <cellStyle name="원_NC2BF36D_NC3938D70 7" xfId="1886" xr:uid="{00000000-0005-0000-0000-00009B080000}"/>
    <cellStyle name="원_NC2BF36D_NC3938D70 8" xfId="1887" xr:uid="{00000000-0005-0000-0000-00009C080000}"/>
    <cellStyle name="원_NC2BF36D_NC3938D70 9" xfId="1888" xr:uid="{00000000-0005-0000-0000-00009D080000}"/>
    <cellStyle name="원_NC2CE385" xfId="1889" xr:uid="{00000000-0005-0000-0000-00009E080000}"/>
    <cellStyle name="원_NC2CE385_2003사업계획입금자료" xfId="1890" xr:uid="{00000000-0005-0000-0000-00009F080000}"/>
    <cellStyle name="원_NC2ECD008" xfId="1891" xr:uid="{00000000-0005-0000-0000-0000A0080000}"/>
    <cellStyle name="원_NC2ECD008 10" xfId="1892" xr:uid="{00000000-0005-0000-0000-0000A1080000}"/>
    <cellStyle name="원_NC2ECD008 11" xfId="1893" xr:uid="{00000000-0005-0000-0000-0000A2080000}"/>
    <cellStyle name="원_NC2ECD008 2" xfId="1894" xr:uid="{00000000-0005-0000-0000-0000A3080000}"/>
    <cellStyle name="원_NC2ECD008 3" xfId="1895" xr:uid="{00000000-0005-0000-0000-0000A4080000}"/>
    <cellStyle name="원_NC2ECD008 4" xfId="1896" xr:uid="{00000000-0005-0000-0000-0000A5080000}"/>
    <cellStyle name="원_NC2ECD008 5" xfId="1897" xr:uid="{00000000-0005-0000-0000-0000A6080000}"/>
    <cellStyle name="원_NC2ECD008 6" xfId="1898" xr:uid="{00000000-0005-0000-0000-0000A7080000}"/>
    <cellStyle name="원_NC2ECD008 7" xfId="1899" xr:uid="{00000000-0005-0000-0000-0000A8080000}"/>
    <cellStyle name="원_NC2ECD008 8" xfId="1900" xr:uid="{00000000-0005-0000-0000-0000A9080000}"/>
    <cellStyle name="원_NC2ECD008 9" xfId="1901" xr:uid="{00000000-0005-0000-0000-0000AA080000}"/>
    <cellStyle name="원_NC3EA7472" xfId="1902" xr:uid="{00000000-0005-0000-0000-0000AB080000}"/>
    <cellStyle name="원_NC3EA7472 10" xfId="1903" xr:uid="{00000000-0005-0000-0000-0000AC080000}"/>
    <cellStyle name="원_NC3EA7472 11" xfId="1904" xr:uid="{00000000-0005-0000-0000-0000AD080000}"/>
    <cellStyle name="원_NC3EA7472 2" xfId="1905" xr:uid="{00000000-0005-0000-0000-0000AE080000}"/>
    <cellStyle name="원_NC3EA7472 3" xfId="1906" xr:uid="{00000000-0005-0000-0000-0000AF080000}"/>
    <cellStyle name="원_NC3EA7472 4" xfId="1907" xr:uid="{00000000-0005-0000-0000-0000B0080000}"/>
    <cellStyle name="원_NC3EA7472 5" xfId="1908" xr:uid="{00000000-0005-0000-0000-0000B1080000}"/>
    <cellStyle name="원_NC3EA7472 6" xfId="1909" xr:uid="{00000000-0005-0000-0000-0000B2080000}"/>
    <cellStyle name="원_NC3EA7472 7" xfId="1910" xr:uid="{00000000-0005-0000-0000-0000B3080000}"/>
    <cellStyle name="원_NC3EA7472 8" xfId="1911" xr:uid="{00000000-0005-0000-0000-0000B4080000}"/>
    <cellStyle name="원_NC3EA7472 9" xfId="1912" xr:uid="{00000000-0005-0000-0000-0000B5080000}"/>
    <cellStyle name="원_NC4231C" xfId="1913" xr:uid="{00000000-0005-0000-0000-0000B6080000}"/>
    <cellStyle name="원_NC4231C 10" xfId="1914" xr:uid="{00000000-0005-0000-0000-0000B7080000}"/>
    <cellStyle name="원_NC4231C 11" xfId="1915" xr:uid="{00000000-0005-0000-0000-0000B8080000}"/>
    <cellStyle name="원_NC4231C 2" xfId="1916" xr:uid="{00000000-0005-0000-0000-0000B9080000}"/>
    <cellStyle name="원_NC4231C 3" xfId="1917" xr:uid="{00000000-0005-0000-0000-0000BA080000}"/>
    <cellStyle name="원_NC4231C 4" xfId="1918" xr:uid="{00000000-0005-0000-0000-0000BB080000}"/>
    <cellStyle name="원_NC4231C 5" xfId="1919" xr:uid="{00000000-0005-0000-0000-0000BC080000}"/>
    <cellStyle name="원_NC4231C 6" xfId="1920" xr:uid="{00000000-0005-0000-0000-0000BD080000}"/>
    <cellStyle name="원_NC4231C 7" xfId="1921" xr:uid="{00000000-0005-0000-0000-0000BE080000}"/>
    <cellStyle name="원_NC4231C 8" xfId="1922" xr:uid="{00000000-0005-0000-0000-0000BF080000}"/>
    <cellStyle name="원_NC4231C 9" xfId="1923" xr:uid="{00000000-0005-0000-0000-0000C0080000}"/>
    <cellStyle name="원_NC4E0B9715" xfId="1924" xr:uid="{00000000-0005-0000-0000-0000C1080000}"/>
    <cellStyle name="원_NC75FB9" xfId="1925" xr:uid="{00000000-0005-0000-0000-0000C2080000}"/>
    <cellStyle name="원_NC75FB9 10" xfId="1926" xr:uid="{00000000-0005-0000-0000-0000C3080000}"/>
    <cellStyle name="원_NC75FB9 11" xfId="1927" xr:uid="{00000000-0005-0000-0000-0000C4080000}"/>
    <cellStyle name="원_NC75FB9 2" xfId="1928" xr:uid="{00000000-0005-0000-0000-0000C5080000}"/>
    <cellStyle name="원_NC75FB9 3" xfId="1929" xr:uid="{00000000-0005-0000-0000-0000C6080000}"/>
    <cellStyle name="원_NC75FB9 4" xfId="1930" xr:uid="{00000000-0005-0000-0000-0000C7080000}"/>
    <cellStyle name="원_NC75FB9 5" xfId="1931" xr:uid="{00000000-0005-0000-0000-0000C8080000}"/>
    <cellStyle name="원_NC75FB9 6" xfId="1932" xr:uid="{00000000-0005-0000-0000-0000C9080000}"/>
    <cellStyle name="원_NC75FB9 7" xfId="1933" xr:uid="{00000000-0005-0000-0000-0000CA080000}"/>
    <cellStyle name="원_NC75FB9 8" xfId="1934" xr:uid="{00000000-0005-0000-0000-0000CB080000}"/>
    <cellStyle name="원_NC75FB9 9" xfId="1935" xr:uid="{00000000-0005-0000-0000-0000CC080000}"/>
    <cellStyle name="원_NC775117" xfId="1936" xr:uid="{00000000-0005-0000-0000-0000CD080000}"/>
    <cellStyle name="원_NCD28590" xfId="1937" xr:uid="{00000000-0005-0000-0000-0000CE080000}"/>
    <cellStyle name="원_NCF6BB2F" xfId="1938" xr:uid="{00000000-0005-0000-0000-0000CF080000}"/>
    <cellStyle name="원_NCF6BB2F 10" xfId="1939" xr:uid="{00000000-0005-0000-0000-0000D0080000}"/>
    <cellStyle name="원_NCF6BB2F 11" xfId="1940" xr:uid="{00000000-0005-0000-0000-0000D1080000}"/>
    <cellStyle name="원_NCF6BB2F 2" xfId="1941" xr:uid="{00000000-0005-0000-0000-0000D2080000}"/>
    <cellStyle name="원_NCF6BB2F 3" xfId="1942" xr:uid="{00000000-0005-0000-0000-0000D3080000}"/>
    <cellStyle name="원_NCF6BB2F 4" xfId="1943" xr:uid="{00000000-0005-0000-0000-0000D4080000}"/>
    <cellStyle name="원_NCF6BB2F 5" xfId="1944" xr:uid="{00000000-0005-0000-0000-0000D5080000}"/>
    <cellStyle name="원_NCF6BB2F 6" xfId="1945" xr:uid="{00000000-0005-0000-0000-0000D6080000}"/>
    <cellStyle name="원_NCF6BB2F 7" xfId="1946" xr:uid="{00000000-0005-0000-0000-0000D7080000}"/>
    <cellStyle name="원_NCF6BB2F 8" xfId="1947" xr:uid="{00000000-0005-0000-0000-0000D8080000}"/>
    <cellStyle name="원_NCF6BB2F 9" xfId="1948" xr:uid="{00000000-0005-0000-0000-0000D9080000}"/>
    <cellStyle name="원_NCF6BB2F_(그룹)차입금 관련지표 051005" xfId="1949" xr:uid="{00000000-0005-0000-0000-0000DA080000}"/>
    <cellStyle name="원_NCF6BB2F_(그룹)차입금 관련지표 051005 10" xfId="1950" xr:uid="{00000000-0005-0000-0000-0000DB080000}"/>
    <cellStyle name="원_NCF6BB2F_(그룹)차입금 관련지표 051005 11" xfId="1951" xr:uid="{00000000-0005-0000-0000-0000DC080000}"/>
    <cellStyle name="원_NCF6BB2F_(그룹)차입금 관련지표 051005 2" xfId="1952" xr:uid="{00000000-0005-0000-0000-0000DD080000}"/>
    <cellStyle name="원_NCF6BB2F_(그룹)차입금 관련지표 051005 3" xfId="1953" xr:uid="{00000000-0005-0000-0000-0000DE080000}"/>
    <cellStyle name="원_NCF6BB2F_(그룹)차입금 관련지표 051005 4" xfId="1954" xr:uid="{00000000-0005-0000-0000-0000DF080000}"/>
    <cellStyle name="원_NCF6BB2F_(그룹)차입금 관련지표 051005 5" xfId="1955" xr:uid="{00000000-0005-0000-0000-0000E0080000}"/>
    <cellStyle name="원_NCF6BB2F_(그룹)차입금 관련지표 051005 6" xfId="1956" xr:uid="{00000000-0005-0000-0000-0000E1080000}"/>
    <cellStyle name="원_NCF6BB2F_(그룹)차입금 관련지표 051005 7" xfId="1957" xr:uid="{00000000-0005-0000-0000-0000E2080000}"/>
    <cellStyle name="원_NCF6BB2F_(그룹)차입금 관련지표 051005 8" xfId="1958" xr:uid="{00000000-0005-0000-0000-0000E3080000}"/>
    <cellStyle name="원_NCF6BB2F_(그룹)차입금 관련지표 051005 9" xfId="1959" xr:uid="{00000000-0005-0000-0000-0000E4080000}"/>
    <cellStyle name="원_NCF6BB2F_0304분석-1" xfId="1960" xr:uid="{00000000-0005-0000-0000-0000E5080000}"/>
    <cellStyle name="원_NCF6BB2F_0304분석-1 10" xfId="1961" xr:uid="{00000000-0005-0000-0000-0000E6080000}"/>
    <cellStyle name="원_NCF6BB2F_0304분석-1 11" xfId="1962" xr:uid="{00000000-0005-0000-0000-0000E7080000}"/>
    <cellStyle name="원_NCF6BB2F_0304분석-1 2" xfId="1963" xr:uid="{00000000-0005-0000-0000-0000E8080000}"/>
    <cellStyle name="원_NCF6BB2F_0304분석-1 3" xfId="1964" xr:uid="{00000000-0005-0000-0000-0000E9080000}"/>
    <cellStyle name="원_NCF6BB2F_0304분석-1 4" xfId="1965" xr:uid="{00000000-0005-0000-0000-0000EA080000}"/>
    <cellStyle name="원_NCF6BB2F_0304분석-1 5" xfId="1966" xr:uid="{00000000-0005-0000-0000-0000EB080000}"/>
    <cellStyle name="원_NCF6BB2F_0304분석-1 6" xfId="1967" xr:uid="{00000000-0005-0000-0000-0000EC080000}"/>
    <cellStyle name="원_NCF6BB2F_0304분석-1 7" xfId="1968" xr:uid="{00000000-0005-0000-0000-0000ED080000}"/>
    <cellStyle name="원_NCF6BB2F_0304분석-1 8" xfId="1969" xr:uid="{00000000-0005-0000-0000-0000EE080000}"/>
    <cellStyle name="원_NCF6BB2F_0304분석-1 9" xfId="1970" xr:uid="{00000000-0005-0000-0000-0000EF080000}"/>
    <cellStyle name="원_NCF6BB2F_04. 1.14" xfId="1971" xr:uid="{00000000-0005-0000-0000-0000F0080000}"/>
    <cellStyle name="원_NCF6BB2F_04. 1.14 10" xfId="1972" xr:uid="{00000000-0005-0000-0000-0000F1080000}"/>
    <cellStyle name="원_NCF6BB2F_04. 1.14 11" xfId="1973" xr:uid="{00000000-0005-0000-0000-0000F2080000}"/>
    <cellStyle name="원_NCF6BB2F_04. 1.14 2" xfId="1974" xr:uid="{00000000-0005-0000-0000-0000F3080000}"/>
    <cellStyle name="원_NCF6BB2F_04. 1.14 3" xfId="1975" xr:uid="{00000000-0005-0000-0000-0000F4080000}"/>
    <cellStyle name="원_NCF6BB2F_04. 1.14 4" xfId="1976" xr:uid="{00000000-0005-0000-0000-0000F5080000}"/>
    <cellStyle name="원_NCF6BB2F_04. 1.14 5" xfId="1977" xr:uid="{00000000-0005-0000-0000-0000F6080000}"/>
    <cellStyle name="원_NCF6BB2F_04. 1.14 6" xfId="1978" xr:uid="{00000000-0005-0000-0000-0000F7080000}"/>
    <cellStyle name="원_NCF6BB2F_04. 1.14 7" xfId="1979" xr:uid="{00000000-0005-0000-0000-0000F8080000}"/>
    <cellStyle name="원_NCF6BB2F_04. 1.14 8" xfId="1980" xr:uid="{00000000-0005-0000-0000-0000F9080000}"/>
    <cellStyle name="원_NCF6BB2F_04. 1.14 9" xfId="1981" xr:uid="{00000000-0005-0000-0000-0000FA080000}"/>
    <cellStyle name="원_NCF6BB2F_04.12.21" xfId="1982" xr:uid="{00000000-0005-0000-0000-0000FB080000}"/>
    <cellStyle name="원_NCF6BB2F_04.12.21 10" xfId="1983" xr:uid="{00000000-0005-0000-0000-0000FC080000}"/>
    <cellStyle name="원_NCF6BB2F_04.12.21 11" xfId="1984" xr:uid="{00000000-0005-0000-0000-0000FD080000}"/>
    <cellStyle name="원_NCF6BB2F_04.12.21 2" xfId="1985" xr:uid="{00000000-0005-0000-0000-0000FE080000}"/>
    <cellStyle name="원_NCF6BB2F_04.12.21 3" xfId="1986" xr:uid="{00000000-0005-0000-0000-0000FF080000}"/>
    <cellStyle name="원_NCF6BB2F_04.12.21 4" xfId="1987" xr:uid="{00000000-0005-0000-0000-000000090000}"/>
    <cellStyle name="원_NCF6BB2F_04.12.21 5" xfId="1988" xr:uid="{00000000-0005-0000-0000-000001090000}"/>
    <cellStyle name="원_NCF6BB2F_04.12.21 6" xfId="1989" xr:uid="{00000000-0005-0000-0000-000002090000}"/>
    <cellStyle name="원_NCF6BB2F_04.12.21 7" xfId="1990" xr:uid="{00000000-0005-0000-0000-000003090000}"/>
    <cellStyle name="원_NCF6BB2F_04.12.21 8" xfId="1991" xr:uid="{00000000-0005-0000-0000-000004090000}"/>
    <cellStyle name="원_NCF6BB2F_04.12.21 9" xfId="1992" xr:uid="{00000000-0005-0000-0000-000005090000}"/>
    <cellStyle name="원_NCF6BB2F_05.1.18재무(회장님수정)" xfId="1993" xr:uid="{00000000-0005-0000-0000-000006090000}"/>
    <cellStyle name="원_NCF6BB2F_05.1.18재무(회장님수정) 10" xfId="1994" xr:uid="{00000000-0005-0000-0000-000007090000}"/>
    <cellStyle name="원_NCF6BB2F_05.1.18재무(회장님수정) 11" xfId="1995" xr:uid="{00000000-0005-0000-0000-000008090000}"/>
    <cellStyle name="원_NCF6BB2F_05.1.18재무(회장님수정) 2" xfId="1996" xr:uid="{00000000-0005-0000-0000-000009090000}"/>
    <cellStyle name="원_NCF6BB2F_05.1.18재무(회장님수정) 3" xfId="1997" xr:uid="{00000000-0005-0000-0000-00000A090000}"/>
    <cellStyle name="원_NCF6BB2F_05.1.18재무(회장님수정) 4" xfId="1998" xr:uid="{00000000-0005-0000-0000-00000B090000}"/>
    <cellStyle name="원_NCF6BB2F_05.1.18재무(회장님수정) 5" xfId="1999" xr:uid="{00000000-0005-0000-0000-00000C090000}"/>
    <cellStyle name="원_NCF6BB2F_05.1.18재무(회장님수정) 6" xfId="2000" xr:uid="{00000000-0005-0000-0000-00000D090000}"/>
    <cellStyle name="원_NCF6BB2F_05.1.18재무(회장님수정) 7" xfId="2001" xr:uid="{00000000-0005-0000-0000-00000E090000}"/>
    <cellStyle name="원_NCF6BB2F_05.1.18재무(회장님수정) 8" xfId="2002" xr:uid="{00000000-0005-0000-0000-00000F090000}"/>
    <cellStyle name="원_NCF6BB2F_05.1.18재무(회장님수정) 9" xfId="2003" xr:uid="{00000000-0005-0000-0000-000010090000}"/>
    <cellStyle name="원_NCF6BB2F_2003사업계획입금자료" xfId="2004" xr:uid="{00000000-0005-0000-0000-000011090000}"/>
    <cellStyle name="원_NCF6BB2F_2003사업계획입금자료 10" xfId="2005" xr:uid="{00000000-0005-0000-0000-000012090000}"/>
    <cellStyle name="원_NCF6BB2F_2003사업계획입금자료 11" xfId="2006" xr:uid="{00000000-0005-0000-0000-000013090000}"/>
    <cellStyle name="원_NCF6BB2F_2003사업계획입금자료 2" xfId="2007" xr:uid="{00000000-0005-0000-0000-000014090000}"/>
    <cellStyle name="원_NCF6BB2F_2003사업계획입금자료 3" xfId="2008" xr:uid="{00000000-0005-0000-0000-000015090000}"/>
    <cellStyle name="원_NCF6BB2F_2003사업계획입금자료 4" xfId="2009" xr:uid="{00000000-0005-0000-0000-000016090000}"/>
    <cellStyle name="원_NCF6BB2F_2003사업계획입금자료 5" xfId="2010" xr:uid="{00000000-0005-0000-0000-000017090000}"/>
    <cellStyle name="원_NCF6BB2F_2003사업계획입금자료 6" xfId="2011" xr:uid="{00000000-0005-0000-0000-000018090000}"/>
    <cellStyle name="원_NCF6BB2F_2003사업계획입금자료 7" xfId="2012" xr:uid="{00000000-0005-0000-0000-000019090000}"/>
    <cellStyle name="원_NCF6BB2F_2003사업계획입금자료 8" xfId="2013" xr:uid="{00000000-0005-0000-0000-00001A090000}"/>
    <cellStyle name="원_NCF6BB2F_2003사업계획입금자료 9" xfId="2014" xr:uid="{00000000-0005-0000-0000-00001B090000}"/>
    <cellStyle name="원_NCF6BB2F_2004년사업계획(최종)" xfId="2015" xr:uid="{00000000-0005-0000-0000-00001C090000}"/>
    <cellStyle name="원_NCF6BB2F_2004년사업계획(최종) 10" xfId="2016" xr:uid="{00000000-0005-0000-0000-00001D090000}"/>
    <cellStyle name="원_NCF6BB2F_2004년사업계획(최종) 11" xfId="2017" xr:uid="{00000000-0005-0000-0000-00001E090000}"/>
    <cellStyle name="원_NCF6BB2F_2004년사업계획(최종) 2" xfId="2018" xr:uid="{00000000-0005-0000-0000-00001F090000}"/>
    <cellStyle name="원_NCF6BB2F_2004년사업계획(최종) 3" xfId="2019" xr:uid="{00000000-0005-0000-0000-000020090000}"/>
    <cellStyle name="원_NCF6BB2F_2004년사업계획(최종) 4" xfId="2020" xr:uid="{00000000-0005-0000-0000-000021090000}"/>
    <cellStyle name="원_NCF6BB2F_2004년사업계획(최종) 5" xfId="2021" xr:uid="{00000000-0005-0000-0000-000022090000}"/>
    <cellStyle name="원_NCF6BB2F_2004년사업계획(최종) 6" xfId="2022" xr:uid="{00000000-0005-0000-0000-000023090000}"/>
    <cellStyle name="원_NCF6BB2F_2004년사업계획(최종) 7" xfId="2023" xr:uid="{00000000-0005-0000-0000-000024090000}"/>
    <cellStyle name="원_NCF6BB2F_2004년사업계획(최종) 8" xfId="2024" xr:uid="{00000000-0005-0000-0000-000025090000}"/>
    <cellStyle name="원_NCF6BB2F_2004년사업계획(최종) 9" xfId="2025" xr:uid="{00000000-0005-0000-0000-000026090000}"/>
    <cellStyle name="원_NCF6BB2F_4.세부양식" xfId="2026" xr:uid="{00000000-0005-0000-0000-000027090000}"/>
    <cellStyle name="원_NCF6BB2F_4.세부양식 10" xfId="2027" xr:uid="{00000000-0005-0000-0000-000028090000}"/>
    <cellStyle name="원_NCF6BB2F_4.세부양식 11" xfId="2028" xr:uid="{00000000-0005-0000-0000-000029090000}"/>
    <cellStyle name="원_NCF6BB2F_4.세부양식 2" xfId="2029" xr:uid="{00000000-0005-0000-0000-00002A090000}"/>
    <cellStyle name="원_NCF6BB2F_4.세부양식 3" xfId="2030" xr:uid="{00000000-0005-0000-0000-00002B090000}"/>
    <cellStyle name="원_NCF6BB2F_4.세부양식 4" xfId="2031" xr:uid="{00000000-0005-0000-0000-00002C090000}"/>
    <cellStyle name="원_NCF6BB2F_4.세부양식 5" xfId="2032" xr:uid="{00000000-0005-0000-0000-00002D090000}"/>
    <cellStyle name="원_NCF6BB2F_4.세부양식 6" xfId="2033" xr:uid="{00000000-0005-0000-0000-00002E090000}"/>
    <cellStyle name="원_NCF6BB2F_4.세부양식 7" xfId="2034" xr:uid="{00000000-0005-0000-0000-00002F090000}"/>
    <cellStyle name="원_NCF6BB2F_4.세부양식 8" xfId="2035" xr:uid="{00000000-0005-0000-0000-000030090000}"/>
    <cellStyle name="원_NCF6BB2F_4.세부양식 9" xfId="2036" xr:uid="{00000000-0005-0000-0000-000031090000}"/>
    <cellStyle name="원_NCF6BB2F_NC104743E2" xfId="2037" xr:uid="{00000000-0005-0000-0000-000032090000}"/>
    <cellStyle name="원_NCF6BB2F_NC104743E2 10" xfId="2038" xr:uid="{00000000-0005-0000-0000-000033090000}"/>
    <cellStyle name="원_NCF6BB2F_NC104743E2 11" xfId="2039" xr:uid="{00000000-0005-0000-0000-000034090000}"/>
    <cellStyle name="원_NCF6BB2F_NC104743E2 2" xfId="2040" xr:uid="{00000000-0005-0000-0000-000035090000}"/>
    <cellStyle name="원_NCF6BB2F_NC104743E2 3" xfId="2041" xr:uid="{00000000-0005-0000-0000-000036090000}"/>
    <cellStyle name="원_NCF6BB2F_NC104743E2 4" xfId="2042" xr:uid="{00000000-0005-0000-0000-000037090000}"/>
    <cellStyle name="원_NCF6BB2F_NC104743E2 5" xfId="2043" xr:uid="{00000000-0005-0000-0000-000038090000}"/>
    <cellStyle name="원_NCF6BB2F_NC104743E2 6" xfId="2044" xr:uid="{00000000-0005-0000-0000-000039090000}"/>
    <cellStyle name="원_NCF6BB2F_NC104743E2 7" xfId="2045" xr:uid="{00000000-0005-0000-0000-00003A090000}"/>
    <cellStyle name="원_NCF6BB2F_NC104743E2 8" xfId="2046" xr:uid="{00000000-0005-0000-0000-00003B090000}"/>
    <cellStyle name="원_NCF6BB2F_NC104743E2 9" xfId="2047" xr:uid="{00000000-0005-0000-0000-00003C090000}"/>
    <cellStyle name="원_NCF6BB2F_NC1E7378D" xfId="2048" xr:uid="{00000000-0005-0000-0000-00003D090000}"/>
    <cellStyle name="원_NCF6BB2F_NC1E7378D 10" xfId="2049" xr:uid="{00000000-0005-0000-0000-00003E090000}"/>
    <cellStyle name="원_NCF6BB2F_NC1E7378D 11" xfId="2050" xr:uid="{00000000-0005-0000-0000-00003F090000}"/>
    <cellStyle name="원_NCF6BB2F_NC1E7378D 2" xfId="2051" xr:uid="{00000000-0005-0000-0000-000040090000}"/>
    <cellStyle name="원_NCF6BB2F_NC1E7378D 3" xfId="2052" xr:uid="{00000000-0005-0000-0000-000041090000}"/>
    <cellStyle name="원_NCF6BB2F_NC1E7378D 4" xfId="2053" xr:uid="{00000000-0005-0000-0000-000042090000}"/>
    <cellStyle name="원_NCF6BB2F_NC1E7378D 5" xfId="2054" xr:uid="{00000000-0005-0000-0000-000043090000}"/>
    <cellStyle name="원_NCF6BB2F_NC1E7378D 6" xfId="2055" xr:uid="{00000000-0005-0000-0000-000044090000}"/>
    <cellStyle name="원_NCF6BB2F_NC1E7378D 7" xfId="2056" xr:uid="{00000000-0005-0000-0000-000045090000}"/>
    <cellStyle name="원_NCF6BB2F_NC1E7378D 8" xfId="2057" xr:uid="{00000000-0005-0000-0000-000046090000}"/>
    <cellStyle name="원_NCF6BB2F_NC1E7378D 9" xfId="2058" xr:uid="{00000000-0005-0000-0000-000047090000}"/>
    <cellStyle name="원_NCF6BB2F_NC4CA604" xfId="2059" xr:uid="{00000000-0005-0000-0000-000048090000}"/>
    <cellStyle name="원_NCF6BB2F_NC4CA604 10" xfId="2060" xr:uid="{00000000-0005-0000-0000-000049090000}"/>
    <cellStyle name="원_NCF6BB2F_NC4CA604 11" xfId="2061" xr:uid="{00000000-0005-0000-0000-00004A090000}"/>
    <cellStyle name="원_NCF6BB2F_NC4CA604 2" xfId="2062" xr:uid="{00000000-0005-0000-0000-00004B090000}"/>
    <cellStyle name="원_NCF6BB2F_NC4CA604 3" xfId="2063" xr:uid="{00000000-0005-0000-0000-00004C090000}"/>
    <cellStyle name="원_NCF6BB2F_NC4CA604 4" xfId="2064" xr:uid="{00000000-0005-0000-0000-00004D090000}"/>
    <cellStyle name="원_NCF6BB2F_NC4CA604 5" xfId="2065" xr:uid="{00000000-0005-0000-0000-00004E090000}"/>
    <cellStyle name="원_NCF6BB2F_NC4CA604 6" xfId="2066" xr:uid="{00000000-0005-0000-0000-00004F090000}"/>
    <cellStyle name="원_NCF6BB2F_NC4CA604 7" xfId="2067" xr:uid="{00000000-0005-0000-0000-000050090000}"/>
    <cellStyle name="원_NCF6BB2F_NC4CA604 8" xfId="2068" xr:uid="{00000000-0005-0000-0000-000051090000}"/>
    <cellStyle name="원_NCF6BB2F_NC4CA604 9" xfId="2069" xr:uid="{00000000-0005-0000-0000-000052090000}"/>
    <cellStyle name="원_NCF6BB2F_공표손익차이분석화학020304" xfId="2070" xr:uid="{00000000-0005-0000-0000-000053090000}"/>
    <cellStyle name="원_NCF6BB2F_공표손익차이분석화학020304_(그룹)차입금 관련지표 051005" xfId="2071" xr:uid="{00000000-0005-0000-0000-000054090000}"/>
    <cellStyle name="원_NCF6BB2F_공표손익차이분석화학020304_04. 1.14" xfId="2072" xr:uid="{00000000-0005-0000-0000-000055090000}"/>
    <cellStyle name="원_NCF6BB2F_공표손익차이분석화학020304_04.12.21" xfId="2073" xr:uid="{00000000-0005-0000-0000-000056090000}"/>
    <cellStyle name="원_NCF6BB2F_공표손익차이분석화학020304_05.1.18재무(회장님수정)" xfId="2074" xr:uid="{00000000-0005-0000-0000-000057090000}"/>
    <cellStyle name="원_NCF6BB2F_공표손익차이분석화학020304_재무대책양식05. 3.15" xfId="2075" xr:uid="{00000000-0005-0000-0000-000058090000}"/>
    <cellStyle name="원_NCF6BB2F_공표손익차이분석화학020304_차이분석(6월누계목표실적)" xfId="2076" xr:uid="{00000000-0005-0000-0000-000059090000}"/>
    <cellStyle name="원_NCF6BB2F_공표손익차이분석화학020304_차이분석(6월전년동기실적)" xfId="2077" xr:uid="{00000000-0005-0000-0000-00005A090000}"/>
    <cellStyle name="원_NCF6BB2F_공표손익차이분석화학020304_차이분석(하반기목표실적)" xfId="2078" xr:uid="{00000000-0005-0000-0000-00005B090000}"/>
    <cellStyle name="원_NCF6BB2F_공표손익차이분석화학020304_차입금 관련지표 051005" xfId="2079" xr:uid="{00000000-0005-0000-0000-00005C090000}"/>
    <cellStyle name="원_NCF6BB2F_공표손익차이분석화학020304_차입금및금리지수" xfId="2080" xr:uid="{00000000-0005-0000-0000-00005D090000}"/>
    <cellStyle name="원_NCF6BB2F_재무대책양식05. 3.15" xfId="2081" xr:uid="{00000000-0005-0000-0000-00005E090000}"/>
    <cellStyle name="원_NCF6BB2F_재무대책양식05. 3.15 10" xfId="2082" xr:uid="{00000000-0005-0000-0000-00005F090000}"/>
    <cellStyle name="원_NCF6BB2F_재무대책양식05. 3.15 11" xfId="2083" xr:uid="{00000000-0005-0000-0000-000060090000}"/>
    <cellStyle name="원_NCF6BB2F_재무대책양식05. 3.15 2" xfId="2084" xr:uid="{00000000-0005-0000-0000-000061090000}"/>
    <cellStyle name="원_NCF6BB2F_재무대책양식05. 3.15 3" xfId="2085" xr:uid="{00000000-0005-0000-0000-000062090000}"/>
    <cellStyle name="원_NCF6BB2F_재무대책양식05. 3.15 4" xfId="2086" xr:uid="{00000000-0005-0000-0000-000063090000}"/>
    <cellStyle name="원_NCF6BB2F_재무대책양식05. 3.15 5" xfId="2087" xr:uid="{00000000-0005-0000-0000-000064090000}"/>
    <cellStyle name="원_NCF6BB2F_재무대책양식05. 3.15 6" xfId="2088" xr:uid="{00000000-0005-0000-0000-000065090000}"/>
    <cellStyle name="원_NCF6BB2F_재무대책양식05. 3.15 7" xfId="2089" xr:uid="{00000000-0005-0000-0000-000066090000}"/>
    <cellStyle name="원_NCF6BB2F_재무대책양식05. 3.15 8" xfId="2090" xr:uid="{00000000-0005-0000-0000-000067090000}"/>
    <cellStyle name="원_NCF6BB2F_재무대책양식05. 3.15 9" xfId="2091" xr:uid="{00000000-0005-0000-0000-000068090000}"/>
    <cellStyle name="원_NCF6BB2F_차입금 관련지표 051005" xfId="2092" xr:uid="{00000000-0005-0000-0000-000069090000}"/>
    <cellStyle name="원_NCF6BB2F_차입금 관련지표 051005 10" xfId="2093" xr:uid="{00000000-0005-0000-0000-00006A090000}"/>
    <cellStyle name="원_NCF6BB2F_차입금 관련지표 051005 11" xfId="2094" xr:uid="{00000000-0005-0000-0000-00006B090000}"/>
    <cellStyle name="원_NCF6BB2F_차입금 관련지표 051005 2" xfId="2095" xr:uid="{00000000-0005-0000-0000-00006C090000}"/>
    <cellStyle name="원_NCF6BB2F_차입금 관련지표 051005 3" xfId="2096" xr:uid="{00000000-0005-0000-0000-00006D090000}"/>
    <cellStyle name="원_NCF6BB2F_차입금 관련지표 051005 4" xfId="2097" xr:uid="{00000000-0005-0000-0000-00006E090000}"/>
    <cellStyle name="원_NCF6BB2F_차입금 관련지표 051005 5" xfId="2098" xr:uid="{00000000-0005-0000-0000-00006F090000}"/>
    <cellStyle name="원_NCF6BB2F_차입금 관련지표 051005 6" xfId="2099" xr:uid="{00000000-0005-0000-0000-000070090000}"/>
    <cellStyle name="원_NCF6BB2F_차입금 관련지표 051005 7" xfId="2100" xr:uid="{00000000-0005-0000-0000-000071090000}"/>
    <cellStyle name="원_NCF6BB2F_차입금 관련지표 051005 8" xfId="2101" xr:uid="{00000000-0005-0000-0000-000072090000}"/>
    <cellStyle name="원_NCF6BB2F_차입금 관련지표 051005 9" xfId="2102" xr:uid="{00000000-0005-0000-0000-000073090000}"/>
    <cellStyle name="원_NCF6BB2F_차입금및금리지수" xfId="2103" xr:uid="{00000000-0005-0000-0000-000074090000}"/>
    <cellStyle name="원_NCF6BB2F_차입금및금리지수 10" xfId="2104" xr:uid="{00000000-0005-0000-0000-000075090000}"/>
    <cellStyle name="원_NCF6BB2F_차입금및금리지수 11" xfId="2105" xr:uid="{00000000-0005-0000-0000-000076090000}"/>
    <cellStyle name="원_NCF6BB2F_차입금및금리지수 2" xfId="2106" xr:uid="{00000000-0005-0000-0000-000077090000}"/>
    <cellStyle name="원_NCF6BB2F_차입금및금리지수 3" xfId="2107" xr:uid="{00000000-0005-0000-0000-000078090000}"/>
    <cellStyle name="원_NCF6BB2F_차입금및금리지수 4" xfId="2108" xr:uid="{00000000-0005-0000-0000-000079090000}"/>
    <cellStyle name="원_NCF6BB2F_차입금및금리지수 5" xfId="2109" xr:uid="{00000000-0005-0000-0000-00007A090000}"/>
    <cellStyle name="원_NCF6BB2F_차입금및금리지수 6" xfId="2110" xr:uid="{00000000-0005-0000-0000-00007B090000}"/>
    <cellStyle name="원_NCF6BB2F_차입금및금리지수 7" xfId="2111" xr:uid="{00000000-0005-0000-0000-00007C090000}"/>
    <cellStyle name="원_NCF6BB2F_차입금및금리지수 8" xfId="2112" xr:uid="{00000000-0005-0000-0000-00007D090000}"/>
    <cellStyle name="원_NCF6BB2F_차입금및금리지수 9" xfId="2113" xr:uid="{00000000-0005-0000-0000-00007E090000}"/>
    <cellStyle name="원_NCF6BB2F_현금흐름표0305" xfId="2114" xr:uid="{00000000-0005-0000-0000-00007F090000}"/>
    <cellStyle name="원_NCF6BB2F_현금흐름표0305 10" xfId="2115" xr:uid="{00000000-0005-0000-0000-000080090000}"/>
    <cellStyle name="원_NCF6BB2F_현금흐름표0305 11" xfId="2116" xr:uid="{00000000-0005-0000-0000-000081090000}"/>
    <cellStyle name="원_NCF6BB2F_현금흐름표0305 2" xfId="2117" xr:uid="{00000000-0005-0000-0000-000082090000}"/>
    <cellStyle name="원_NCF6BB2F_현금흐름표0305 3" xfId="2118" xr:uid="{00000000-0005-0000-0000-000083090000}"/>
    <cellStyle name="원_NCF6BB2F_현금흐름표0305 4" xfId="2119" xr:uid="{00000000-0005-0000-0000-000084090000}"/>
    <cellStyle name="원_NCF6BB2F_현금흐름표0305 5" xfId="2120" xr:uid="{00000000-0005-0000-0000-000085090000}"/>
    <cellStyle name="원_NCF6BB2F_현금흐름표0305 6" xfId="2121" xr:uid="{00000000-0005-0000-0000-000086090000}"/>
    <cellStyle name="원_NCF6BB2F_현금흐름표0305 7" xfId="2122" xr:uid="{00000000-0005-0000-0000-000087090000}"/>
    <cellStyle name="원_NCF6BB2F_현금흐름표0305 8" xfId="2123" xr:uid="{00000000-0005-0000-0000-000088090000}"/>
    <cellStyle name="원_NCF6BB2F_현금흐름표0305 9" xfId="2124" xr:uid="{00000000-0005-0000-0000-000089090000}"/>
    <cellStyle name="원_NCF6BB2F_화학" xfId="2125" xr:uid="{00000000-0005-0000-0000-00008A090000}"/>
    <cellStyle name="원_NCF6BB2F_화학 10" xfId="2126" xr:uid="{00000000-0005-0000-0000-00008B090000}"/>
    <cellStyle name="원_NCF6BB2F_화학 11" xfId="2127" xr:uid="{00000000-0005-0000-0000-00008C090000}"/>
    <cellStyle name="원_NCF6BB2F_화학 2" xfId="2128" xr:uid="{00000000-0005-0000-0000-00008D090000}"/>
    <cellStyle name="원_NCF6BB2F_화학 3" xfId="2129" xr:uid="{00000000-0005-0000-0000-00008E090000}"/>
    <cellStyle name="원_NCF6BB2F_화학 4" xfId="2130" xr:uid="{00000000-0005-0000-0000-00008F090000}"/>
    <cellStyle name="원_NCF6BB2F_화학 5" xfId="2131" xr:uid="{00000000-0005-0000-0000-000090090000}"/>
    <cellStyle name="원_NCF6BB2F_화학 6" xfId="2132" xr:uid="{00000000-0005-0000-0000-000091090000}"/>
    <cellStyle name="원_NCF6BB2F_화학 7" xfId="2133" xr:uid="{00000000-0005-0000-0000-000092090000}"/>
    <cellStyle name="원_NCF6BB2F_화학 8" xfId="2134" xr:uid="{00000000-0005-0000-0000-000093090000}"/>
    <cellStyle name="원_NCF6BB2F_화학 9" xfId="2135" xr:uid="{00000000-0005-0000-0000-000094090000}"/>
    <cellStyle name="원_STEP2부속명세서4(입금에서차입금까지)" xfId="2136" xr:uid="{00000000-0005-0000-0000-000095090000}"/>
    <cellStyle name="원_STEP2부속명세서4(입금에서차입금까지)_2003사업계획입금자료" xfId="2137" xr:uid="{00000000-0005-0000-0000-000096090000}"/>
    <cellStyle name="원_개발사업팀입금계획" xfId="2138" xr:uid="{00000000-0005-0000-0000-000097090000}"/>
    <cellStyle name="원_개발사업팀입금계획_2003사업계획입금자료" xfId="2139" xr:uid="{00000000-0005-0000-0000-000098090000}"/>
    <cellStyle name="원_계량부문(04년)-백만원" xfId="2140" xr:uid="{00000000-0005-0000-0000-000099090000}"/>
    <cellStyle name="원_공표손익차이분석화학020304" xfId="2141" xr:uid="{00000000-0005-0000-0000-00009A090000}"/>
    <cellStyle name="원_공표손익차이분석화학020304_(그룹)차입금 관련지표 051005" xfId="2142" xr:uid="{00000000-0005-0000-0000-00009B090000}"/>
    <cellStyle name="원_공표손익차이분석화학020304_04. 1.14" xfId="2143" xr:uid="{00000000-0005-0000-0000-00009C090000}"/>
    <cellStyle name="원_공표손익차이분석화학020304_04.12.21" xfId="2144" xr:uid="{00000000-0005-0000-0000-00009D090000}"/>
    <cellStyle name="원_공표손익차이분석화학020304_05.1.18재무(회장님수정)" xfId="2145" xr:uid="{00000000-0005-0000-0000-00009E090000}"/>
    <cellStyle name="원_공표손익차이분석화학020304_재무대책양식05. 3.15" xfId="2146" xr:uid="{00000000-0005-0000-0000-00009F090000}"/>
    <cellStyle name="원_공표손익차이분석화학020304_차이분석(6월누계목표실적)" xfId="2147" xr:uid="{00000000-0005-0000-0000-0000A0090000}"/>
    <cellStyle name="원_공표손익차이분석화학020304_차이분석(6월전년동기실적)" xfId="2148" xr:uid="{00000000-0005-0000-0000-0000A1090000}"/>
    <cellStyle name="원_공표손익차이분석화학020304_차이분석(하반기목표실적)" xfId="2149" xr:uid="{00000000-0005-0000-0000-0000A2090000}"/>
    <cellStyle name="원_공표손익차이분석화학020304_차입금 관련지표 051005" xfId="2150" xr:uid="{00000000-0005-0000-0000-0000A3090000}"/>
    <cellStyle name="원_공표손익차이분석화학020304_차입금및금리지수" xfId="2151" xr:uid="{00000000-0005-0000-0000-0000A4090000}"/>
    <cellStyle name="원_교육계획" xfId="2152" xr:uid="{00000000-0005-0000-0000-0000A5090000}"/>
    <cellStyle name="원_기안표지" xfId="2153" xr:uid="{00000000-0005-0000-0000-0000A6090000}"/>
    <cellStyle name="원_기안표지 10" xfId="2154" xr:uid="{00000000-0005-0000-0000-0000A7090000}"/>
    <cellStyle name="원_기안표지 11" xfId="2155" xr:uid="{00000000-0005-0000-0000-0000A8090000}"/>
    <cellStyle name="원_기안표지 2" xfId="2156" xr:uid="{00000000-0005-0000-0000-0000A9090000}"/>
    <cellStyle name="원_기안표지 3" xfId="2157" xr:uid="{00000000-0005-0000-0000-0000AA090000}"/>
    <cellStyle name="원_기안표지 4" xfId="2158" xr:uid="{00000000-0005-0000-0000-0000AB090000}"/>
    <cellStyle name="원_기안표지 5" xfId="2159" xr:uid="{00000000-0005-0000-0000-0000AC090000}"/>
    <cellStyle name="원_기안표지 6" xfId="2160" xr:uid="{00000000-0005-0000-0000-0000AD090000}"/>
    <cellStyle name="원_기안표지 7" xfId="2161" xr:uid="{00000000-0005-0000-0000-0000AE090000}"/>
    <cellStyle name="원_기안표지 8" xfId="2162" xr:uid="{00000000-0005-0000-0000-0000AF090000}"/>
    <cellStyle name="원_기안표지 9" xfId="2163" xr:uid="{00000000-0005-0000-0000-0000B0090000}"/>
    <cellStyle name="원_부속명세서4(자금수지표에서 현금흐름표)" xfId="2164" xr:uid="{00000000-0005-0000-0000-0000B1090000}"/>
    <cellStyle name="원_부속명세서4(자금수지표에서 현금흐름표) 10" xfId="2165" xr:uid="{00000000-0005-0000-0000-0000B2090000}"/>
    <cellStyle name="원_부속명세서4(자금수지표에서 현금흐름표) 11" xfId="2166" xr:uid="{00000000-0005-0000-0000-0000B3090000}"/>
    <cellStyle name="원_부속명세서4(자금수지표에서 현금흐름표) 2" xfId="2167" xr:uid="{00000000-0005-0000-0000-0000B4090000}"/>
    <cellStyle name="원_부속명세서4(자금수지표에서 현금흐름표) 3" xfId="2168" xr:uid="{00000000-0005-0000-0000-0000B5090000}"/>
    <cellStyle name="원_부속명세서4(자금수지표에서 현금흐름표) 4" xfId="2169" xr:uid="{00000000-0005-0000-0000-0000B6090000}"/>
    <cellStyle name="원_부속명세서4(자금수지표에서 현금흐름표) 5" xfId="2170" xr:uid="{00000000-0005-0000-0000-0000B7090000}"/>
    <cellStyle name="원_부속명세서4(자금수지표에서 현금흐름표) 6" xfId="2171" xr:uid="{00000000-0005-0000-0000-0000B8090000}"/>
    <cellStyle name="원_부속명세서4(자금수지표에서 현금흐름표) 7" xfId="2172" xr:uid="{00000000-0005-0000-0000-0000B9090000}"/>
    <cellStyle name="원_부속명세서4(자금수지표에서 현금흐름표) 8" xfId="2173" xr:uid="{00000000-0005-0000-0000-0000BA090000}"/>
    <cellStyle name="원_부속명세서4(자금수지표에서 현금흐름표) 9" xfId="2174" xr:uid="{00000000-0005-0000-0000-0000BB090000}"/>
    <cellStyle name="원_비전경영5개년계획 - 2002년수정사업계획부문" xfId="2175" xr:uid="{00000000-0005-0000-0000-0000BC090000}"/>
    <cellStyle name="원_수주투자심의(결재본)" xfId="2176" xr:uid="{00000000-0005-0000-0000-0000BD090000}"/>
    <cellStyle name="원_심의확정03매출원가율종합2" xfId="2177" xr:uid="{00000000-0005-0000-0000-0000BE090000}"/>
    <cellStyle name="원_심의확정03매출원가율종합2 10" xfId="2178" xr:uid="{00000000-0005-0000-0000-0000BF090000}"/>
    <cellStyle name="원_심의확정03매출원가율종합2 11" xfId="2179" xr:uid="{00000000-0005-0000-0000-0000C0090000}"/>
    <cellStyle name="원_심의확정03매출원가율종합2 2" xfId="2180" xr:uid="{00000000-0005-0000-0000-0000C1090000}"/>
    <cellStyle name="원_심의확정03매출원가율종합2 3" xfId="2181" xr:uid="{00000000-0005-0000-0000-0000C2090000}"/>
    <cellStyle name="원_심의확정03매출원가율종합2 4" xfId="2182" xr:uid="{00000000-0005-0000-0000-0000C3090000}"/>
    <cellStyle name="원_심의확정03매출원가율종합2 5" xfId="2183" xr:uid="{00000000-0005-0000-0000-0000C4090000}"/>
    <cellStyle name="원_심의확정03매출원가율종합2 6" xfId="2184" xr:uid="{00000000-0005-0000-0000-0000C5090000}"/>
    <cellStyle name="원_심의확정03매출원가율종합2 7" xfId="2185" xr:uid="{00000000-0005-0000-0000-0000C6090000}"/>
    <cellStyle name="원_심의확정03매출원가율종합2 8" xfId="2186" xr:uid="{00000000-0005-0000-0000-0000C7090000}"/>
    <cellStyle name="원_심의확정03매출원가율종합2 9" xfId="2187" xr:uid="{00000000-0005-0000-0000-0000C8090000}"/>
    <cellStyle name="원_오봉개발수정후1203자금수지2003사업계획종합" xfId="2188" xr:uid="{00000000-0005-0000-0000-0000C9090000}"/>
    <cellStyle name="원_오봉개발수정후1203자금수지2003사업계획종합 10" xfId="2189" xr:uid="{00000000-0005-0000-0000-0000CA090000}"/>
    <cellStyle name="원_오봉개발수정후1203자금수지2003사업계획종합 11" xfId="2190" xr:uid="{00000000-0005-0000-0000-0000CB090000}"/>
    <cellStyle name="원_오봉개발수정후1203자금수지2003사업계획종합 2" xfId="2191" xr:uid="{00000000-0005-0000-0000-0000CC090000}"/>
    <cellStyle name="원_오봉개발수정후1203자금수지2003사업계획종합 3" xfId="2192" xr:uid="{00000000-0005-0000-0000-0000CD090000}"/>
    <cellStyle name="원_오봉개발수정후1203자금수지2003사업계획종합 4" xfId="2193" xr:uid="{00000000-0005-0000-0000-0000CE090000}"/>
    <cellStyle name="원_오봉개발수정후1203자금수지2003사업계획종합 5" xfId="2194" xr:uid="{00000000-0005-0000-0000-0000CF090000}"/>
    <cellStyle name="원_오봉개발수정후1203자금수지2003사업계획종합 6" xfId="2195" xr:uid="{00000000-0005-0000-0000-0000D0090000}"/>
    <cellStyle name="원_오봉개발수정후1203자금수지2003사업계획종합 7" xfId="2196" xr:uid="{00000000-0005-0000-0000-0000D1090000}"/>
    <cellStyle name="원_오봉개발수정후1203자금수지2003사업계획종합 8" xfId="2197" xr:uid="{00000000-0005-0000-0000-0000D2090000}"/>
    <cellStyle name="원_오봉개발수정후1203자금수지2003사업계획종합 9" xfId="2198" xr:uid="{00000000-0005-0000-0000-0000D3090000}"/>
    <cellStyle name="원_운송원가계획(11.25)" xfId="2199" xr:uid="{00000000-0005-0000-0000-0000D4090000}"/>
    <cellStyle name="원_운송원가계획(11.25) 10" xfId="2200" xr:uid="{00000000-0005-0000-0000-0000D5090000}"/>
    <cellStyle name="원_운송원가계획(11.25) 11" xfId="2201" xr:uid="{00000000-0005-0000-0000-0000D6090000}"/>
    <cellStyle name="원_운송원가계획(11.25) 2" xfId="2202" xr:uid="{00000000-0005-0000-0000-0000D7090000}"/>
    <cellStyle name="원_운송원가계획(11.25) 3" xfId="2203" xr:uid="{00000000-0005-0000-0000-0000D8090000}"/>
    <cellStyle name="원_운송원가계획(11.25) 4" xfId="2204" xr:uid="{00000000-0005-0000-0000-0000D9090000}"/>
    <cellStyle name="원_운송원가계획(11.25) 5" xfId="2205" xr:uid="{00000000-0005-0000-0000-0000DA090000}"/>
    <cellStyle name="원_운송원가계획(11.25) 6" xfId="2206" xr:uid="{00000000-0005-0000-0000-0000DB090000}"/>
    <cellStyle name="원_운송원가계획(11.25) 7" xfId="2207" xr:uid="{00000000-0005-0000-0000-0000DC090000}"/>
    <cellStyle name="원_운송원가계획(11.25) 8" xfId="2208" xr:uid="{00000000-0005-0000-0000-0000DD090000}"/>
    <cellStyle name="원_운송원가계획(11.25) 9" xfId="2209" xr:uid="{00000000-0005-0000-0000-0000DE090000}"/>
    <cellStyle name="원_월말명단(0312)" xfId="2210" xr:uid="{00000000-0005-0000-0000-0000DF090000}"/>
    <cellStyle name="원_인력감축실적(31기4분기)" xfId="2211" xr:uid="{00000000-0005-0000-0000-0000E0090000}"/>
    <cellStyle name="원_인력감축실적(31기4분기) 10" xfId="2212" xr:uid="{00000000-0005-0000-0000-0000E1090000}"/>
    <cellStyle name="원_인력감축실적(31기4분기) 11" xfId="2213" xr:uid="{00000000-0005-0000-0000-0000E2090000}"/>
    <cellStyle name="원_인력감축실적(31기4분기) 2" xfId="2214" xr:uid="{00000000-0005-0000-0000-0000E3090000}"/>
    <cellStyle name="원_인력감축실적(31기4분기) 3" xfId="2215" xr:uid="{00000000-0005-0000-0000-0000E4090000}"/>
    <cellStyle name="원_인력감축실적(31기4분기) 4" xfId="2216" xr:uid="{00000000-0005-0000-0000-0000E5090000}"/>
    <cellStyle name="원_인력감축실적(31기4분기) 5" xfId="2217" xr:uid="{00000000-0005-0000-0000-0000E6090000}"/>
    <cellStyle name="원_인력감축실적(31기4분기) 6" xfId="2218" xr:uid="{00000000-0005-0000-0000-0000E7090000}"/>
    <cellStyle name="원_인력감축실적(31기4분기) 7" xfId="2219" xr:uid="{00000000-0005-0000-0000-0000E8090000}"/>
    <cellStyle name="원_인력감축실적(31기4분기) 8" xfId="2220" xr:uid="{00000000-0005-0000-0000-0000E9090000}"/>
    <cellStyle name="원_인력감축실적(31기4분기) 9" xfId="2221" xr:uid="{00000000-0005-0000-0000-0000EA090000}"/>
    <cellStyle name="원_인원감축실적_내부용(0312)" xfId="2222" xr:uid="{00000000-0005-0000-0000-0000EB090000}"/>
    <cellStyle name="원_인원감축실적_내부용(0312) 10" xfId="2223" xr:uid="{00000000-0005-0000-0000-0000EC090000}"/>
    <cellStyle name="원_인원감축실적_내부용(0312) 11" xfId="2224" xr:uid="{00000000-0005-0000-0000-0000ED090000}"/>
    <cellStyle name="원_인원감축실적_내부용(0312) 2" xfId="2225" xr:uid="{00000000-0005-0000-0000-0000EE090000}"/>
    <cellStyle name="원_인원감축실적_내부용(0312) 3" xfId="2226" xr:uid="{00000000-0005-0000-0000-0000EF090000}"/>
    <cellStyle name="원_인원감축실적_내부용(0312) 4" xfId="2227" xr:uid="{00000000-0005-0000-0000-0000F0090000}"/>
    <cellStyle name="원_인원감축실적_내부용(0312) 5" xfId="2228" xr:uid="{00000000-0005-0000-0000-0000F1090000}"/>
    <cellStyle name="원_인원감축실적_내부용(0312) 6" xfId="2229" xr:uid="{00000000-0005-0000-0000-0000F2090000}"/>
    <cellStyle name="원_인원감축실적_내부용(0312) 7" xfId="2230" xr:uid="{00000000-0005-0000-0000-0000F3090000}"/>
    <cellStyle name="원_인원감축실적_내부용(0312) 8" xfId="2231" xr:uid="{00000000-0005-0000-0000-0000F4090000}"/>
    <cellStyle name="원_인원감축실적_내부용(0312) 9" xfId="2232" xr:uid="{00000000-0005-0000-0000-0000F5090000}"/>
    <cellStyle name="원_인원감축실적_내부용(0312)_NC7B160A5" xfId="2233" xr:uid="{00000000-0005-0000-0000-0000F6090000}"/>
    <cellStyle name="원_인원감축실적_내부용(0312)_NC7B160A5 10" xfId="2234" xr:uid="{00000000-0005-0000-0000-0000F7090000}"/>
    <cellStyle name="원_인원감축실적_내부용(0312)_NC7B160A5 11" xfId="2235" xr:uid="{00000000-0005-0000-0000-0000F8090000}"/>
    <cellStyle name="원_인원감축실적_내부용(0312)_NC7B160A5 2" xfId="2236" xr:uid="{00000000-0005-0000-0000-0000F9090000}"/>
    <cellStyle name="원_인원감축실적_내부용(0312)_NC7B160A5 3" xfId="2237" xr:uid="{00000000-0005-0000-0000-0000FA090000}"/>
    <cellStyle name="원_인원감축실적_내부용(0312)_NC7B160A5 4" xfId="2238" xr:uid="{00000000-0005-0000-0000-0000FB090000}"/>
    <cellStyle name="원_인원감축실적_내부용(0312)_NC7B160A5 5" xfId="2239" xr:uid="{00000000-0005-0000-0000-0000FC090000}"/>
    <cellStyle name="원_인원감축실적_내부용(0312)_NC7B160A5 6" xfId="2240" xr:uid="{00000000-0005-0000-0000-0000FD090000}"/>
    <cellStyle name="원_인원감축실적_내부용(0312)_NC7B160A5 7" xfId="2241" xr:uid="{00000000-0005-0000-0000-0000FE090000}"/>
    <cellStyle name="원_인원감축실적_내부용(0312)_NC7B160A5 8" xfId="2242" xr:uid="{00000000-0005-0000-0000-0000FF090000}"/>
    <cellStyle name="원_인원감축실적_내부용(0312)_NC7B160A5 9" xfId="2243" xr:uid="{00000000-0005-0000-0000-0000000A0000}"/>
    <cellStyle name="원_일반관리비예산(전체)" xfId="2244" xr:uid="{00000000-0005-0000-0000-0000010A0000}"/>
    <cellStyle name="원_일반관리비예산(전체) 10" xfId="2245" xr:uid="{00000000-0005-0000-0000-0000020A0000}"/>
    <cellStyle name="원_일반관리비예산(전체) 11" xfId="2246" xr:uid="{00000000-0005-0000-0000-0000030A0000}"/>
    <cellStyle name="원_일반관리비예산(전체) 2" xfId="2247" xr:uid="{00000000-0005-0000-0000-0000040A0000}"/>
    <cellStyle name="원_일반관리비예산(전체) 3" xfId="2248" xr:uid="{00000000-0005-0000-0000-0000050A0000}"/>
    <cellStyle name="원_일반관리비예산(전체) 4" xfId="2249" xr:uid="{00000000-0005-0000-0000-0000060A0000}"/>
    <cellStyle name="원_일반관리비예산(전체) 5" xfId="2250" xr:uid="{00000000-0005-0000-0000-0000070A0000}"/>
    <cellStyle name="원_일반관리비예산(전체) 6" xfId="2251" xr:uid="{00000000-0005-0000-0000-0000080A0000}"/>
    <cellStyle name="원_일반관리비예산(전체) 7" xfId="2252" xr:uid="{00000000-0005-0000-0000-0000090A0000}"/>
    <cellStyle name="원_일반관리비예산(전체) 8" xfId="2253" xr:uid="{00000000-0005-0000-0000-00000A0A0000}"/>
    <cellStyle name="원_일반관리비예산(전체) 9" xfId="2254" xr:uid="{00000000-0005-0000-0000-00000B0A0000}"/>
    <cellStyle name="원_임차현황(10월)" xfId="2255" xr:uid="{00000000-0005-0000-0000-00000C0A0000}"/>
    <cellStyle name="원_임차현황(10월)_NC15C5AFF" xfId="2256" xr:uid="{00000000-0005-0000-0000-00000D0A0000}"/>
    <cellStyle name="원_제32기교육비예산" xfId="2257" xr:uid="{00000000-0005-0000-0000-00000E0A0000}"/>
    <cellStyle name="원_제32기교육비예산 10" xfId="2258" xr:uid="{00000000-0005-0000-0000-00000F0A0000}"/>
    <cellStyle name="원_제32기교육비예산 11" xfId="2259" xr:uid="{00000000-0005-0000-0000-0000100A0000}"/>
    <cellStyle name="원_제32기교육비예산 2" xfId="2260" xr:uid="{00000000-0005-0000-0000-0000110A0000}"/>
    <cellStyle name="원_제32기교육비예산 3" xfId="2261" xr:uid="{00000000-0005-0000-0000-0000120A0000}"/>
    <cellStyle name="원_제32기교육비예산 4" xfId="2262" xr:uid="{00000000-0005-0000-0000-0000130A0000}"/>
    <cellStyle name="원_제32기교육비예산 5" xfId="2263" xr:uid="{00000000-0005-0000-0000-0000140A0000}"/>
    <cellStyle name="원_제32기교육비예산 6" xfId="2264" xr:uid="{00000000-0005-0000-0000-0000150A0000}"/>
    <cellStyle name="원_제32기교육비예산 7" xfId="2265" xr:uid="{00000000-0005-0000-0000-0000160A0000}"/>
    <cellStyle name="원_제32기교육비예산 8" xfId="2266" xr:uid="{00000000-0005-0000-0000-0000170A0000}"/>
    <cellStyle name="원_제32기교육비예산 9" xfId="2267" xr:uid="{00000000-0005-0000-0000-0000180A0000}"/>
    <cellStyle name="원_제32일반관리비예산" xfId="2268" xr:uid="{00000000-0005-0000-0000-0000190A0000}"/>
    <cellStyle name="원_제32일반관리비예산 10" xfId="2269" xr:uid="{00000000-0005-0000-0000-00001A0A0000}"/>
    <cellStyle name="원_제32일반관리비예산 11" xfId="2270" xr:uid="{00000000-0005-0000-0000-00001B0A0000}"/>
    <cellStyle name="원_제32일반관리비예산 2" xfId="2271" xr:uid="{00000000-0005-0000-0000-00001C0A0000}"/>
    <cellStyle name="원_제32일반관리비예산 3" xfId="2272" xr:uid="{00000000-0005-0000-0000-00001D0A0000}"/>
    <cellStyle name="원_제32일반관리비예산 4" xfId="2273" xr:uid="{00000000-0005-0000-0000-00001E0A0000}"/>
    <cellStyle name="원_제32일반관리비예산 5" xfId="2274" xr:uid="{00000000-0005-0000-0000-00001F0A0000}"/>
    <cellStyle name="원_제32일반관리비예산 6" xfId="2275" xr:uid="{00000000-0005-0000-0000-0000200A0000}"/>
    <cellStyle name="원_제32일반관리비예산 7" xfId="2276" xr:uid="{00000000-0005-0000-0000-0000210A0000}"/>
    <cellStyle name="원_제32일반관리비예산 8" xfId="2277" xr:uid="{00000000-0005-0000-0000-0000220A0000}"/>
    <cellStyle name="원_제32일반관리비예산 9" xfId="2278" xr:uid="{00000000-0005-0000-0000-0000230A0000}"/>
    <cellStyle name="원_제32일반관리비예산_NC2ECD008" xfId="2279" xr:uid="{00000000-0005-0000-0000-0000240A0000}"/>
    <cellStyle name="원_제32일반관리비예산_NC7B160A5" xfId="2280" xr:uid="{00000000-0005-0000-0000-0000250A0000}"/>
    <cellStyle name="원_제32일반관리비예산_중장기예산(03년3월)" xfId="2281" xr:uid="{00000000-0005-0000-0000-0000260A0000}"/>
    <cellStyle name="원_제33일반관리비예산(확정040303)" xfId="2282" xr:uid="{00000000-0005-0000-0000-0000270A0000}"/>
    <cellStyle name="원_제33일반관리비예산(확정040303) 10" xfId="2283" xr:uid="{00000000-0005-0000-0000-0000280A0000}"/>
    <cellStyle name="원_제33일반관리비예산(확정040303) 11" xfId="2284" xr:uid="{00000000-0005-0000-0000-0000290A0000}"/>
    <cellStyle name="원_제33일반관리비예산(확정040303) 2" xfId="2285" xr:uid="{00000000-0005-0000-0000-00002A0A0000}"/>
    <cellStyle name="원_제33일반관리비예산(확정040303) 3" xfId="2286" xr:uid="{00000000-0005-0000-0000-00002B0A0000}"/>
    <cellStyle name="원_제33일반관리비예산(확정040303) 4" xfId="2287" xr:uid="{00000000-0005-0000-0000-00002C0A0000}"/>
    <cellStyle name="원_제33일반관리비예산(확정040303) 5" xfId="2288" xr:uid="{00000000-0005-0000-0000-00002D0A0000}"/>
    <cellStyle name="원_제33일반관리비예산(확정040303) 6" xfId="2289" xr:uid="{00000000-0005-0000-0000-00002E0A0000}"/>
    <cellStyle name="원_제33일반관리비예산(확정040303) 7" xfId="2290" xr:uid="{00000000-0005-0000-0000-00002F0A0000}"/>
    <cellStyle name="원_제33일반관리비예산(확정040303) 8" xfId="2291" xr:uid="{00000000-0005-0000-0000-0000300A0000}"/>
    <cellStyle name="원_제33일반관리비예산(확정040303) 9" xfId="2292" xr:uid="{00000000-0005-0000-0000-0000310A0000}"/>
    <cellStyle name="원_주요경영지표(0211월)" xfId="2293" xr:uid="{00000000-0005-0000-0000-0000320A0000}"/>
    <cellStyle name="원_주요경영지표(0211월) 10" xfId="2294" xr:uid="{00000000-0005-0000-0000-0000330A0000}"/>
    <cellStyle name="원_주요경영지표(0211월) 11" xfId="2295" xr:uid="{00000000-0005-0000-0000-0000340A0000}"/>
    <cellStyle name="원_주요경영지표(0211월) 2" xfId="2296" xr:uid="{00000000-0005-0000-0000-0000350A0000}"/>
    <cellStyle name="원_주요경영지표(0211월) 3" xfId="2297" xr:uid="{00000000-0005-0000-0000-0000360A0000}"/>
    <cellStyle name="원_주요경영지표(0211월) 4" xfId="2298" xr:uid="{00000000-0005-0000-0000-0000370A0000}"/>
    <cellStyle name="원_주요경영지표(0211월) 5" xfId="2299" xr:uid="{00000000-0005-0000-0000-0000380A0000}"/>
    <cellStyle name="원_주요경영지표(0211월) 6" xfId="2300" xr:uid="{00000000-0005-0000-0000-0000390A0000}"/>
    <cellStyle name="원_주요경영지표(0211월) 7" xfId="2301" xr:uid="{00000000-0005-0000-0000-00003A0A0000}"/>
    <cellStyle name="원_주요경영지표(0211월) 8" xfId="2302" xr:uid="{00000000-0005-0000-0000-00003B0A0000}"/>
    <cellStyle name="원_주요경영지표(0211월) 9" xfId="2303" xr:uid="{00000000-0005-0000-0000-00003C0A0000}"/>
    <cellStyle name="원_주택사업팀2003년도 비젼경영계획3-2" xfId="2304" xr:uid="{00000000-0005-0000-0000-00003D0A0000}"/>
    <cellStyle name="원_주택사업팀2003년도 비젼경영계획3-2 10" xfId="2305" xr:uid="{00000000-0005-0000-0000-00003E0A0000}"/>
    <cellStyle name="원_주택사업팀2003년도 비젼경영계획3-2 11" xfId="2306" xr:uid="{00000000-0005-0000-0000-00003F0A0000}"/>
    <cellStyle name="원_주택사업팀2003년도 비젼경영계획3-2 2" xfId="2307" xr:uid="{00000000-0005-0000-0000-0000400A0000}"/>
    <cellStyle name="원_주택사업팀2003년도 비젼경영계획3-2 3" xfId="2308" xr:uid="{00000000-0005-0000-0000-0000410A0000}"/>
    <cellStyle name="원_주택사업팀2003년도 비젼경영계획3-2 4" xfId="2309" xr:uid="{00000000-0005-0000-0000-0000420A0000}"/>
    <cellStyle name="원_주택사업팀2003년도 비젼경영계획3-2 5" xfId="2310" xr:uid="{00000000-0005-0000-0000-0000430A0000}"/>
    <cellStyle name="원_주택사업팀2003년도 비젼경영계획3-2 6" xfId="2311" xr:uid="{00000000-0005-0000-0000-0000440A0000}"/>
    <cellStyle name="원_주택사업팀2003년도 비젼경영계획3-2 7" xfId="2312" xr:uid="{00000000-0005-0000-0000-0000450A0000}"/>
    <cellStyle name="원_주택사업팀2003년도 비젼경영계획3-2 8" xfId="2313" xr:uid="{00000000-0005-0000-0000-0000460A0000}"/>
    <cellStyle name="원_주택사업팀2003년도 비젼경영계획3-2 9" xfId="2314" xr:uid="{00000000-0005-0000-0000-0000470A0000}"/>
    <cellStyle name="원_중장기비전경영계획part2(최종본20020225)" xfId="2315" xr:uid="{00000000-0005-0000-0000-0000480A0000}"/>
    <cellStyle name="원_중장기비전경영계획part2(최종본20020225) 10" xfId="2316" xr:uid="{00000000-0005-0000-0000-0000490A0000}"/>
    <cellStyle name="원_중장기비전경영계획part2(최종본20020225) 11" xfId="2317" xr:uid="{00000000-0005-0000-0000-00004A0A0000}"/>
    <cellStyle name="원_중장기비전경영계획part2(최종본20020225) 2" xfId="2318" xr:uid="{00000000-0005-0000-0000-00004B0A0000}"/>
    <cellStyle name="원_중장기비전경영계획part2(최종본20020225) 3" xfId="2319" xr:uid="{00000000-0005-0000-0000-00004C0A0000}"/>
    <cellStyle name="원_중장기비전경영계획part2(최종본20020225) 4" xfId="2320" xr:uid="{00000000-0005-0000-0000-00004D0A0000}"/>
    <cellStyle name="원_중장기비전경영계획part2(최종본20020225) 5" xfId="2321" xr:uid="{00000000-0005-0000-0000-00004E0A0000}"/>
    <cellStyle name="원_중장기비전경영계획part2(최종본20020225) 6" xfId="2322" xr:uid="{00000000-0005-0000-0000-00004F0A0000}"/>
    <cellStyle name="원_중장기비전경영계획part2(최종본20020225) 7" xfId="2323" xr:uid="{00000000-0005-0000-0000-0000500A0000}"/>
    <cellStyle name="원_중장기비전경영계획part2(최종본20020225) 8" xfId="2324" xr:uid="{00000000-0005-0000-0000-0000510A0000}"/>
    <cellStyle name="원_중장기비전경영계획part2(최종본20020225) 9" xfId="2325" xr:uid="{00000000-0005-0000-0000-0000520A0000}"/>
    <cellStyle name="원_중장기예산(04년3월)" xfId="2326" xr:uid="{00000000-0005-0000-0000-0000530A0000}"/>
    <cellStyle name="원_중장기전략" xfId="2327" xr:uid="{00000000-0005-0000-0000-0000540A0000}"/>
    <cellStyle name="원_최종매출정리" xfId="2328" xr:uid="{00000000-0005-0000-0000-0000550A0000}"/>
    <cellStyle name="원_최종매출정리 10" xfId="2329" xr:uid="{00000000-0005-0000-0000-0000560A0000}"/>
    <cellStyle name="원_최종매출정리 11" xfId="2330" xr:uid="{00000000-0005-0000-0000-0000570A0000}"/>
    <cellStyle name="원_최종매출정리 2" xfId="2331" xr:uid="{00000000-0005-0000-0000-0000580A0000}"/>
    <cellStyle name="원_최종매출정리 3" xfId="2332" xr:uid="{00000000-0005-0000-0000-0000590A0000}"/>
    <cellStyle name="원_최종매출정리 4" xfId="2333" xr:uid="{00000000-0005-0000-0000-00005A0A0000}"/>
    <cellStyle name="원_최종매출정리 5" xfId="2334" xr:uid="{00000000-0005-0000-0000-00005B0A0000}"/>
    <cellStyle name="원_최종매출정리 6" xfId="2335" xr:uid="{00000000-0005-0000-0000-00005C0A0000}"/>
    <cellStyle name="원_최종매출정리 7" xfId="2336" xr:uid="{00000000-0005-0000-0000-00005D0A0000}"/>
    <cellStyle name="원_최종매출정리 8" xfId="2337" xr:uid="{00000000-0005-0000-0000-00005E0A0000}"/>
    <cellStyle name="원_최종매출정리 9" xfId="2338" xr:uid="{00000000-0005-0000-0000-00005F0A0000}"/>
    <cellStyle name="원_현금흐름표0305" xfId="2339" xr:uid="{00000000-0005-0000-0000-0000600A0000}"/>
    <cellStyle name="원_현금흐름표예산(2003)" xfId="2340" xr:uid="{00000000-0005-0000-0000-0000610A0000}"/>
    <cellStyle name="원_환경1팀수주최종본" xfId="2341" xr:uid="{00000000-0005-0000-0000-0000620A0000}"/>
    <cellStyle name="원_환경1팀수주최종본_2003사업계획입금자료" xfId="2342" xr:uid="{00000000-0005-0000-0000-0000630A0000}"/>
    <cellStyle name="一般_00Q3902REV.1" xfId="2400" xr:uid="{00000000-0005-0000-0000-00009F0A0000}"/>
    <cellStyle name="자리수" xfId="2343" xr:uid="{00000000-0005-0000-0000-0000640A0000}"/>
    <cellStyle name="자리수 - 유형1" xfId="2344" xr:uid="{00000000-0005-0000-0000-0000650A0000}"/>
    <cellStyle name="자리수_전체공사비 for Zwitina" xfId="2345" xr:uid="{00000000-0005-0000-0000-0000660A0000}"/>
    <cellStyle name="자리수0" xfId="2346" xr:uid="{00000000-0005-0000-0000-0000670A0000}"/>
    <cellStyle name="中原専用" xfId="2401" xr:uid="{00000000-0005-0000-0000-0000A00A0000}"/>
    <cellStyle name="지정되지 않음" xfId="2347" xr:uid="{00000000-0005-0000-0000-0000680A0000}"/>
    <cellStyle name="千分位[0]_00Q3902REV.1" xfId="2404" xr:uid="{00000000-0005-0000-0000-0000A30A0000}"/>
    <cellStyle name="千分位_00Q3902REV.1" xfId="2405" xr:uid="{00000000-0005-0000-0000-0000A40A0000}"/>
    <cellStyle name="千位[0]_laroux" xfId="2402" xr:uid="{00000000-0005-0000-0000-0000A10A0000}"/>
    <cellStyle name="千位_laroux" xfId="2403" xr:uid="{00000000-0005-0000-0000-0000A20A0000}"/>
    <cellStyle name="콤냡?&lt;_x000f_$??: `1_1 " xfId="2348" xr:uid="{00000000-0005-0000-0000-0000690A0000}"/>
    <cellStyle name="콤마 [0]_" xfId="2349" xr:uid="{00000000-0005-0000-0000-00006A0A0000}"/>
    <cellStyle name="콤마 [2]" xfId="2350" xr:uid="{00000000-0005-0000-0000-00006B0A0000}"/>
    <cellStyle name="콤마 [20]" xfId="2351" xr:uid="{00000000-0005-0000-0000-00006C0A0000}"/>
    <cellStyle name="콤마_  종  합  " xfId="2352" xr:uid="{00000000-0005-0000-0000-00006D0A0000}"/>
    <cellStyle name="通貨 [0.00]_JUPC PRE WV" xfId="2418" xr:uid="{00000000-0005-0000-0000-0000B10A0000}"/>
    <cellStyle name="통화 2" xfId="2353" xr:uid="{00000000-0005-0000-0000-00006E0A0000}"/>
    <cellStyle name="通貨_laroux" xfId="2419" xr:uid="{00000000-0005-0000-0000-0000B20A0000}"/>
    <cellStyle name="퍼센트" xfId="2354" xr:uid="{00000000-0005-0000-0000-00006F0A0000}"/>
    <cellStyle name="퍼센트 10" xfId="2355" xr:uid="{00000000-0005-0000-0000-0000700A0000}"/>
    <cellStyle name="퍼센트 11" xfId="2356" xr:uid="{00000000-0005-0000-0000-0000710A0000}"/>
    <cellStyle name="퍼센트 2" xfId="2357" xr:uid="{00000000-0005-0000-0000-0000720A0000}"/>
    <cellStyle name="퍼센트 3" xfId="2358" xr:uid="{00000000-0005-0000-0000-0000730A0000}"/>
    <cellStyle name="퍼센트 4" xfId="2359" xr:uid="{00000000-0005-0000-0000-0000740A0000}"/>
    <cellStyle name="퍼센트 5" xfId="2360" xr:uid="{00000000-0005-0000-0000-0000750A0000}"/>
    <cellStyle name="퍼센트 6" xfId="2361" xr:uid="{00000000-0005-0000-0000-0000760A0000}"/>
    <cellStyle name="퍼센트 7" xfId="2362" xr:uid="{00000000-0005-0000-0000-0000770A0000}"/>
    <cellStyle name="퍼센트 8" xfId="2363" xr:uid="{00000000-0005-0000-0000-0000780A0000}"/>
    <cellStyle name="퍼센트 9" xfId="2364" xr:uid="{00000000-0005-0000-0000-0000790A0000}"/>
    <cellStyle name="表示済みのハイパーリンク" xfId="2412" xr:uid="{00000000-0005-0000-0000-0000AB0A0000}"/>
    <cellStyle name="표준 - Styl1" xfId="2365" xr:uid="{00000000-0005-0000-0000-00007A0A0000}"/>
    <cellStyle name="표준 - Styl2" xfId="2366" xr:uid="{00000000-0005-0000-0000-00007B0A0000}"/>
    <cellStyle name="표준 - Styl3" xfId="2367" xr:uid="{00000000-0005-0000-0000-00007C0A0000}"/>
    <cellStyle name="표준 - Styl4" xfId="2368" xr:uid="{00000000-0005-0000-0000-00007D0A0000}"/>
    <cellStyle name="표준 - Styl5" xfId="2369" xr:uid="{00000000-0005-0000-0000-00007E0A0000}"/>
    <cellStyle name="표준 - Styl6" xfId="2370" xr:uid="{00000000-0005-0000-0000-00007F0A0000}"/>
    <cellStyle name="표준 - Styl7" xfId="2371" xr:uid="{00000000-0005-0000-0000-0000800A0000}"/>
    <cellStyle name="표준 - Styl8" xfId="2372" xr:uid="{00000000-0005-0000-0000-0000810A0000}"/>
    <cellStyle name="표준 2" xfId="2373" xr:uid="{00000000-0005-0000-0000-0000820A0000}"/>
    <cellStyle name="표준 2 2" xfId="2374" xr:uid="{00000000-0005-0000-0000-0000830A0000}"/>
    <cellStyle name="표준 2 2 2" xfId="2375" xr:uid="{00000000-0005-0000-0000-0000840A0000}"/>
    <cellStyle name="표준 2 2 2 2" xfId="2376" xr:uid="{00000000-0005-0000-0000-0000850A0000}"/>
    <cellStyle name="표준 2 2 3" xfId="2377" xr:uid="{00000000-0005-0000-0000-0000860A0000}"/>
    <cellStyle name="표준 3" xfId="122" xr:uid="{00000000-0005-0000-0000-0000870A0000}"/>
    <cellStyle name="표준 3 2" xfId="2378" xr:uid="{00000000-0005-0000-0000-0000880A0000}"/>
    <cellStyle name="표준 4" xfId="2379" xr:uid="{00000000-0005-0000-0000-0000890A0000}"/>
    <cellStyle name="표준 4 2" xfId="2380" xr:uid="{00000000-0005-0000-0000-00008A0A0000}"/>
    <cellStyle name="표준 5" xfId="2381" xr:uid="{00000000-0005-0000-0000-00008B0A0000}"/>
    <cellStyle name="표준 5 2" xfId="2382" xr:uid="{00000000-0005-0000-0000-00008C0A0000}"/>
    <cellStyle name="표준 6" xfId="2383" xr:uid="{00000000-0005-0000-0000-00008D0A0000}"/>
    <cellStyle name="표준 6 2" xfId="2384" xr:uid="{00000000-0005-0000-0000-00008E0A0000}"/>
    <cellStyle name="표준 6 2 2" xfId="2385" xr:uid="{00000000-0005-0000-0000-00008F0A0000}"/>
    <cellStyle name="표준 7" xfId="2386" xr:uid="{00000000-0005-0000-0000-0000900A0000}"/>
    <cellStyle name="표준 8" xfId="2735" xr:uid="{00000000-0005-0000-0000-0000910A0000}"/>
    <cellStyle name="標準_1002-現地" xfId="2411" xr:uid="{00000000-0005-0000-0000-0000AA0A0000}"/>
    <cellStyle name="합산" xfId="2387" xr:uid="{00000000-0005-0000-0000-0000920A0000}"/>
    <cellStyle name="桁区切り [0.00]_JUPC PRE WV" xfId="2409" xr:uid="{00000000-0005-0000-0000-0000A80A0000}"/>
    <cellStyle name="桁区切り_BQ_Martorell(GasFire)_Mech(29Mar02)" xfId="2410" xr:uid="{00000000-0005-0000-0000-0000A90A0000}"/>
    <cellStyle name="货币[0]_laroux" xfId="2416" xr:uid="{00000000-0005-0000-0000-0000AF0A0000}"/>
    <cellStyle name="货币_laroux" xfId="2417" xr:uid="{00000000-0005-0000-0000-0000B00A0000}"/>
    <cellStyle name="貨幣 [0]_00Q3902REV.1" xfId="2413" xr:uid="{00000000-0005-0000-0000-0000AC0A0000}"/>
    <cellStyle name="貨幣[0]_BRE" xfId="2414" xr:uid="{00000000-0005-0000-0000-0000AD0A0000}"/>
    <cellStyle name="貨幣_00Q3902REV.1" xfId="2415" xr:uid="{00000000-0005-0000-0000-0000AE0A0000}"/>
    <cellStyle name="화폐기호" xfId="2388" xr:uid="{00000000-0005-0000-0000-0000930A0000}"/>
    <cellStyle name="화폐기호 10" xfId="2389" xr:uid="{00000000-0005-0000-0000-0000940A0000}"/>
    <cellStyle name="화폐기호 11" xfId="2390" xr:uid="{00000000-0005-0000-0000-0000950A0000}"/>
    <cellStyle name="화폐기호 2" xfId="2391" xr:uid="{00000000-0005-0000-0000-0000960A0000}"/>
    <cellStyle name="화폐기호 3" xfId="2392" xr:uid="{00000000-0005-0000-0000-0000970A0000}"/>
    <cellStyle name="화폐기호 4" xfId="2393" xr:uid="{00000000-0005-0000-0000-0000980A0000}"/>
    <cellStyle name="화폐기호 5" xfId="2394" xr:uid="{00000000-0005-0000-0000-0000990A0000}"/>
    <cellStyle name="화폐기호 6" xfId="2395" xr:uid="{00000000-0005-0000-0000-00009A0A0000}"/>
    <cellStyle name="화폐기호 7" xfId="2396" xr:uid="{00000000-0005-0000-0000-00009B0A0000}"/>
    <cellStyle name="화폐기호 8" xfId="2397" xr:uid="{00000000-0005-0000-0000-00009C0A0000}"/>
    <cellStyle name="화폐기호 9" xfId="2398" xr:uid="{00000000-0005-0000-0000-00009D0A0000}"/>
    <cellStyle name="화폐기호0" xfId="2399" xr:uid="{00000000-0005-0000-0000-00009E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externalLink" Target="externalLinks/externalLink25.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50" Type="http://schemas.openxmlformats.org/officeDocument/2006/relationships/externalLink" Target="externalLinks/externalLink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1%20(26.06)%20DECVs%20Financial%20Stateme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I.%20REPORT/2025/12.2025/Groupware/1.1%20(25.12)%20DECVs%20Financial%20Statements.xlsx" TargetMode="External"/><Relationship Id="rId1" Type="http://schemas.openxmlformats.org/officeDocument/2006/relationships/externalLinkPath" Target="/I.%20REPORT/2025/12.2025/Groupware/1.1%20(25.12)%20DECVs%20Financial%20Statement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I.%20REPORT/2024/12.2024/0.%20GROUPWARE/1.1%20(24.12)%20DECVs%20Financial%20Statements.xlsx" TargetMode="External"/><Relationship Id="rId1" Type="http://schemas.openxmlformats.org/officeDocument/2006/relationships/externalLinkPath" Target="/I.%20REPORT/2024/12.2024/0.%20GROUPWARE/1.1%20(24.12)%20DECVs%20Financial%20Statement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I.%20REPORT/2024/4.2024/6.SITE'S%20EXPENSES%20REPORTS/2404%20DECV_SITE%20COST-%20Accounting%20basis.xlsx" TargetMode="External"/><Relationship Id="rId1" Type="http://schemas.openxmlformats.org/officeDocument/2006/relationships/externalLinkPath" Target="/I.%20REPORT/2024/4.2024/6.SITE'S%20EXPENSES%20REPORTS/2404%20DECV_SITE%20COST-%20Accounting%20basi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I.%20REPORT/2023/12%20DEC%202023/2.FINANCIAL%20STATEMENT%20DEC.2023/23.12%20DECV's%20Finance%20Statement.xlsx" TargetMode="External"/><Relationship Id="rId1" Type="http://schemas.openxmlformats.org/officeDocument/2006/relationships/externalLinkPath" Target="/I.%20REPORT/2023/12%20DEC%202023/2.FINANCIAL%20STATEMENT%20DEC.2023/23.12%20DECV's%20Finance%20Statemen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dmin\Desktop\202212.%20Monthly%20Report\FINANCIAL%20STATEMENT%20DEC.2022\22.12%20Finance%20Statemen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19.%20ESTIMATE%20REVENUE%20+%20CIT%20+%20ALLOCATION%20642\2022\22.02\22.02%20CIT%20calculatio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19.%20ESTIMATE%20REVENUE%20+%20CIT%20+%20ALLOCATION%20642\2022\22.01\22.01%20Estimate%20revenu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admin\Desktop\202212.%20Monthly%20Report\DETAIL%20OF%20FS%20DEC.2022\22.12%20Estimate%20revenu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AEWOO%20E&amp;C/07%20JUL%202022/1.%20G&#7916;I/FINANCIAL%20STATEMENT%20JUL.2022/22.07%20Finance%20Statement.xlsx" TargetMode="External"/><Relationship Id="rId1" Type="http://schemas.openxmlformats.org/officeDocument/2006/relationships/externalLinkPath" Target="/DAEWOO%20E&amp;C/07%20JUL%202022/1.%20G&#7916;I/FINANCIAL%20STATEMENT%20JUL.2022/22.07%20Finance%20Statemen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B%20-%20FINANCIAL%20REPORT\2021\12.DEC.2021\21.12%20Finance%20State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19.%20ESTIMATE%20REVENUE%20+%20CIT%20+%20ALLOCATION%20642\2021\21.08\21.08%20Estimate%20revenu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19.%20ESTIMATE%20REVENUE%20+%20CIT%20+%20ALLOCATION%20642\2021\21.12\21.12%20Estimate%20revenu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1.DAEWOO%20VINA\1.%20FINANCIAL%20REPORT\MONTHLY%20REPORT%20TO%20FA%20DIRECTOR\19.%20ESTIMATE%20REVENUE%20+%20CIT%20+%20ALLOCATION%20642\2021\21.12\21.12%20CIT%20calculatio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1.DAEWOO%20VINA\4.%20FINANCIAL%20REPORT\MONTHLY%20REPORT%20TO%20FA%20DIRECTOR\19.%20ESTIMATE%20REVENUE%20+%20CIT%20+%20ALLOCATION%20642\2021\21.04\21.04%20Estimate%20revenu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1.DAEWOO%20VINA\4.%20FINANCIAL%20REPORT\MONTHLY%20REPORT%20TO%20FA%20DIRECTOR\B%20-%20FINANCIAL%20REPORT\2020\12.DEC.2020\20.12%20Finance%20Statemen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oleObject" Target="file:///F:\DAEWOO%20VINA\4.%20FINANCIAL%20REPORT\MONTHLY%20REPORT%20TO%20FA%20DIRECTOR\B%20-%20FINANCIAL%20REPORT\2019\12.DEC.2019\19.12%20Finance%20Statemen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9.02\1902%20Estimate%20revenu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9.04\1904%20Estimate%20revenu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19.06\1906%20Estimate%20revenu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19.08\1908%20Estimate%20revenue.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20+%20ALLOCATION%20642\19.09\1909%20Estimate%20revenu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20+%20ALLOCATION%20642\19.10\1910%20Estimate%20revenue.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20+%20ALLOCATION%20642\19.11\1911%20Estimate%20revenu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9.01\1901%20CIT%20calculatio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9.03\1903%20Estimate%20revenu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FA%20DIRECTOR\19.%20ESTIMATE%20REVENUE%20+%20CIT\19.07\1907%20Estimate%20revenu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B%20-%20FINANCIAL%20REPORT\2018\12.DEC.18\FS%20L1-0801\18.12%20Finance%20Statement.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DW%20Vina\4.%20FINANCIAL%20REPORT\MONTHLY%20REPORT%20TO%20MR%20PARK\FINANCIAL%20REPORT\2018\04.APR.18\18.04%20Finance%20Statemen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DW%20Vina\4.%20FINANCIAL%20REPORT\MONTHLY%20REPORT%20TO%20MR%20PARK\19.%20ESTIMATE%20REVENUE%20+%20CIT\18.08\1808%20Estimate%20revenu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DW%20Vina\4.%20FINANCIAL%20REPORT\MONTHLY%20REPORT%20TO%20MR%20PARK\19.%20ESTIMATE%20REVENUE%20+%20CIT\18.09\1809%20Estimate%20revenu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8.10\1810%20Estimate%20revenue.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DAEWOO%20VINA\4.%20FINANCIAL%20REPORT\MONTHLY%20REPORT%20TO%20MR%20PARK\19.%20ESTIMATE%20REVENUE%20+%20CIT\18.11\1811%20Estimate%20revenue.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W%20Vina\4.%20FINANCIAL%20REPORT\MONTHLY%20REPORT%20TO%20MR%20PARK\19.%20ESTIMATE%20REVENUE%20+%20CIT\18.09\1809%20CIT%20calculation.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W%20Vina\4.%20FINANCIAL%20REPORT\MONTHLY%20REPORT%20TO%20MR%20PARK\FINANCIAL%20REPORT\2017\12.DEC.17\17.12%20Finance%20Statement%20sent%2017.01.2018.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DAEWOO%20VINA\4.%20FINANCIAL%20REPORT\QUATERLY%20REPORT%20TO%20FA%20DIRECTOR\2017.Q4\Sale%20+%20COGS%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Approval Request"/>
      <sheetName val="Cover"/>
      <sheetName val="BS (01)"/>
      <sheetName val="BS (02)"/>
      <sheetName val="IS (01)"/>
      <sheetName val="IS (02)"/>
      <sheetName val=" CF (1)"/>
      <sheetName val="CF (2)"/>
      <sheetName val="Cash &amp; Deposit"/>
      <sheetName val="Detail of CF"/>
    </sheetNames>
    <sheetDataSet>
      <sheetData sheetId="0"/>
      <sheetData sheetId="1"/>
      <sheetData sheetId="2"/>
      <sheetData sheetId="3"/>
      <sheetData sheetId="4"/>
      <sheetData sheetId="5">
        <row r="6">
          <cell r="F6">
            <v>7479.25</v>
          </cell>
          <cell r="G6">
            <v>32162.800000000003</v>
          </cell>
        </row>
        <row r="14">
          <cell r="F14">
            <v>6321.02</v>
          </cell>
          <cell r="G14">
            <v>25512.89</v>
          </cell>
        </row>
        <row r="29">
          <cell r="K29">
            <v>1806342141</v>
          </cell>
        </row>
        <row r="31">
          <cell r="L31">
            <v>6082852553</v>
          </cell>
        </row>
      </sheetData>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roval Request"/>
      <sheetName val="Cover"/>
      <sheetName val="BS (01)"/>
      <sheetName val="BS (02)"/>
      <sheetName val="IS (01)"/>
      <sheetName val="IS (02)"/>
      <sheetName val=" CF (1)"/>
      <sheetName val="CF (2)"/>
      <sheetName val="Cash &amp; Deposit"/>
      <sheetName val="Detail of CF"/>
    </sheetNames>
    <sheetDataSet>
      <sheetData sheetId="0"/>
      <sheetData sheetId="1"/>
      <sheetData sheetId="2"/>
      <sheetData sheetId="3"/>
      <sheetData sheetId="4">
        <row r="6">
          <cell r="G6">
            <v>52682.31</v>
          </cell>
          <cell r="L6">
            <v>1380076168705</v>
          </cell>
        </row>
        <row r="14">
          <cell r="G14">
            <v>42854.82</v>
          </cell>
          <cell r="K14">
            <v>513722182465</v>
          </cell>
        </row>
      </sheetData>
      <sheetData sheetId="5"/>
      <sheetData sheetId="6"/>
      <sheetData sheetId="7"/>
      <sheetData sheetId="8">
        <row r="36">
          <cell r="K36">
            <v>76334259.742275506</v>
          </cell>
        </row>
      </sheetData>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roval Request"/>
      <sheetName val="Cover"/>
      <sheetName val="BS (01)"/>
      <sheetName val="BS (02)"/>
      <sheetName val="IS (01)"/>
      <sheetName val="IS (02)"/>
      <sheetName val=" CF (1)"/>
      <sheetName val="CF (2)"/>
      <sheetName val="Cash &amp; deposit"/>
      <sheetName val="Detail of CF"/>
    </sheetNames>
    <sheetDataSet>
      <sheetData sheetId="0" refreshError="1"/>
      <sheetData sheetId="1" refreshError="1"/>
      <sheetData sheetId="2" refreshError="1"/>
      <sheetData sheetId="3" refreshError="1"/>
      <sheetData sheetId="4">
        <row r="6">
          <cell r="G6">
            <v>24262.809999999998</v>
          </cell>
          <cell r="L6">
            <v>612642739914</v>
          </cell>
        </row>
        <row r="14">
          <cell r="G14">
            <v>21020.79</v>
          </cell>
          <cell r="L14">
            <v>530797930086</v>
          </cell>
        </row>
      </sheetData>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C FEB.18 SITE01"/>
      <sheetName val="FC JAN.18 SITE01"/>
      <sheetName val="회계원가 SITE03"/>
      <sheetName val="OCT.17"/>
      <sheetName val="NOV.17"/>
      <sheetName val="DEC.17"/>
      <sheetName val="FC Site 01 1711"/>
      <sheetName val="FC Site 01 1712."/>
      <sheetName val="회계원가 SITE04"/>
      <sheetName val="회계원가 SITE07"/>
      <sheetName val="회계원가 SITE06"/>
      <sheetName val="회계원가 SITE08"/>
      <sheetName val="회계원가 SITE10"/>
      <sheetName val="회계원가 SITE12"/>
      <sheetName val="회계원가 SITE13"/>
      <sheetName val="회계원가 SITE14"/>
      <sheetName val="회계원가 SITE15"/>
      <sheetName val="회계원가 SITE16"/>
      <sheetName val="회계원가 SITE17"/>
      <sheetName val="회계원가 SITE19"/>
      <sheetName val="회계원가 SITE21"/>
      <sheetName val="회계원가 SITE20"/>
      <sheetName val="회계원가 SITE23"/>
      <sheetName val="회계원가 SITE24"/>
      <sheetName val="회계원가 SITE25"/>
      <sheetName val="Detail 601-SUBS (SITE07)"/>
      <sheetName val="PIVOT"/>
      <sheetName val="회계원가 SITE 01 - 2017"/>
      <sheetName val="03.12~31.12"/>
      <sheetName val="01-11~02.12"/>
    </sheetNames>
    <sheetDataSet>
      <sheetData sheetId="0"/>
      <sheetData sheetId="1"/>
      <sheetData sheetId="2"/>
      <sheetData sheetId="3"/>
      <sheetData sheetId="4"/>
      <sheetData sheetId="5"/>
      <sheetData sheetId="6"/>
      <sheetData sheetId="7"/>
      <sheetData sheetId="8"/>
      <sheetData sheetId="9"/>
      <sheetData sheetId="10">
        <row r="82">
          <cell r="BK82">
            <v>11141063289</v>
          </cell>
        </row>
      </sheetData>
      <sheetData sheetId="11"/>
      <sheetData sheetId="12"/>
      <sheetData sheetId="13"/>
      <sheetData sheetId="14"/>
      <sheetData sheetId="15"/>
      <sheetData sheetId="16"/>
      <sheetData sheetId="17"/>
      <sheetData sheetId="18"/>
      <sheetData sheetId="19"/>
      <sheetData sheetId="20"/>
      <sheetData sheetId="21"/>
      <sheetData sheetId="22">
        <row r="86">
          <cell r="I86">
            <v>2817825149</v>
          </cell>
        </row>
      </sheetData>
      <sheetData sheetId="23"/>
      <sheetData sheetId="24"/>
      <sheetData sheetId="25"/>
      <sheetData sheetId="26"/>
      <sheetData sheetId="27"/>
      <sheetData sheetId="28"/>
      <sheetData sheetId="2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aft"/>
      <sheetName val="Cover"/>
      <sheetName val="BS (01)"/>
      <sheetName val="BS (02)"/>
      <sheetName val="IS (01)"/>
      <sheetName val="IS (02)"/>
      <sheetName val=" CF (1)"/>
      <sheetName val="CF (2)"/>
      <sheetName val="cash &amp; deposit"/>
    </sheetNames>
    <sheetDataSet>
      <sheetData sheetId="0"/>
      <sheetData sheetId="1"/>
      <sheetData sheetId="2"/>
      <sheetData sheetId="3"/>
      <sheetData sheetId="4">
        <row r="6">
          <cell r="F6">
            <v>4322.4799999999996</v>
          </cell>
          <cell r="G6">
            <v>15732.387149999999</v>
          </cell>
          <cell r="K6">
            <v>103955627835</v>
          </cell>
          <cell r="L6">
            <v>373244157297</v>
          </cell>
        </row>
        <row r="14">
          <cell r="F14">
            <v>3491.93</v>
          </cell>
          <cell r="G14">
            <v>12445.856979999999</v>
          </cell>
          <cell r="K14">
            <v>83980823508</v>
          </cell>
          <cell r="L14">
            <v>295313198108</v>
          </cell>
        </row>
      </sheetData>
      <sheetData sheetId="5"/>
      <sheetData sheetId="6"/>
      <sheetData sheetId="7"/>
      <sheetData sheetId="8">
        <row r="32">
          <cell r="K32">
            <v>1154684917602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Revalue"/>
      <sheetName val="Acc 413"/>
      <sheetName val="Acnt-Bal"/>
      <sheetName val="CF (2)"/>
      <sheetName val="cash &amp; deposit._DECV"/>
      <sheetName val="DECV법인(수정2)"/>
    </sheetNames>
    <sheetDataSet>
      <sheetData sheetId="0" refreshError="1"/>
      <sheetData sheetId="1" refreshError="1"/>
      <sheetData sheetId="2" refreshError="1"/>
      <sheetData sheetId="3" refreshError="1"/>
      <sheetData sheetId="4" refreshError="1">
        <row r="6">
          <cell r="G6">
            <v>26554362.591648154</v>
          </cell>
        </row>
        <row r="14">
          <cell r="G14">
            <v>22886027.569426015</v>
          </cell>
        </row>
      </sheetData>
      <sheetData sheetId="5" refreshError="1"/>
      <sheetData sheetId="6" refreshError="1"/>
      <sheetData sheetId="7" refreshError="1"/>
      <sheetData sheetId="8" refreshError="1"/>
      <sheetData sheetId="9" refreshError="1"/>
      <sheetData sheetId="10" refreshError="1"/>
      <sheetData sheetId="11">
        <row r="25">
          <cell r="K25">
            <v>504732450462</v>
          </cell>
        </row>
      </sheetData>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3.2018 (2)"/>
      <sheetName val="02.2022"/>
      <sheetName val="62vs154."/>
      <sheetName val="Estimate Revenue"/>
      <sheetName val="NON-DEDUCTIBLE EXPS."/>
      <sheetName val="FOREX Gain-Loss "/>
      <sheetName val="Reconcile"/>
      <sheetName val="SUMMARY CIT 2022"/>
      <sheetName val="NON-DEDUCTIBLE EXPS. 2022"/>
      <sheetName val="SUMMARY ND EXPS. 2020"/>
      <sheetName val="Reconcile revenue"/>
      <sheetName val="VAT returns"/>
      <sheetName val="Output VAT list"/>
      <sheetName val="Contract progress payment"/>
      <sheetName val="SUMMARY ND EXPS. 2019"/>
      <sheetName val="SUMMARY ND EXPS. 2018"/>
      <sheetName val="SUMMARY ND EXPS. 2017"/>
    </sheetNames>
    <sheetDataSet>
      <sheetData sheetId="0" refreshError="1"/>
      <sheetData sheetId="1" refreshError="1"/>
      <sheetData sheetId="2" refreshError="1"/>
      <sheetData sheetId="3" refreshError="1"/>
      <sheetData sheetId="4" refreshError="1">
        <row r="9">
          <cell r="C9">
            <v>1392321458</v>
          </cell>
          <cell r="E9">
            <v>1519330085</v>
          </cell>
        </row>
        <row r="10">
          <cell r="C10">
            <v>-57034296</v>
          </cell>
          <cell r="E10">
            <v>0</v>
          </cell>
        </row>
        <row r="11">
          <cell r="C11">
            <v>1310095748</v>
          </cell>
          <cell r="E11">
            <v>1457433647</v>
          </cell>
        </row>
        <row r="12">
          <cell r="C12">
            <v>15791075983</v>
          </cell>
          <cell r="E12">
            <v>18159011020</v>
          </cell>
        </row>
        <row r="13">
          <cell r="E13">
            <v>0</v>
          </cell>
        </row>
        <row r="14">
          <cell r="C14">
            <v>47640167</v>
          </cell>
          <cell r="E14">
            <v>94642243</v>
          </cell>
        </row>
        <row r="15">
          <cell r="C15">
            <v>13614922875</v>
          </cell>
          <cell r="E15">
            <v>15656535045</v>
          </cell>
        </row>
        <row r="16">
          <cell r="C16">
            <v>520567812</v>
          </cell>
          <cell r="E16">
            <v>572624593</v>
          </cell>
        </row>
        <row r="17">
          <cell r="E17">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T DATA (2)"/>
      <sheetName val="Estimate Revenue"/>
      <sheetName val="FAST DATA 62vs 154"/>
      <sheetName val="SOE T11.20"/>
      <sheetName val="SOE T10.20"/>
      <sheetName val="SOE T09.20"/>
      <sheetName val="SOE"/>
      <sheetName val="SOE T08.2020"/>
      <sheetName val="SOE."/>
      <sheetName val="SOE JAN.2021"/>
      <sheetName val="SOE DEC 2020"/>
      <sheetName val="RATIO"/>
    </sheetNames>
    <sheetDataSet>
      <sheetData sheetId="0"/>
      <sheetData sheetId="1">
        <row r="10">
          <cell r="C10">
            <v>274829024</v>
          </cell>
        </row>
        <row r="11">
          <cell r="C11">
            <v>176967182</v>
          </cell>
        </row>
        <row r="12">
          <cell r="C12">
            <v>2964832803</v>
          </cell>
          <cell r="E12">
            <v>3409421347</v>
          </cell>
        </row>
        <row r="13">
          <cell r="C13">
            <v>0</v>
          </cell>
        </row>
        <row r="14">
          <cell r="C14">
            <v>41485486</v>
          </cell>
        </row>
        <row r="15">
          <cell r="C15">
            <v>1507706142</v>
          </cell>
          <cell r="E15">
            <v>1733792712</v>
          </cell>
        </row>
        <row r="16">
          <cell r="C16">
            <v>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T DATA (2)"/>
      <sheetName val="Estimate Revenue"/>
      <sheetName val="FAST DATA 62vs 154"/>
      <sheetName val="SOE T11.20"/>
      <sheetName val="SOE T10.20"/>
      <sheetName val="SOE T09.20"/>
      <sheetName val="SOE"/>
      <sheetName val="SOE T08.2020"/>
      <sheetName val="SOE."/>
      <sheetName val="SOE JAN.2021"/>
      <sheetName val="SOE DEC 2020"/>
      <sheetName val="RATIO"/>
    </sheetNames>
    <sheetDataSet>
      <sheetData sheetId="0" refreshError="1"/>
      <sheetData sheetId="1" refreshError="1">
        <row r="9">
          <cell r="Q9">
            <v>3644139205</v>
          </cell>
        </row>
        <row r="17">
          <cell r="Q17">
            <v>9945452000</v>
          </cell>
        </row>
        <row r="18">
          <cell r="Q18">
            <v>9945452000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aft"/>
      <sheetName val="Cover"/>
      <sheetName val="BS (01)"/>
      <sheetName val="BS (02)"/>
      <sheetName val="IS (01)"/>
      <sheetName val="IS (02)"/>
      <sheetName val=" CF (1)"/>
      <sheetName val="CF (2)"/>
      <sheetName val="Revalue"/>
      <sheetName val="Acc 413"/>
      <sheetName val="Acnt-Bal"/>
      <sheetName val="cash &amp; deposit._DECV"/>
      <sheetName val="DECV법인(수정2)"/>
    </sheetNames>
    <sheetDataSet>
      <sheetData sheetId="0" refreshError="1"/>
      <sheetData sheetId="1" refreshError="1"/>
      <sheetData sheetId="2" refreshError="1"/>
      <sheetData sheetId="3" refreshError="1"/>
      <sheetData sheetId="4" refreshError="1">
        <row r="6">
          <cell r="K6">
            <v>52578296787</v>
          </cell>
        </row>
        <row r="14">
          <cell r="K14">
            <v>45877509136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CF (2)"/>
      <sheetName val="Revalue"/>
      <sheetName val="Acc 413"/>
      <sheetName val="Acnt-Bal"/>
      <sheetName val="cash &amp; deposit._DECV"/>
      <sheetName val="DECV법인(수정2)"/>
    </sheetNames>
    <sheetDataSet>
      <sheetData sheetId="0"/>
      <sheetData sheetId="1"/>
      <sheetData sheetId="2">
        <row r="30">
          <cell r="E30">
            <v>1007226.6446507515</v>
          </cell>
        </row>
      </sheetData>
      <sheetData sheetId="3"/>
      <sheetData sheetId="4">
        <row r="6">
          <cell r="G6">
            <v>32502876.940009739</v>
          </cell>
          <cell r="L6">
            <v>740519183085.771</v>
          </cell>
        </row>
        <row r="14">
          <cell r="G14">
            <v>27128797.806780811</v>
          </cell>
          <cell r="L14">
            <v>618297412228</v>
          </cell>
        </row>
      </sheetData>
      <sheetData sheetId="5"/>
      <sheetData sheetId="6"/>
      <sheetData sheetId="7"/>
      <sheetData sheetId="8"/>
      <sheetData sheetId="9"/>
      <sheetData sheetId="10"/>
      <sheetData sheetId="11">
        <row r="31">
          <cell r="K31">
            <v>405475535916</v>
          </cell>
        </row>
      </sheetData>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T DATA (2)"/>
      <sheetName val="Estimate Revenue"/>
      <sheetName val="FAST DATA"/>
      <sheetName val="SOE T11.20"/>
      <sheetName val="SOE T10.20"/>
      <sheetName val="SOE T09.20"/>
      <sheetName val="SOE"/>
      <sheetName val="SOE T08.2020"/>
      <sheetName val="SOE."/>
      <sheetName val="SOE JAN.2021"/>
      <sheetName val="SOE DEC 2020"/>
      <sheetName val="RATIO"/>
    </sheetNames>
    <sheetDataSet>
      <sheetData sheetId="0"/>
      <sheetData sheetId="1">
        <row r="8">
          <cell r="D8">
            <v>1705844945</v>
          </cell>
          <cell r="E8">
            <v>1705844945</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T DATA (2)"/>
      <sheetName val="Estimate Revenue"/>
      <sheetName val="FAST DATA 62vs 154"/>
      <sheetName val="SOE T11.20"/>
      <sheetName val="SOE T10.20"/>
      <sheetName val="SOE T09.20"/>
      <sheetName val="SOE"/>
      <sheetName val="SOE T08.2020"/>
      <sheetName val="SOE."/>
      <sheetName val="SOE JAN.2021"/>
      <sheetName val="SOE DEC 2020"/>
      <sheetName val="RATIO"/>
    </sheetNames>
    <sheetDataSet>
      <sheetData sheetId="0"/>
      <sheetData sheetId="1">
        <row r="9">
          <cell r="F9">
            <v>1448764995</v>
          </cell>
        </row>
        <row r="10">
          <cell r="R10">
            <v>18058537653</v>
          </cell>
        </row>
        <row r="13">
          <cell r="R13">
            <v>476065454</v>
          </cell>
        </row>
      </sheetData>
      <sheetData sheetId="2">
        <row r="9">
          <cell r="C9">
            <v>46089635052</v>
          </cell>
        </row>
      </sheetData>
      <sheetData sheetId="3"/>
      <sheetData sheetId="4"/>
      <sheetData sheetId="5"/>
      <sheetData sheetId="6"/>
      <sheetData sheetId="7"/>
      <sheetData sheetId="8"/>
      <sheetData sheetId="9"/>
      <sheetData sheetId="10"/>
      <sheetData sheetId="11">
        <row r="64">
          <cell r="N64">
            <v>0.90910000000000002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3.2018 (2)"/>
      <sheetName val="12.2021"/>
      <sheetName val="62vs154."/>
      <sheetName val="Estimate Revenue"/>
      <sheetName val="NON-DEDUCTIBLE EXPS."/>
      <sheetName val="FOREX Gain-Loss "/>
      <sheetName val="Reconcile"/>
      <sheetName val="SUMMARY CIT 2021"/>
      <sheetName val="NON-DEDUCTIBLE EXPS. 2021"/>
      <sheetName val="SUMMARY ND EXPS. 2020"/>
      <sheetName val="Reconcile revenue"/>
      <sheetName val="VAT returns"/>
      <sheetName val="Output VAT list"/>
      <sheetName val="Contract progress payment"/>
      <sheetName val="SUMMARY ND EXPS. 2019"/>
      <sheetName val="SUMMARY ND EXPS. 2018"/>
      <sheetName val="SUMMARY ND EXPS. 2017"/>
    </sheetNames>
    <sheetDataSet>
      <sheetData sheetId="0" refreshError="1"/>
      <sheetData sheetId="1" refreshError="1"/>
      <sheetData sheetId="2">
        <row r="30">
          <cell r="M30">
            <v>263439361</v>
          </cell>
        </row>
      </sheetData>
      <sheetData sheetId="3" refreshError="1"/>
      <sheetData sheetId="4" refreshError="1">
        <row r="12">
          <cell r="Q12">
            <v>45910195397</v>
          </cell>
        </row>
        <row r="16">
          <cell r="Q16">
            <v>73403196921</v>
          </cell>
        </row>
      </sheetData>
      <sheetData sheetId="5" refreshError="1"/>
      <sheetData sheetId="6" refreshError="1"/>
      <sheetData sheetId="7">
        <row r="5">
          <cell r="I5">
            <v>-14309739409</v>
          </cell>
        </row>
      </sheetData>
      <sheetData sheetId="8">
        <row r="16">
          <cell r="GD16">
            <v>876988050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T DATA (2)"/>
      <sheetName val="Estimate Revenue"/>
      <sheetName val="FAST DATA"/>
      <sheetName val="SOE T11.20"/>
      <sheetName val="SOE T10.20"/>
      <sheetName val="SOE T09.20"/>
      <sheetName val="SOE"/>
      <sheetName val="SOE T08.2020"/>
      <sheetName val="SOE."/>
      <sheetName val="SOE JAN.2021"/>
      <sheetName val="SOE DEC 2020"/>
      <sheetName val="RATIO"/>
    </sheetNames>
    <sheetDataSet>
      <sheetData sheetId="0"/>
      <sheetData sheetId="1">
        <row r="8">
          <cell r="C8">
            <v>1298986523</v>
          </cell>
        </row>
        <row r="14">
          <cell r="C14">
            <v>90590348806</v>
          </cell>
        </row>
      </sheetData>
      <sheetData sheetId="2">
        <row r="9">
          <cell r="C9">
            <v>90590348806</v>
          </cell>
        </row>
      </sheetData>
      <sheetData sheetId="3"/>
      <sheetData sheetId="4"/>
      <sheetData sheetId="5"/>
      <sheetData sheetId="6"/>
      <sheetData sheetId="7"/>
      <sheetData sheetId="8"/>
      <sheetData sheetId="9"/>
      <sheetData sheetId="10"/>
      <sheetData sheetId="11">
        <row r="64">
          <cell r="N64">
            <v>0.90910000000000002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CF (2)"/>
      <sheetName val="Revalue"/>
      <sheetName val="Acc 413"/>
      <sheetName val="Acnt-Bal"/>
      <sheetName val="cash &amp; deposit."/>
    </sheetNames>
    <sheetDataSet>
      <sheetData sheetId="0" refreshError="1"/>
      <sheetData sheetId="1" refreshError="1"/>
      <sheetData sheetId="2" refreshError="1"/>
      <sheetData sheetId="3" refreshError="1"/>
      <sheetData sheetId="4" refreshError="1">
        <row r="6">
          <cell r="G6">
            <v>55199498.393954776</v>
          </cell>
          <cell r="L6">
            <v>1276383072187.6196</v>
          </cell>
        </row>
        <row r="13">
          <cell r="G13">
            <v>48288881.117595777</v>
          </cell>
        </row>
      </sheetData>
      <sheetData sheetId="5">
        <row r="76">
          <cell r="H76">
            <v>4943396455</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Excel.Sheet.12">
    <oleItems>
      <mc:AlternateContent xmlns:mc="http://schemas.openxmlformats.org/markup-compatibility/2006">
        <mc:Choice Requires="x14">
          <x14:oleItem name="!IS (01)!R13C7" advise="1"/>
        </mc:Choice>
        <mc:Fallback>
          <oleItem name="!IS (01)!R13C7" advise="1"/>
        </mc:Fallback>
      </mc:AlternateContent>
      <mc:AlternateContent xmlns:mc="http://schemas.openxmlformats.org/markup-compatibility/2006">
        <mc:Choice Requires="x14">
          <x14:oleItem name="!IS (01)!R6C7" advise="1"/>
        </mc:Choice>
        <mc:Fallback>
          <oleItem name="!IS (01)!R6C7" advise="1"/>
        </mc:Fallback>
      </mc:AlternateContent>
    </oleItems>
  </oleLin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efreshError="1">
        <row r="7">
          <cell r="B7">
            <v>17089969664</v>
          </cell>
          <cell r="H7">
            <v>19653465113</v>
          </cell>
        </row>
        <row r="8">
          <cell r="B8">
            <v>746890446</v>
          </cell>
          <cell r="H8">
            <v>819441939</v>
          </cell>
        </row>
        <row r="9">
          <cell r="B9">
            <v>57241253258</v>
          </cell>
          <cell r="H9">
            <v>62965378584</v>
          </cell>
        </row>
      </sheetData>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efreshError="1">
        <row r="8">
          <cell r="S8">
            <v>8475880429.0715075</v>
          </cell>
        </row>
        <row r="9">
          <cell r="S9">
            <v>19399093934.047169</v>
          </cell>
        </row>
        <row r="10">
          <cell r="C10">
            <v>778997166</v>
          </cell>
          <cell r="G10">
            <v>853958273</v>
          </cell>
        </row>
        <row r="11">
          <cell r="C11">
            <v>45215439384</v>
          </cell>
          <cell r="S11">
            <v>49735594113.956329</v>
          </cell>
        </row>
      </sheetData>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efreshError="1">
        <row r="8">
          <cell r="C8">
            <v>43570821691</v>
          </cell>
          <cell r="F8">
            <v>19091973080</v>
          </cell>
        </row>
        <row r="9">
          <cell r="F9">
            <v>31012467687</v>
          </cell>
        </row>
        <row r="10">
          <cell r="C10">
            <v>806536979</v>
          </cell>
          <cell r="G10">
            <v>885044222</v>
          </cell>
        </row>
        <row r="11">
          <cell r="C11">
            <v>61971557360</v>
          </cell>
          <cell r="G11">
            <v>68168031416</v>
          </cell>
        </row>
        <row r="12">
          <cell r="G12">
            <v>4350104924</v>
          </cell>
        </row>
        <row r="13">
          <cell r="C13">
            <v>884341494</v>
          </cell>
          <cell r="G13">
            <v>967784767</v>
          </cell>
        </row>
      </sheetData>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efreshError="1">
        <row r="8">
          <cell r="C8">
            <v>7105968826</v>
          </cell>
          <cell r="E8">
            <v>8171537288</v>
          </cell>
        </row>
        <row r="9">
          <cell r="C9">
            <v>909019735</v>
          </cell>
          <cell r="E9">
            <v>1016957707</v>
          </cell>
        </row>
        <row r="10">
          <cell r="C10">
            <v>52302471207</v>
          </cell>
          <cell r="E10">
            <v>57532143006</v>
          </cell>
        </row>
        <row r="11">
          <cell r="C11">
            <v>1000980629</v>
          </cell>
          <cell r="E11">
            <v>1084105843</v>
          </cell>
        </row>
      </sheetData>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8">
          <cell r="C8">
            <v>4279305052</v>
          </cell>
          <cell r="E8">
            <v>4921003970</v>
          </cell>
        </row>
        <row r="9">
          <cell r="C9">
            <v>893803684</v>
          </cell>
          <cell r="D9">
            <v>979308134</v>
          </cell>
        </row>
        <row r="10">
          <cell r="C10">
            <v>75807832416</v>
          </cell>
          <cell r="E10">
            <v>83387781780</v>
          </cell>
        </row>
        <row r="11">
          <cell r="C11">
            <v>1005645951</v>
          </cell>
          <cell r="D11">
            <v>1103677994</v>
          </cell>
        </row>
        <row r="12">
          <cell r="C12">
            <v>2972721612</v>
          </cell>
          <cell r="E12">
            <v>3418493114</v>
          </cell>
        </row>
      </sheetData>
      <sheetData sheetId="1">
        <row r="7">
          <cell r="C7">
            <v>84959308715</v>
          </cell>
        </row>
      </sheetData>
      <sheetData sheetId="2">
        <row r="59">
          <cell r="N59">
            <v>0.86960000000000004</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8">
          <cell r="C8">
            <v>2236834516</v>
          </cell>
          <cell r="E8">
            <v>2572256803</v>
          </cell>
        </row>
        <row r="9">
          <cell r="C9">
            <v>921724565</v>
          </cell>
          <cell r="D9">
            <v>1125390508</v>
          </cell>
        </row>
        <row r="10">
          <cell r="C10">
            <v>93439176886</v>
          </cell>
          <cell r="E10">
            <v>102782066754</v>
          </cell>
        </row>
        <row r="11">
          <cell r="E11">
            <v>-4350104924</v>
          </cell>
        </row>
        <row r="12">
          <cell r="C12">
            <v>1071075433</v>
          </cell>
          <cell r="D12">
            <v>1177089872</v>
          </cell>
        </row>
        <row r="13">
          <cell r="C13">
            <v>3880262592</v>
          </cell>
          <cell r="E13">
            <v>4462123496</v>
          </cell>
        </row>
      </sheetData>
      <sheetData sheetId="1">
        <row r="7">
          <cell r="C7">
            <v>101549073992</v>
          </cell>
        </row>
      </sheetData>
      <sheetData sheetId="2">
        <row r="59">
          <cell r="N59">
            <v>0.86960000000000004</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SOE"/>
      <sheetName val="RATIO"/>
    </sheetNames>
    <sheetDataSet>
      <sheetData sheetId="0">
        <row r="8">
          <cell r="C8">
            <v>402537822</v>
          </cell>
          <cell r="F8">
            <v>465541090</v>
          </cell>
        </row>
        <row r="9">
          <cell r="C9">
            <v>1214569593</v>
          </cell>
          <cell r="E9">
            <v>1216785608</v>
          </cell>
        </row>
        <row r="10">
          <cell r="C10">
            <v>108829565340</v>
          </cell>
          <cell r="F10">
            <v>123125693427</v>
          </cell>
        </row>
        <row r="12">
          <cell r="C12">
            <v>1240555016</v>
          </cell>
          <cell r="E12">
            <v>1365430291</v>
          </cell>
        </row>
        <row r="13">
          <cell r="C13">
            <v>9721910622</v>
          </cell>
          <cell r="F13">
            <v>11379260480</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3.2018 (2)"/>
      <sheetName val="01.2019"/>
      <sheetName val="62 vs 154"/>
      <sheetName val="NON-DEDUCTIBLE EXP."/>
      <sheetName val="635"/>
      <sheetName val="Reconcile"/>
      <sheetName val="SUMMARY CIT 2017+2018"/>
      <sheetName val="SUMMARY ND EXPS. 2019"/>
      <sheetName val="SUMMARY ND EXPS. 2017"/>
      <sheetName val="SUMMARY ND EXPS. 2018"/>
    </sheetNames>
    <sheetDataSet>
      <sheetData sheetId="0"/>
      <sheetData sheetId="1"/>
      <sheetData sheetId="2">
        <row r="8">
          <cell r="J8">
            <v>4961817286</v>
          </cell>
        </row>
        <row r="9">
          <cell r="J9">
            <v>26733609</v>
          </cell>
        </row>
        <row r="10">
          <cell r="J10">
            <v>2983016144</v>
          </cell>
        </row>
      </sheetData>
      <sheetData sheetId="3"/>
      <sheetData sheetId="4"/>
      <sheetData sheetId="5"/>
      <sheetData sheetId="6">
        <row r="5">
          <cell r="G5">
            <v>0</v>
          </cell>
        </row>
      </sheetData>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efreshError="1">
        <row r="7">
          <cell r="B7">
            <v>10715802643</v>
          </cell>
        </row>
        <row r="8">
          <cell r="B8">
            <v>703954304</v>
          </cell>
        </row>
        <row r="9">
          <cell r="B9">
            <v>23836347893</v>
          </cell>
        </row>
      </sheetData>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8">
          <cell r="C8">
            <v>9153117692</v>
          </cell>
        </row>
        <row r="10">
          <cell r="C10">
            <v>816339824</v>
          </cell>
        </row>
        <row r="11">
          <cell r="C11">
            <v>41837379468</v>
          </cell>
        </row>
        <row r="12">
          <cell r="C12">
            <v>964274914</v>
          </cell>
        </row>
      </sheetData>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CF (2)"/>
      <sheetName val="Revalue"/>
      <sheetName val="Acc 413"/>
      <sheetName val="Acnt-Bal"/>
      <sheetName val="cash &amp; deposit"/>
    </sheetNames>
    <sheetDataSet>
      <sheetData sheetId="0"/>
      <sheetData sheetId="1"/>
      <sheetData sheetId="2"/>
      <sheetData sheetId="3"/>
      <sheetData sheetId="4">
        <row r="6">
          <cell r="G6">
            <v>38499500.087108433</v>
          </cell>
        </row>
        <row r="13">
          <cell r="G13">
            <v>34178306.160752013</v>
          </cell>
        </row>
      </sheetData>
      <sheetData sheetId="5"/>
      <sheetData sheetId="6"/>
      <sheetData sheetId="7"/>
      <sheetData sheetId="8"/>
      <sheetData sheetId="9"/>
      <sheetData sheetId="10"/>
      <sheetData sheetId="1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CF (2)"/>
      <sheetName val="Revalue"/>
      <sheetName val="Acc 413"/>
      <sheetName val="Acnt-Bal"/>
      <sheetName val="cash &amp; deposit"/>
    </sheetNames>
    <sheetDataSet>
      <sheetData sheetId="0"/>
      <sheetData sheetId="1"/>
      <sheetData sheetId="2"/>
      <sheetData sheetId="3"/>
      <sheetData sheetId="4">
        <row r="6">
          <cell r="G6">
            <v>8581746.5204845816</v>
          </cell>
        </row>
        <row r="7">
          <cell r="K7">
            <v>52571320375</v>
          </cell>
        </row>
        <row r="8">
          <cell r="K8">
            <v>1153025717</v>
          </cell>
        </row>
        <row r="9">
          <cell r="K9">
            <v>18955852163</v>
          </cell>
        </row>
        <row r="10">
          <cell r="K10">
            <v>7250318761</v>
          </cell>
        </row>
      </sheetData>
      <sheetData sheetId="5"/>
      <sheetData sheetId="6"/>
      <sheetData sheetId="7"/>
      <sheetData sheetId="8"/>
      <sheetData sheetId="9"/>
      <sheetData sheetId="10"/>
      <sheetData sheetId="11">
        <row r="24">
          <cell r="K24">
            <v>129180514107</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7">
          <cell r="B7">
            <v>27244834603</v>
          </cell>
          <cell r="H7">
            <v>31330306581</v>
          </cell>
        </row>
        <row r="8">
          <cell r="B8">
            <v>41864866510</v>
          </cell>
          <cell r="H8">
            <v>46050892652</v>
          </cell>
        </row>
        <row r="11">
          <cell r="B11">
            <v>754016149</v>
          </cell>
          <cell r="H11">
            <v>847297928</v>
          </cell>
        </row>
      </sheetData>
      <sheetData sheetId="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 val="FAST DATA"/>
    </sheetNames>
    <sheetDataSet>
      <sheetData sheetId="0">
        <row r="7">
          <cell r="E7">
            <v>30333654615</v>
          </cell>
          <cell r="H7">
            <v>31854817930</v>
          </cell>
        </row>
        <row r="8">
          <cell r="H8">
            <v>18390582573</v>
          </cell>
        </row>
        <row r="9">
          <cell r="H9">
            <v>5194962386</v>
          </cell>
        </row>
        <row r="11">
          <cell r="H11">
            <v>849961633</v>
          </cell>
        </row>
      </sheetData>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7">
          <cell r="B7">
            <v>31241278956</v>
          </cell>
          <cell r="H7">
            <v>35926033758</v>
          </cell>
        </row>
        <row r="8">
          <cell r="B8">
            <v>35191011422</v>
          </cell>
          <cell r="H8">
            <v>38709725467</v>
          </cell>
        </row>
        <row r="11">
          <cell r="B11">
            <v>50466684</v>
          </cell>
          <cell r="H11">
            <v>869416812</v>
          </cell>
        </row>
      </sheetData>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Revenue"/>
      <sheetName val="FAST DATA"/>
      <sheetName val="RATIO"/>
    </sheetNames>
    <sheetDataSet>
      <sheetData sheetId="0">
        <row r="7">
          <cell r="B7">
            <v>32702074761</v>
          </cell>
          <cell r="H7">
            <v>37605881740</v>
          </cell>
        </row>
        <row r="8">
          <cell r="B8">
            <v>27329447924</v>
          </cell>
          <cell r="H8">
            <v>30062092095</v>
          </cell>
        </row>
        <row r="11">
          <cell r="B11">
            <v>1600425710</v>
          </cell>
          <cell r="H11">
            <v>843946311</v>
          </cell>
        </row>
      </sheetData>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3.2018 (2)"/>
      <sheetName val="09.2018"/>
      <sheetName val="62 Ref. 154 SEP"/>
      <sheetName val="NON-DEDUCTIBLE EXP."/>
      <sheetName val="Reconcile"/>
    </sheetNames>
    <sheetDataSet>
      <sheetData sheetId="0"/>
      <sheetData sheetId="1"/>
      <sheetData sheetId="2">
        <row r="8">
          <cell r="J8">
            <v>27700949672</v>
          </cell>
        </row>
        <row r="9">
          <cell r="J9">
            <v>812011954</v>
          </cell>
        </row>
        <row r="10">
          <cell r="J10">
            <v>16718878617</v>
          </cell>
        </row>
        <row r="11">
          <cell r="J11">
            <v>4517539291</v>
          </cell>
        </row>
      </sheetData>
      <sheetData sheetId="3"/>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sheetName val="Cover"/>
      <sheetName val="BS (01)"/>
      <sheetName val="BS (02)"/>
      <sheetName val="IS (01)"/>
      <sheetName val="IS (02)"/>
      <sheetName val=" CF (1)"/>
      <sheetName val="CF (2)"/>
      <sheetName val="Revalue"/>
      <sheetName val="Acc 413"/>
      <sheetName val="Acnt-Bal"/>
      <sheetName val="cash &amp; deposit"/>
    </sheetNames>
    <sheetDataSet>
      <sheetData sheetId="0" refreshError="1"/>
      <sheetData sheetId="1" refreshError="1"/>
      <sheetData sheetId="2" refreshError="1"/>
      <sheetData sheetId="3" refreshError="1"/>
      <sheetData sheetId="4">
        <row r="6">
          <cell r="F6">
            <v>6265294.1200000001</v>
          </cell>
          <cell r="G6">
            <v>31382018.23</v>
          </cell>
        </row>
        <row r="12">
          <cell r="G12">
            <v>27380675.959999997</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017"/>
      <sheetName val="Pivot 2017"/>
      <sheetName val="CV 2017"/>
      <sheetName val="From Fast 2017 (511-632)"/>
    </sheetNames>
    <sheetDataSet>
      <sheetData sheetId="0"/>
      <sheetData sheetId="1" refreshError="1"/>
      <sheetData sheetId="2">
        <row r="9">
          <cell r="H9">
            <v>12876199685</v>
          </cell>
          <cell r="I9">
            <v>29900394003</v>
          </cell>
        </row>
        <row r="10">
          <cell r="H10">
            <v>52643152847</v>
          </cell>
          <cell r="I10">
            <v>72430020558</v>
          </cell>
        </row>
        <row r="11">
          <cell r="H11">
            <v>56975628962</v>
          </cell>
          <cell r="I11">
            <v>88986528502</v>
          </cell>
        </row>
        <row r="13">
          <cell r="H13">
            <v>651526180</v>
          </cell>
          <cell r="I13">
            <v>1477915621</v>
          </cell>
        </row>
        <row r="14">
          <cell r="H14">
            <v>829679552</v>
          </cell>
          <cell r="I14">
            <v>1689065741</v>
          </cell>
        </row>
        <row r="16">
          <cell r="I16">
            <v>38037928653</v>
          </cell>
        </row>
        <row r="17">
          <cell r="I17">
            <v>33077782757</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J20"/>
  <sheetViews>
    <sheetView workbookViewId="0"/>
  </sheetViews>
  <sheetFormatPr defaultRowHeight="10.5"/>
  <sheetData>
    <row r="5" spans="2:10">
      <c r="B5" s="381" t="s">
        <v>120</v>
      </c>
      <c r="C5" s="381"/>
      <c r="D5" s="381"/>
      <c r="E5" s="381"/>
      <c r="F5" s="381"/>
      <c r="G5" s="381"/>
      <c r="H5" s="381"/>
      <c r="I5" s="381"/>
      <c r="J5" s="381"/>
    </row>
    <row r="7" spans="2:10">
      <c r="B7" t="s">
        <v>119</v>
      </c>
    </row>
    <row r="9" spans="2:10">
      <c r="B9" t="s">
        <v>121</v>
      </c>
    </row>
    <row r="12" spans="2:10">
      <c r="B12" s="219" t="s">
        <v>122</v>
      </c>
    </row>
    <row r="13" spans="2:10">
      <c r="B13" s="219"/>
    </row>
    <row r="14" spans="2:10">
      <c r="B14" s="219"/>
    </row>
    <row r="16" spans="2:10">
      <c r="B16" t="s">
        <v>123</v>
      </c>
    </row>
    <row r="17" spans="2:8">
      <c r="B17" s="219" t="s">
        <v>126</v>
      </c>
    </row>
    <row r="18" spans="2:8">
      <c r="H18" t="s">
        <v>124</v>
      </c>
    </row>
    <row r="20" spans="2:8">
      <c r="B20" s="219" t="s">
        <v>125</v>
      </c>
    </row>
  </sheetData>
  <mergeCells count="1">
    <mergeCell ref="B5:J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D6D"/>
    <pageSetUpPr fitToPage="1"/>
  </sheetPr>
  <dimension ref="A1:O169"/>
  <sheetViews>
    <sheetView zoomScale="57" workbookViewId="0">
      <selection activeCell="G13" sqref="G13"/>
    </sheetView>
  </sheetViews>
  <sheetFormatPr defaultColWidth="9.33203125" defaultRowHeight="14.25" outlineLevelRow="1"/>
  <cols>
    <col min="1" max="1" width="15.33203125" style="144" customWidth="1"/>
    <col min="2" max="2" width="24.33203125" style="144" customWidth="1"/>
    <col min="3" max="3" width="20.6640625" style="144" customWidth="1"/>
    <col min="4" max="4" width="21.83203125" style="144" customWidth="1"/>
    <col min="5" max="5" width="17.6640625" style="144" customWidth="1"/>
    <col min="6" max="6" width="20.5" style="144" customWidth="1"/>
    <col min="7" max="7" width="20.83203125" style="144" customWidth="1"/>
    <col min="8" max="8" width="19.33203125" style="144" customWidth="1"/>
    <col min="9" max="12" width="17.6640625" style="144" customWidth="1"/>
    <col min="13" max="13" width="19.5" style="144" customWidth="1"/>
    <col min="14" max="14" width="21.5" style="144" customWidth="1"/>
    <col min="15" max="15" width="20.6640625" style="144" customWidth="1"/>
    <col min="16" max="16384" width="9.33203125" style="144"/>
  </cols>
  <sheetData>
    <row r="1" spans="1:15" s="122" customFormat="1" ht="30" customHeight="1">
      <c r="A1" s="121" t="s">
        <v>51</v>
      </c>
    </row>
    <row r="2" spans="1:15" s="122" customFormat="1"/>
    <row r="3" spans="1:15" ht="39.75" customHeight="1">
      <c r="A3" s="393" t="s">
        <v>52</v>
      </c>
      <c r="B3" s="394"/>
      <c r="C3" s="383" t="s">
        <v>223</v>
      </c>
      <c r="D3" s="384"/>
      <c r="E3" s="384"/>
      <c r="F3" s="384"/>
      <c r="G3" s="384"/>
      <c r="H3" s="384"/>
      <c r="I3" s="384"/>
      <c r="J3" s="384"/>
      <c r="K3" s="384"/>
      <c r="L3" s="384"/>
      <c r="M3" s="384"/>
      <c r="N3" s="384"/>
      <c r="O3" s="385"/>
    </row>
    <row r="4" spans="1:15" ht="19.5" customHeight="1">
      <c r="A4" s="282"/>
      <c r="B4" s="283"/>
      <c r="C4" s="124" t="s">
        <v>53</v>
      </c>
      <c r="D4" s="125" t="s">
        <v>54</v>
      </c>
      <c r="E4" s="125" t="s">
        <v>55</v>
      </c>
      <c r="F4" s="125" t="s">
        <v>56</v>
      </c>
      <c r="G4" s="125" t="s">
        <v>57</v>
      </c>
      <c r="H4" s="125" t="s">
        <v>58</v>
      </c>
      <c r="I4" s="125" t="s">
        <v>59</v>
      </c>
      <c r="J4" s="125" t="s">
        <v>60</v>
      </c>
      <c r="K4" s="125" t="s">
        <v>61</v>
      </c>
      <c r="L4" s="125" t="s">
        <v>62</v>
      </c>
      <c r="M4" s="125" t="s">
        <v>63</v>
      </c>
      <c r="N4" s="126" t="s">
        <v>64</v>
      </c>
      <c r="O4" s="123" t="s">
        <v>65</v>
      </c>
    </row>
    <row r="5" spans="1:15" ht="28.5" hidden="1" outlineLevel="1">
      <c r="A5" s="395" t="s">
        <v>72</v>
      </c>
      <c r="B5" s="127" t="s">
        <v>66</v>
      </c>
      <c r="C5" s="193">
        <f>+'Summary 2026'!E9</f>
        <v>1593627000</v>
      </c>
      <c r="D5" s="193">
        <f>+'Summary 2026'!F9</f>
        <v>1593627000</v>
      </c>
      <c r="E5" s="193">
        <f>+'Summary 2026'!G9</f>
        <v>2143475816</v>
      </c>
      <c r="F5" s="193">
        <f>+'Summary 2026'!H9</f>
        <v>0</v>
      </c>
      <c r="G5" s="193">
        <f>+'Summary 2026'!I9</f>
        <v>0</v>
      </c>
      <c r="H5" s="193">
        <f>+'Summary 2026'!J9</f>
        <v>0</v>
      </c>
      <c r="I5" s="193">
        <f>+'Summary 2026'!K9</f>
        <v>0</v>
      </c>
      <c r="J5" s="193">
        <f>+'Summary 2026'!L9</f>
        <v>0</v>
      </c>
      <c r="K5" s="193">
        <f>+'Summary 2026'!M9</f>
        <v>0</v>
      </c>
      <c r="L5" s="193">
        <f>+'Summary 2026'!N9</f>
        <v>0</v>
      </c>
      <c r="M5" s="193">
        <f>+'Summary 2026'!O9</f>
        <v>0</v>
      </c>
      <c r="N5" s="193">
        <f>+'Summary 2026'!P9</f>
        <v>0</v>
      </c>
      <c r="O5" s="133">
        <f>SUM(C5:N5)</f>
        <v>5330729816</v>
      </c>
    </row>
    <row r="6" spans="1:15" ht="28.5" hidden="1" outlineLevel="1">
      <c r="A6" s="396"/>
      <c r="B6" s="128" t="s">
        <v>67</v>
      </c>
      <c r="C6" s="194">
        <f>+'Summary 2026'!E30</f>
        <v>765010240</v>
      </c>
      <c r="D6" s="194">
        <f>+'Summary 2026'!F30</f>
        <v>1068076592</v>
      </c>
      <c r="E6" s="194">
        <f>+'Summary 2026'!G30</f>
        <v>1700502515</v>
      </c>
      <c r="F6" s="194">
        <f>+'Summary 2026'!H30</f>
        <v>330291789</v>
      </c>
      <c r="G6" s="194">
        <f>+'Summary 2026'!I30</f>
        <v>0</v>
      </c>
      <c r="H6" s="194">
        <f>+'Summary 2026'!J30</f>
        <v>0</v>
      </c>
      <c r="I6" s="194">
        <f>+'Summary 2026'!K30</f>
        <v>0</v>
      </c>
      <c r="J6" s="194">
        <f>+'Summary 2026'!L30</f>
        <v>0</v>
      </c>
      <c r="K6" s="194">
        <f>+'Summary 2026'!M30</f>
        <v>0</v>
      </c>
      <c r="L6" s="194">
        <f>+'Summary 2026'!N30</f>
        <v>0</v>
      </c>
      <c r="M6" s="194">
        <f>+'Summary 2026'!O30</f>
        <v>0</v>
      </c>
      <c r="N6" s="194">
        <f>+'Summary 2026'!P30</f>
        <v>0</v>
      </c>
      <c r="O6" s="285">
        <f>SUM(C6:N6)</f>
        <v>3863881136</v>
      </c>
    </row>
    <row r="7" spans="1:15" ht="28.5" hidden="1" outlineLevel="1">
      <c r="A7" s="396"/>
      <c r="B7" s="127" t="s">
        <v>68</v>
      </c>
      <c r="C7" s="190">
        <f>C6-C8</f>
        <v>837739214</v>
      </c>
      <c r="D7" s="190">
        <f t="shared" ref="D7" si="0">+D6-D8</f>
        <v>1068076592</v>
      </c>
      <c r="E7" s="190">
        <f t="shared" ref="E7:N7" si="1">+E6-E8</f>
        <v>1700502515</v>
      </c>
      <c r="F7" s="190">
        <f t="shared" si="1"/>
        <v>330291789</v>
      </c>
      <c r="G7" s="190">
        <f t="shared" si="1"/>
        <v>0</v>
      </c>
      <c r="H7" s="190">
        <f t="shared" si="1"/>
        <v>0</v>
      </c>
      <c r="I7" s="190">
        <f t="shared" si="1"/>
        <v>0</v>
      </c>
      <c r="J7" s="190">
        <f t="shared" si="1"/>
        <v>0</v>
      </c>
      <c r="K7" s="190">
        <f t="shared" si="1"/>
        <v>0</v>
      </c>
      <c r="L7" s="190">
        <f t="shared" si="1"/>
        <v>0</v>
      </c>
      <c r="M7" s="190">
        <f t="shared" si="1"/>
        <v>0</v>
      </c>
      <c r="N7" s="190">
        <f t="shared" si="1"/>
        <v>0</v>
      </c>
      <c r="O7" s="129">
        <f>SUM(C7:N7)</f>
        <v>3936610110</v>
      </c>
    </row>
    <row r="8" spans="1:15" ht="28.5" hidden="1" outlineLevel="1">
      <c r="A8" s="396"/>
      <c r="B8" s="130" t="s">
        <v>69</v>
      </c>
      <c r="C8" s="196">
        <v>-72728974</v>
      </c>
      <c r="D8" s="196">
        <v>0</v>
      </c>
      <c r="E8" s="196">
        <v>0</v>
      </c>
      <c r="F8" s="196">
        <v>0</v>
      </c>
      <c r="G8" s="196">
        <v>0</v>
      </c>
      <c r="H8" s="196">
        <v>0</v>
      </c>
      <c r="I8" s="196">
        <v>0</v>
      </c>
      <c r="J8" s="196">
        <v>0</v>
      </c>
      <c r="K8" s="196">
        <v>0</v>
      </c>
      <c r="L8" s="196">
        <v>0</v>
      </c>
      <c r="M8" s="196">
        <v>0</v>
      </c>
      <c r="N8" s="196">
        <v>0</v>
      </c>
      <c r="O8" s="136">
        <f>SUM(C8:N8)</f>
        <v>-72728974</v>
      </c>
    </row>
    <row r="9" spans="1:15" ht="28.5" hidden="1" outlineLevel="1">
      <c r="A9" s="396"/>
      <c r="B9" s="132" t="s">
        <v>70</v>
      </c>
      <c r="C9" s="191">
        <v>0</v>
      </c>
      <c r="D9" s="191"/>
      <c r="E9" s="191"/>
      <c r="F9" s="191"/>
      <c r="G9" s="191"/>
      <c r="H9" s="191"/>
      <c r="I9" s="191"/>
      <c r="J9" s="191"/>
      <c r="K9" s="191"/>
      <c r="L9" s="191"/>
      <c r="M9" s="191"/>
      <c r="N9" s="191"/>
      <c r="O9" s="133">
        <f t="shared" ref="O9:O10" si="2">SUM(C9:N9)</f>
        <v>0</v>
      </c>
    </row>
    <row r="10" spans="1:15" ht="28.5" hidden="1" outlineLevel="1">
      <c r="A10" s="397"/>
      <c r="B10" s="132" t="s">
        <v>174</v>
      </c>
      <c r="C10" s="192">
        <v>0</v>
      </c>
      <c r="D10" s="192"/>
      <c r="E10" s="192"/>
      <c r="F10" s="192"/>
      <c r="G10" s="192"/>
      <c r="H10" s="192"/>
      <c r="I10" s="192"/>
      <c r="J10" s="192"/>
      <c r="K10" s="192"/>
      <c r="L10" s="192"/>
      <c r="M10" s="192"/>
      <c r="N10" s="192"/>
      <c r="O10" s="133">
        <f t="shared" si="2"/>
        <v>0</v>
      </c>
    </row>
    <row r="11" spans="1:15" ht="28.5" outlineLevel="1">
      <c r="A11" s="390" t="s">
        <v>73</v>
      </c>
      <c r="B11" s="127" t="s">
        <v>66</v>
      </c>
      <c r="C11" s="193">
        <f>+'Summary 2026'!E10</f>
        <v>1542200224</v>
      </c>
      <c r="D11" s="193">
        <f>+'Summary 2026'!F10</f>
        <v>9761784424</v>
      </c>
      <c r="E11" s="193">
        <f>+'Summary 2026'!G10</f>
        <v>8010675534</v>
      </c>
      <c r="F11" s="193">
        <f>+'Summary 2026'!H10</f>
        <v>9796332935</v>
      </c>
      <c r="G11" s="193">
        <f>+'Summary 2026'!I10</f>
        <v>9416448788</v>
      </c>
      <c r="H11" s="193">
        <f>+'Summary 2026'!J10</f>
        <v>9123243464</v>
      </c>
      <c r="I11" s="193">
        <f>+'Summary 2026'!K10</f>
        <v>0</v>
      </c>
      <c r="J11" s="193">
        <f>+'Summary 2026'!L10</f>
        <v>0</v>
      </c>
      <c r="K11" s="193">
        <f>+'Summary 2026'!M10</f>
        <v>0</v>
      </c>
      <c r="L11" s="193">
        <f>+'Summary 2026'!N10</f>
        <v>0</v>
      </c>
      <c r="M11" s="193">
        <f>+'Summary 2026'!O10</f>
        <v>0</v>
      </c>
      <c r="N11" s="193">
        <f>+'Summary 2026'!P10</f>
        <v>0</v>
      </c>
      <c r="O11" s="134">
        <f>SUM(C11:N11)</f>
        <v>47650685369</v>
      </c>
    </row>
    <row r="12" spans="1:15" ht="28.5" outlineLevel="1">
      <c r="A12" s="391"/>
      <c r="B12" s="128" t="s">
        <v>67</v>
      </c>
      <c r="C12" s="194">
        <f>+'Summary 2026'!E31</f>
        <v>1342485295</v>
      </c>
      <c r="D12" s="194">
        <f>+'Summary 2026'!F31</f>
        <v>8497633341</v>
      </c>
      <c r="E12" s="194">
        <f>+'Summary 2026'!G31</f>
        <v>6973293052</v>
      </c>
      <c r="F12" s="194">
        <f>+'Summary 2026'!H31</f>
        <v>8527707820</v>
      </c>
      <c r="G12" s="194">
        <f>+'Summary 2026'!I31</f>
        <v>8197018670</v>
      </c>
      <c r="H12" s="194">
        <f>+'Summary 2026'!J31</f>
        <v>7941783435</v>
      </c>
      <c r="I12" s="194">
        <f>+'Summary 2026'!K31</f>
        <v>0</v>
      </c>
      <c r="J12" s="194">
        <f>+'Summary 2026'!L31</f>
        <v>0</v>
      </c>
      <c r="K12" s="194">
        <f>+'Summary 2026'!M31</f>
        <v>0</v>
      </c>
      <c r="L12" s="194">
        <f>+'Summary 2026'!N31</f>
        <v>0</v>
      </c>
      <c r="M12" s="194">
        <f>+'Summary 2026'!O31</f>
        <v>0</v>
      </c>
      <c r="N12" s="194">
        <f>+'Summary 2026'!P31</f>
        <v>0</v>
      </c>
      <c r="O12" s="135">
        <f t="shared" ref="O12" si="3">SUM(C12:N12)</f>
        <v>41479921613</v>
      </c>
    </row>
    <row r="13" spans="1:15" ht="28.5" outlineLevel="1">
      <c r="A13" s="391"/>
      <c r="B13" s="127" t="s">
        <v>68</v>
      </c>
      <c r="C13" s="190">
        <f t="shared" ref="C13:D13" si="4">C12-C14</f>
        <v>1351844825</v>
      </c>
      <c r="D13" s="190">
        <f t="shared" si="4"/>
        <v>8399658021</v>
      </c>
      <c r="E13" s="190">
        <f t="shared" ref="E13:N13" si="5">E12-E14</f>
        <v>6832745789</v>
      </c>
      <c r="F13" s="190">
        <f t="shared" si="5"/>
        <v>8438491109</v>
      </c>
      <c r="G13" s="190">
        <f t="shared" si="5"/>
        <v>7753053105</v>
      </c>
      <c r="H13" s="190">
        <f t="shared" si="5"/>
        <v>7871897411</v>
      </c>
      <c r="I13" s="190">
        <f t="shared" si="5"/>
        <v>0</v>
      </c>
      <c r="J13" s="190">
        <f t="shared" si="5"/>
        <v>0</v>
      </c>
      <c r="K13" s="190">
        <f t="shared" si="5"/>
        <v>0</v>
      </c>
      <c r="L13" s="190">
        <f t="shared" si="5"/>
        <v>0</v>
      </c>
      <c r="M13" s="190">
        <f t="shared" si="5"/>
        <v>0</v>
      </c>
      <c r="N13" s="190">
        <f t="shared" si="5"/>
        <v>0</v>
      </c>
      <c r="O13" s="129">
        <f>SUM(C13:N13)</f>
        <v>40647690260</v>
      </c>
    </row>
    <row r="14" spans="1:15" ht="28.5" outlineLevel="1">
      <c r="A14" s="391"/>
      <c r="B14" s="130" t="s">
        <v>69</v>
      </c>
      <c r="C14" s="195">
        <v>-9359530</v>
      </c>
      <c r="D14" s="195">
        <v>97975320</v>
      </c>
      <c r="E14" s="195">
        <v>140547263</v>
      </c>
      <c r="F14" s="195">
        <v>89216711</v>
      </c>
      <c r="G14" s="195">
        <v>443965565</v>
      </c>
      <c r="H14" s="195">
        <v>69886024</v>
      </c>
      <c r="I14" s="195"/>
      <c r="J14" s="195"/>
      <c r="K14" s="195"/>
      <c r="L14" s="195"/>
      <c r="M14" s="195"/>
      <c r="N14" s="195"/>
      <c r="O14" s="131">
        <f>SUM(C14:N14)</f>
        <v>832231353</v>
      </c>
    </row>
    <row r="15" spans="1:15" ht="28.5" outlineLevel="1">
      <c r="A15" s="391"/>
      <c r="B15" s="132" t="s">
        <v>70</v>
      </c>
      <c r="C15" s="191">
        <f t="shared" ref="C15:N15" si="6">ROUND(C$131*((C16/C$133)*50%+(C12/C$132)*50%),)</f>
        <v>789177115</v>
      </c>
      <c r="D15" s="191">
        <f t="shared" si="6"/>
        <v>568929877</v>
      </c>
      <c r="E15" s="191">
        <f t="shared" si="6"/>
        <v>633523305</v>
      </c>
      <c r="F15" s="191">
        <f t="shared" si="6"/>
        <v>576517309</v>
      </c>
      <c r="G15" s="191">
        <f t="shared" si="6"/>
        <v>746446044</v>
      </c>
      <c r="H15" s="191">
        <f>ROUND(H$131*((H16/H$133)*50%+(H12/H$132)*50%),)</f>
        <v>579071165</v>
      </c>
      <c r="I15" s="191" t="e">
        <f t="shared" si="6"/>
        <v>#DIV/0!</v>
      </c>
      <c r="J15" s="191" t="e">
        <f t="shared" si="6"/>
        <v>#DIV/0!</v>
      </c>
      <c r="K15" s="191" t="e">
        <f t="shared" si="6"/>
        <v>#DIV/0!</v>
      </c>
      <c r="L15" s="191" t="e">
        <f t="shared" si="6"/>
        <v>#DIV/0!</v>
      </c>
      <c r="M15" s="191" t="e">
        <f t="shared" si="6"/>
        <v>#DIV/0!</v>
      </c>
      <c r="N15" s="191" t="e">
        <f t="shared" si="6"/>
        <v>#DIV/0!</v>
      </c>
      <c r="O15" s="133" t="e">
        <f>SUM(C15:N15)</f>
        <v>#DIV/0!</v>
      </c>
    </row>
    <row r="16" spans="1:15" ht="28.5" outlineLevel="1">
      <c r="A16" s="392"/>
      <c r="B16" s="132" t="s">
        <v>174</v>
      </c>
      <c r="C16" s="192">
        <v>2</v>
      </c>
      <c r="D16" s="192">
        <v>2</v>
      </c>
      <c r="E16" s="192">
        <v>2</v>
      </c>
      <c r="F16" s="192">
        <v>2</v>
      </c>
      <c r="G16" s="192">
        <v>2</v>
      </c>
      <c r="H16" s="192">
        <v>2</v>
      </c>
      <c r="I16" s="192">
        <v>2</v>
      </c>
      <c r="J16" s="192">
        <v>2</v>
      </c>
      <c r="K16" s="192">
        <v>2</v>
      </c>
      <c r="L16" s="192">
        <v>2</v>
      </c>
      <c r="M16" s="192">
        <v>2</v>
      </c>
      <c r="N16" s="192">
        <v>2</v>
      </c>
      <c r="O16" s="133">
        <f>SUM(C16:N16)/12</f>
        <v>2</v>
      </c>
    </row>
    <row r="17" spans="1:15" ht="29.25" customHeight="1" outlineLevel="1">
      <c r="A17" s="386" t="s">
        <v>74</v>
      </c>
      <c r="B17" s="132" t="s">
        <v>66</v>
      </c>
      <c r="C17" s="193">
        <f>+'Summary 2026'!E11</f>
        <v>0</v>
      </c>
      <c r="D17" s="193">
        <f>+'Summary 2026'!F11</f>
        <v>0</v>
      </c>
      <c r="E17" s="193">
        <f>+'Summary 2026'!G11</f>
        <v>0</v>
      </c>
      <c r="F17" s="193">
        <f>+'Summary 2026'!H11</f>
        <v>0</v>
      </c>
      <c r="G17" s="193">
        <f>+'Summary 2026'!I11</f>
        <v>0</v>
      </c>
      <c r="H17" s="193">
        <f>+'Summary 2026'!J11</f>
        <v>0</v>
      </c>
      <c r="I17" s="193">
        <f>+'Summary 2026'!K11</f>
        <v>0</v>
      </c>
      <c r="J17" s="193">
        <f>+'Summary 2026'!L11</f>
        <v>0</v>
      </c>
      <c r="K17" s="193">
        <f>+'Summary 2026'!M11</f>
        <v>0</v>
      </c>
      <c r="L17" s="193">
        <f>+'Summary 2026'!N11</f>
        <v>0</v>
      </c>
      <c r="M17" s="193">
        <f>+'Summary 2026'!O11</f>
        <v>0</v>
      </c>
      <c r="N17" s="193">
        <f>+'Summary 2026'!P11</f>
        <v>0</v>
      </c>
      <c r="O17" s="134">
        <f>SUM(C17:N17)</f>
        <v>0</v>
      </c>
    </row>
    <row r="18" spans="1:15" ht="29.25" customHeight="1" outlineLevel="1">
      <c r="A18" s="386"/>
      <c r="B18" s="267" t="s">
        <v>67</v>
      </c>
      <c r="C18" s="194">
        <f>+'Summary 2026'!E32</f>
        <v>0</v>
      </c>
      <c r="D18" s="194">
        <f>+'Summary 2026'!F32</f>
        <v>0</v>
      </c>
      <c r="E18" s="194">
        <f>+'Summary 2026'!G32</f>
        <v>0</v>
      </c>
      <c r="F18" s="194">
        <f>+'Summary 2026'!H32</f>
        <v>0</v>
      </c>
      <c r="G18" s="194">
        <f>+'Summary 2026'!I32</f>
        <v>0</v>
      </c>
      <c r="H18" s="194">
        <f>+'Summary 2026'!J32</f>
        <v>0</v>
      </c>
      <c r="I18" s="194">
        <f>+'Summary 2026'!K32</f>
        <v>0</v>
      </c>
      <c r="J18" s="194">
        <f>+'Summary 2026'!L32</f>
        <v>0</v>
      </c>
      <c r="K18" s="194">
        <f>+'Summary 2026'!M32</f>
        <v>0</v>
      </c>
      <c r="L18" s="194">
        <f>+'Summary 2026'!N32</f>
        <v>0</v>
      </c>
      <c r="M18" s="194">
        <f>+'Summary 2026'!O32</f>
        <v>0</v>
      </c>
      <c r="N18" s="194">
        <f>+'Summary 2026'!P32</f>
        <v>0</v>
      </c>
      <c r="O18" s="135">
        <f t="shared" ref="O18:O22" si="7">SUM(C18:N18)</f>
        <v>0</v>
      </c>
    </row>
    <row r="19" spans="1:15" ht="29.25" customHeight="1" outlineLevel="1">
      <c r="A19" s="386"/>
      <c r="B19" s="268" t="s">
        <v>68</v>
      </c>
      <c r="C19" s="190">
        <f>+C18-C20</f>
        <v>0</v>
      </c>
      <c r="D19" s="190">
        <f t="shared" ref="D19" si="8">+D18-D20</f>
        <v>0</v>
      </c>
      <c r="E19" s="190">
        <f t="shared" ref="E19:N19" si="9">+E18-E20</f>
        <v>0</v>
      </c>
      <c r="F19" s="190">
        <f t="shared" si="9"/>
        <v>0</v>
      </c>
      <c r="G19" s="190">
        <f t="shared" si="9"/>
        <v>0</v>
      </c>
      <c r="H19" s="190">
        <f t="shared" si="9"/>
        <v>0</v>
      </c>
      <c r="I19" s="190">
        <f t="shared" si="9"/>
        <v>0</v>
      </c>
      <c r="J19" s="190">
        <f t="shared" si="9"/>
        <v>0</v>
      </c>
      <c r="K19" s="190">
        <f t="shared" si="9"/>
        <v>0</v>
      </c>
      <c r="L19" s="190">
        <f t="shared" si="9"/>
        <v>0</v>
      </c>
      <c r="M19" s="190">
        <f t="shared" si="9"/>
        <v>0</v>
      </c>
      <c r="N19" s="190">
        <f t="shared" si="9"/>
        <v>0</v>
      </c>
      <c r="O19" s="129">
        <f t="shared" si="7"/>
        <v>0</v>
      </c>
    </row>
    <row r="20" spans="1:15" ht="29.25" customHeight="1" outlineLevel="1">
      <c r="A20" s="386"/>
      <c r="B20" s="269" t="s">
        <v>69</v>
      </c>
      <c r="C20" s="195"/>
      <c r="D20" s="195"/>
      <c r="E20" s="195"/>
      <c r="F20" s="195"/>
      <c r="G20" s="195"/>
      <c r="H20" s="195"/>
      <c r="I20" s="195"/>
      <c r="J20" s="195"/>
      <c r="K20" s="195"/>
      <c r="L20" s="195"/>
      <c r="M20" s="195"/>
      <c r="N20" s="195"/>
      <c r="O20" s="131">
        <f t="shared" si="7"/>
        <v>0</v>
      </c>
    </row>
    <row r="21" spans="1:15" ht="28.5" outlineLevel="1">
      <c r="A21" s="386"/>
      <c r="B21" s="132" t="s">
        <v>70</v>
      </c>
      <c r="C21" s="191"/>
      <c r="D21" s="191"/>
      <c r="E21" s="191"/>
      <c r="F21" s="191"/>
      <c r="G21" s="191"/>
      <c r="H21" s="191"/>
      <c r="I21" s="191"/>
      <c r="J21" s="191"/>
      <c r="K21" s="191"/>
      <c r="L21" s="191"/>
      <c r="M21" s="191"/>
      <c r="N21" s="191"/>
      <c r="O21" s="133">
        <f t="shared" si="7"/>
        <v>0</v>
      </c>
    </row>
    <row r="22" spans="1:15" ht="28.5" outlineLevel="1">
      <c r="A22" s="386"/>
      <c r="B22" s="132" t="s">
        <v>174</v>
      </c>
      <c r="C22" s="192"/>
      <c r="D22" s="192"/>
      <c r="E22" s="192"/>
      <c r="F22" s="192"/>
      <c r="G22" s="192"/>
      <c r="H22" s="192"/>
      <c r="I22" s="192"/>
      <c r="J22" s="192"/>
      <c r="K22" s="192"/>
      <c r="L22" s="192"/>
      <c r="M22" s="192"/>
      <c r="N22" s="192"/>
      <c r="O22" s="133">
        <f t="shared" si="7"/>
        <v>0</v>
      </c>
    </row>
    <row r="23" spans="1:15" ht="28.5" outlineLevel="1">
      <c r="A23" s="387" t="s">
        <v>130</v>
      </c>
      <c r="B23" s="268" t="s">
        <v>66</v>
      </c>
      <c r="C23" s="193">
        <f>+'Summary 2026'!E12</f>
        <v>4774000000</v>
      </c>
      <c r="D23" s="193">
        <f>+'Summary 2026'!F12</f>
        <v>0</v>
      </c>
      <c r="E23" s="193">
        <f>+'Summary 2026'!G12</f>
        <v>0</v>
      </c>
      <c r="F23" s="193">
        <f>+'Summary 2026'!H12</f>
        <v>0</v>
      </c>
      <c r="G23" s="193">
        <f>+'Summary 2026'!I12</f>
        <v>0</v>
      </c>
      <c r="H23" s="193">
        <f>+'Summary 2026'!J12</f>
        <v>0</v>
      </c>
      <c r="I23" s="193">
        <f>+'Summary 2026'!K12</f>
        <v>0</v>
      </c>
      <c r="J23" s="193">
        <f>+'Summary 2026'!L12</f>
        <v>0</v>
      </c>
      <c r="K23" s="193">
        <f>+'Summary 2026'!M12</f>
        <v>0</v>
      </c>
      <c r="L23" s="193">
        <f>+'Summary 2026'!N12</f>
        <v>0</v>
      </c>
      <c r="M23" s="193">
        <f>+'Summary 2026'!O12</f>
        <v>0</v>
      </c>
      <c r="N23" s="193">
        <f>+'Summary 2026'!P12</f>
        <v>0</v>
      </c>
      <c r="O23" s="134">
        <f>SUM(C23:N23)</f>
        <v>4774000000</v>
      </c>
    </row>
    <row r="24" spans="1:15" ht="28.5" outlineLevel="1">
      <c r="A24" s="388"/>
      <c r="B24" s="267" t="s">
        <v>67</v>
      </c>
      <c r="C24" s="194">
        <f>+'Summary 2026'!E33</f>
        <v>1762265417</v>
      </c>
      <c r="D24" s="194">
        <f>+'Summary 2026'!F33</f>
        <v>0</v>
      </c>
      <c r="E24" s="194">
        <f>+'Summary 2026'!G33</f>
        <v>0</v>
      </c>
      <c r="F24" s="194">
        <f>+'Summary 2026'!H33</f>
        <v>0</v>
      </c>
      <c r="G24" s="194">
        <f>+'Summary 2026'!I33</f>
        <v>0</v>
      </c>
      <c r="H24" s="194">
        <f>+'Summary 2026'!J33</f>
        <v>0</v>
      </c>
      <c r="I24" s="194">
        <f>+'Summary 2026'!K33</f>
        <v>0</v>
      </c>
      <c r="J24" s="194">
        <f>+'Summary 2026'!L33</f>
        <v>0</v>
      </c>
      <c r="K24" s="194">
        <f>+'Summary 2026'!M33</f>
        <v>0</v>
      </c>
      <c r="L24" s="194">
        <f>+'Summary 2026'!N33</f>
        <v>0</v>
      </c>
      <c r="M24" s="194">
        <f>+'Summary 2026'!O33</f>
        <v>0</v>
      </c>
      <c r="N24" s="194">
        <f>+'Summary 2026'!P33</f>
        <v>0</v>
      </c>
      <c r="O24" s="135">
        <f>SUM(C24:N24)</f>
        <v>1762265417</v>
      </c>
    </row>
    <row r="25" spans="1:15" ht="28.5" outlineLevel="1">
      <c r="A25" s="388"/>
      <c r="B25" s="268" t="s">
        <v>68</v>
      </c>
      <c r="C25" s="190">
        <f>+C24-C26</f>
        <v>1745875441</v>
      </c>
      <c r="D25" s="190">
        <f t="shared" ref="D25" si="10">+D24-D26</f>
        <v>0</v>
      </c>
      <c r="E25" s="190">
        <f t="shared" ref="E25:N25" si="11">+E24-E26</f>
        <v>0</v>
      </c>
      <c r="F25" s="190">
        <f t="shared" si="11"/>
        <v>0</v>
      </c>
      <c r="G25" s="190">
        <f t="shared" si="11"/>
        <v>0</v>
      </c>
      <c r="H25" s="190">
        <f t="shared" si="11"/>
        <v>0</v>
      </c>
      <c r="I25" s="190">
        <f t="shared" si="11"/>
        <v>0</v>
      </c>
      <c r="J25" s="190">
        <f t="shared" si="11"/>
        <v>0</v>
      </c>
      <c r="K25" s="190">
        <f t="shared" si="11"/>
        <v>0</v>
      </c>
      <c r="L25" s="190">
        <f t="shared" si="11"/>
        <v>0</v>
      </c>
      <c r="M25" s="190">
        <f t="shared" si="11"/>
        <v>0</v>
      </c>
      <c r="N25" s="190">
        <f t="shared" si="11"/>
        <v>0</v>
      </c>
      <c r="O25" s="129">
        <f>SUM(C25:N25)</f>
        <v>1745875441</v>
      </c>
    </row>
    <row r="26" spans="1:15" ht="28.5" outlineLevel="1">
      <c r="A26" s="388"/>
      <c r="B26" s="269" t="s">
        <v>69</v>
      </c>
      <c r="C26" s="195">
        <v>16389976</v>
      </c>
      <c r="D26" s="195"/>
      <c r="E26" s="195"/>
      <c r="F26" s="195"/>
      <c r="G26" s="195"/>
      <c r="H26" s="195"/>
      <c r="I26" s="195"/>
      <c r="J26" s="195"/>
      <c r="K26" s="195"/>
      <c r="L26" s="195"/>
      <c r="M26" s="195"/>
      <c r="N26" s="195"/>
      <c r="O26" s="131">
        <f t="shared" ref="O26:O28" si="12">SUM(C26:N26)</f>
        <v>16389976</v>
      </c>
    </row>
    <row r="27" spans="1:15" ht="28.5" outlineLevel="1">
      <c r="A27" s="388"/>
      <c r="B27" s="132" t="s">
        <v>70</v>
      </c>
      <c r="C27" s="191"/>
      <c r="D27" s="191"/>
      <c r="E27" s="191"/>
      <c r="F27" s="191"/>
      <c r="G27" s="191"/>
      <c r="H27" s="191"/>
      <c r="I27" s="191"/>
      <c r="J27" s="191"/>
      <c r="K27" s="191"/>
      <c r="L27" s="191"/>
      <c r="M27" s="191"/>
      <c r="N27" s="191"/>
      <c r="O27" s="133">
        <f t="shared" si="12"/>
        <v>0</v>
      </c>
    </row>
    <row r="28" spans="1:15" ht="28.5" outlineLevel="1">
      <c r="A28" s="389"/>
      <c r="B28" s="132" t="s">
        <v>174</v>
      </c>
      <c r="C28" s="192"/>
      <c r="D28" s="192"/>
      <c r="E28" s="192"/>
      <c r="F28" s="192"/>
      <c r="G28" s="192"/>
      <c r="H28" s="192"/>
      <c r="I28" s="192"/>
      <c r="J28" s="192"/>
      <c r="K28" s="192"/>
      <c r="L28" s="192"/>
      <c r="M28" s="192"/>
      <c r="N28" s="192"/>
      <c r="O28" s="133">
        <f t="shared" si="12"/>
        <v>0</v>
      </c>
    </row>
    <row r="29" spans="1:15" ht="28.5" outlineLevel="1">
      <c r="A29" s="386" t="s">
        <v>127</v>
      </c>
      <c r="B29" s="268" t="s">
        <v>66</v>
      </c>
      <c r="C29" s="193">
        <f>+'Summary 2026'!E13</f>
        <v>0</v>
      </c>
      <c r="D29" s="193">
        <f>+'Summary 2026'!F13</f>
        <v>0</v>
      </c>
      <c r="E29" s="193">
        <f>+'Summary 2026'!G13</f>
        <v>0</v>
      </c>
      <c r="F29" s="193">
        <f>+'Summary 2026'!H13</f>
        <v>0</v>
      </c>
      <c r="G29" s="193">
        <f>+'Summary 2026'!I13</f>
        <v>0</v>
      </c>
      <c r="H29" s="193">
        <f>+'Summary 2026'!J13</f>
        <v>0</v>
      </c>
      <c r="I29" s="193">
        <f>+'Summary 2026'!K13</f>
        <v>0</v>
      </c>
      <c r="J29" s="193">
        <f>+'Summary 2026'!L13</f>
        <v>0</v>
      </c>
      <c r="K29" s="193">
        <f>+'Summary 2026'!M13</f>
        <v>0</v>
      </c>
      <c r="L29" s="193">
        <f>+'Summary 2026'!N13</f>
        <v>0</v>
      </c>
      <c r="M29" s="193">
        <f>+'Summary 2026'!O13</f>
        <v>0</v>
      </c>
      <c r="N29" s="193">
        <f>+'Summary 2026'!P13</f>
        <v>0</v>
      </c>
      <c r="O29" s="134">
        <f>SUM(C29:N29)</f>
        <v>0</v>
      </c>
    </row>
    <row r="30" spans="1:15" ht="28.5" outlineLevel="1">
      <c r="A30" s="386"/>
      <c r="B30" s="267" t="s">
        <v>67</v>
      </c>
      <c r="C30" s="194">
        <f>+'Summary 2026'!E34</f>
        <v>0</v>
      </c>
      <c r="D30" s="194">
        <f>+'Summary 2026'!F34</f>
        <v>0</v>
      </c>
      <c r="E30" s="194">
        <f>+'Summary 2026'!G34</f>
        <v>0</v>
      </c>
      <c r="F30" s="194">
        <f>+'Summary 2026'!H34</f>
        <v>0</v>
      </c>
      <c r="G30" s="194">
        <f>+'Summary 2026'!I34</f>
        <v>0</v>
      </c>
      <c r="H30" s="194">
        <f>+'Summary 2026'!J34</f>
        <v>0</v>
      </c>
      <c r="I30" s="194">
        <f>+'Summary 2026'!K34</f>
        <v>0</v>
      </c>
      <c r="J30" s="194">
        <f>+'Summary 2026'!L34</f>
        <v>0</v>
      </c>
      <c r="K30" s="194">
        <f>+'Summary 2026'!M34</f>
        <v>0</v>
      </c>
      <c r="L30" s="194">
        <f>+'Summary 2026'!N34</f>
        <v>0</v>
      </c>
      <c r="M30" s="194">
        <f>+'Summary 2026'!O34</f>
        <v>0</v>
      </c>
      <c r="N30" s="194">
        <f>+'Summary 2026'!P34</f>
        <v>0</v>
      </c>
      <c r="O30" s="135">
        <f t="shared" ref="O30:O34" si="13">SUM(C30:N30)</f>
        <v>0</v>
      </c>
    </row>
    <row r="31" spans="1:15" ht="28.5" outlineLevel="1">
      <c r="A31" s="386"/>
      <c r="B31" s="268" t="s">
        <v>68</v>
      </c>
      <c r="C31" s="190">
        <f>+C30-C32</f>
        <v>0</v>
      </c>
      <c r="D31" s="190">
        <f t="shared" ref="D31" si="14">+D30-D32</f>
        <v>0</v>
      </c>
      <c r="E31" s="190">
        <f t="shared" ref="E31:N31" si="15">+E30-E32</f>
        <v>0</v>
      </c>
      <c r="F31" s="190">
        <f t="shared" si="15"/>
        <v>0</v>
      </c>
      <c r="G31" s="190">
        <f t="shared" si="15"/>
        <v>0</v>
      </c>
      <c r="H31" s="190">
        <f t="shared" si="15"/>
        <v>0</v>
      </c>
      <c r="I31" s="190">
        <f t="shared" si="15"/>
        <v>0</v>
      </c>
      <c r="J31" s="190">
        <f t="shared" si="15"/>
        <v>0</v>
      </c>
      <c r="K31" s="190">
        <f t="shared" si="15"/>
        <v>0</v>
      </c>
      <c r="L31" s="190">
        <f t="shared" si="15"/>
        <v>0</v>
      </c>
      <c r="M31" s="190">
        <f t="shared" si="15"/>
        <v>0</v>
      </c>
      <c r="N31" s="190">
        <f t="shared" si="15"/>
        <v>0</v>
      </c>
      <c r="O31" s="129">
        <f t="shared" si="13"/>
        <v>0</v>
      </c>
    </row>
    <row r="32" spans="1:15" ht="28.5" outlineLevel="1">
      <c r="A32" s="386"/>
      <c r="B32" s="269" t="s">
        <v>69</v>
      </c>
      <c r="C32" s="195"/>
      <c r="D32" s="195"/>
      <c r="E32" s="195"/>
      <c r="F32" s="195"/>
      <c r="G32" s="195"/>
      <c r="H32" s="195"/>
      <c r="I32" s="195"/>
      <c r="J32" s="195"/>
      <c r="K32" s="195"/>
      <c r="L32" s="195"/>
      <c r="M32" s="195"/>
      <c r="N32" s="195"/>
      <c r="O32" s="131">
        <f t="shared" si="13"/>
        <v>0</v>
      </c>
    </row>
    <row r="33" spans="1:15" s="122" customFormat="1" ht="28.5" outlineLevel="1">
      <c r="A33" s="386"/>
      <c r="B33" s="132" t="s">
        <v>70</v>
      </c>
      <c r="C33" s="191"/>
      <c r="D33" s="191"/>
      <c r="E33" s="191"/>
      <c r="F33" s="191"/>
      <c r="G33" s="191"/>
      <c r="H33" s="191"/>
      <c r="I33" s="191"/>
      <c r="J33" s="191"/>
      <c r="K33" s="191"/>
      <c r="L33" s="191"/>
      <c r="M33" s="191"/>
      <c r="N33" s="191"/>
      <c r="O33" s="133">
        <f t="shared" si="13"/>
        <v>0</v>
      </c>
    </row>
    <row r="34" spans="1:15" s="122" customFormat="1" ht="28.5" outlineLevel="1">
      <c r="A34" s="386"/>
      <c r="B34" s="132" t="s">
        <v>174</v>
      </c>
      <c r="C34" s="192"/>
      <c r="D34" s="192"/>
      <c r="E34" s="192"/>
      <c r="F34" s="192"/>
      <c r="G34" s="192"/>
      <c r="H34" s="192"/>
      <c r="I34" s="192"/>
      <c r="J34" s="192"/>
      <c r="K34" s="192"/>
      <c r="L34" s="192"/>
      <c r="M34" s="192"/>
      <c r="N34" s="192"/>
      <c r="O34" s="133">
        <f t="shared" si="13"/>
        <v>0</v>
      </c>
    </row>
    <row r="35" spans="1:15" s="122" customFormat="1" ht="28.5" outlineLevel="1">
      <c r="A35" s="386" t="s">
        <v>131</v>
      </c>
      <c r="B35" s="268" t="s">
        <v>66</v>
      </c>
      <c r="C35" s="193">
        <f>+'Summary 2026'!E14</f>
        <v>18604651000</v>
      </c>
      <c r="D35" s="193">
        <f>+'Summary 2026'!F14</f>
        <v>0</v>
      </c>
      <c r="E35" s="193">
        <f>+'Summary 2026'!G14</f>
        <v>9302325000</v>
      </c>
      <c r="F35" s="193">
        <f>+'Summary 2026'!H14</f>
        <v>0</v>
      </c>
      <c r="G35" s="193">
        <f>+'Summary 2026'!I14</f>
        <v>0</v>
      </c>
      <c r="H35" s="193">
        <f>+'Summary 2026'!J14</f>
        <v>0</v>
      </c>
      <c r="I35" s="193">
        <f>+'Summary 2026'!K14</f>
        <v>0</v>
      </c>
      <c r="J35" s="193">
        <f>+'Summary 2026'!L14</f>
        <v>0</v>
      </c>
      <c r="K35" s="193">
        <f>+'Summary 2026'!M14</f>
        <v>0</v>
      </c>
      <c r="L35" s="193">
        <f>+'Summary 2026'!N14</f>
        <v>0</v>
      </c>
      <c r="M35" s="193">
        <f>+'Summary 2026'!O14</f>
        <v>0</v>
      </c>
      <c r="N35" s="193">
        <f>+'Summary 2026'!P14</f>
        <v>0</v>
      </c>
      <c r="O35" s="134">
        <f>SUM(C35:N35)</f>
        <v>27906976000</v>
      </c>
    </row>
    <row r="36" spans="1:15" s="122" customFormat="1" ht="28.5" outlineLevel="1">
      <c r="A36" s="386"/>
      <c r="B36" s="267" t="s">
        <v>67</v>
      </c>
      <c r="C36" s="194">
        <f>+'Summary 2026'!E35</f>
        <v>14612106035</v>
      </c>
      <c r="D36" s="194">
        <f>+'Summary 2026'!F35</f>
        <v>0</v>
      </c>
      <c r="E36" s="194">
        <f>+'Summary 2026'!G35</f>
        <v>338665881</v>
      </c>
      <c r="F36" s="194">
        <f>+'Summary 2026'!H35</f>
        <v>0</v>
      </c>
      <c r="G36" s="194">
        <f>+'Summary 2026'!I35</f>
        <v>0</v>
      </c>
      <c r="H36" s="194">
        <f>+'Summary 2026'!J35</f>
        <v>0</v>
      </c>
      <c r="I36" s="194">
        <f>+'Summary 2026'!K35</f>
        <v>0</v>
      </c>
      <c r="J36" s="194">
        <f>+'Summary 2026'!L35</f>
        <v>0</v>
      </c>
      <c r="K36" s="194">
        <f>+'Summary 2026'!M35</f>
        <v>0</v>
      </c>
      <c r="L36" s="194">
        <f>+'Summary 2026'!N35</f>
        <v>0</v>
      </c>
      <c r="M36" s="194">
        <f>+'Summary 2026'!O35</f>
        <v>0</v>
      </c>
      <c r="N36" s="194">
        <f>+'Summary 2026'!P35</f>
        <v>0</v>
      </c>
      <c r="O36" s="135">
        <f t="shared" ref="O36:O40" si="16">SUM(C36:N36)</f>
        <v>14950771916</v>
      </c>
    </row>
    <row r="37" spans="1:15" s="122" customFormat="1" ht="28.5" outlineLevel="1">
      <c r="A37" s="386"/>
      <c r="B37" s="268" t="s">
        <v>68</v>
      </c>
      <c r="C37" s="190">
        <f>+C36-C38</f>
        <v>14215671258</v>
      </c>
      <c r="D37" s="190">
        <f t="shared" ref="D37" si="17">+D36-D38</f>
        <v>0</v>
      </c>
      <c r="E37" s="190">
        <f t="shared" ref="E37:N37" si="18">+E36-E38</f>
        <v>338665881</v>
      </c>
      <c r="F37" s="190">
        <f t="shared" si="18"/>
        <v>0</v>
      </c>
      <c r="G37" s="190">
        <f t="shared" si="18"/>
        <v>0</v>
      </c>
      <c r="H37" s="190">
        <f t="shared" si="18"/>
        <v>0</v>
      </c>
      <c r="I37" s="190">
        <f t="shared" si="18"/>
        <v>0</v>
      </c>
      <c r="J37" s="190">
        <f t="shared" si="18"/>
        <v>0</v>
      </c>
      <c r="K37" s="190">
        <f t="shared" si="18"/>
        <v>0</v>
      </c>
      <c r="L37" s="190">
        <f t="shared" si="18"/>
        <v>0</v>
      </c>
      <c r="M37" s="190">
        <f t="shared" si="18"/>
        <v>0</v>
      </c>
      <c r="N37" s="190">
        <f t="shared" si="18"/>
        <v>0</v>
      </c>
      <c r="O37" s="129">
        <f t="shared" si="16"/>
        <v>14554337139</v>
      </c>
    </row>
    <row r="38" spans="1:15" s="122" customFormat="1" ht="28.5" outlineLevel="1">
      <c r="A38" s="386"/>
      <c r="B38" s="269" t="s">
        <v>69</v>
      </c>
      <c r="C38" s="195">
        <f>417653186-21218409</f>
        <v>396434777</v>
      </c>
      <c r="D38" s="195"/>
      <c r="E38" s="195"/>
      <c r="F38" s="195"/>
      <c r="G38" s="195"/>
      <c r="H38" s="195"/>
      <c r="I38" s="195"/>
      <c r="J38" s="195"/>
      <c r="K38" s="195"/>
      <c r="L38" s="195"/>
      <c r="M38" s="195"/>
      <c r="N38" s="195"/>
      <c r="O38" s="131">
        <f t="shared" si="16"/>
        <v>396434777</v>
      </c>
    </row>
    <row r="39" spans="1:15" s="122" customFormat="1" ht="28.5" outlineLevel="1">
      <c r="A39" s="386"/>
      <c r="B39" s="132" t="s">
        <v>70</v>
      </c>
      <c r="C39" s="191"/>
      <c r="D39" s="191"/>
      <c r="E39" s="191"/>
      <c r="F39" s="191"/>
      <c r="G39" s="191"/>
      <c r="H39" s="191"/>
      <c r="I39" s="191"/>
      <c r="J39" s="191"/>
      <c r="K39" s="191"/>
      <c r="L39" s="191"/>
      <c r="M39" s="191"/>
      <c r="N39" s="191"/>
      <c r="O39" s="133">
        <f t="shared" si="16"/>
        <v>0</v>
      </c>
    </row>
    <row r="40" spans="1:15" s="122" customFormat="1" ht="28.5" outlineLevel="1">
      <c r="A40" s="386"/>
      <c r="B40" s="132" t="s">
        <v>174</v>
      </c>
      <c r="C40" s="192"/>
      <c r="D40" s="192"/>
      <c r="E40" s="192"/>
      <c r="F40" s="192"/>
      <c r="G40" s="192"/>
      <c r="H40" s="192"/>
      <c r="I40" s="192"/>
      <c r="J40" s="192"/>
      <c r="K40" s="192"/>
      <c r="L40" s="192"/>
      <c r="M40" s="192"/>
      <c r="N40" s="192"/>
      <c r="O40" s="133">
        <f t="shared" si="16"/>
        <v>0</v>
      </c>
    </row>
    <row r="41" spans="1:15" s="122" customFormat="1" ht="28.5" outlineLevel="1">
      <c r="A41" s="382" t="s">
        <v>150</v>
      </c>
      <c r="B41" s="268" t="s">
        <v>66</v>
      </c>
      <c r="C41" s="193">
        <f>+'Summary 2026'!E15</f>
        <v>2072675730</v>
      </c>
      <c r="D41" s="193">
        <f>+'Summary 2026'!F15</f>
        <v>33496121350</v>
      </c>
      <c r="E41" s="193">
        <f>+'Summary 2026'!G15</f>
        <v>15563253849</v>
      </c>
      <c r="F41" s="193">
        <f>+'Summary 2026'!H15</f>
        <v>38519575773</v>
      </c>
      <c r="G41" s="193">
        <f>+'Summary 2026'!I15</f>
        <v>76324301108</v>
      </c>
      <c r="H41" s="193">
        <f>+'Summary 2026'!J15</f>
        <v>107210623606</v>
      </c>
      <c r="I41" s="193">
        <f>+'Summary 2026'!K15</f>
        <v>0</v>
      </c>
      <c r="J41" s="193">
        <f>+'Summary 2026'!L15</f>
        <v>0</v>
      </c>
      <c r="K41" s="193">
        <f>+'Summary 2026'!M15</f>
        <v>0</v>
      </c>
      <c r="L41" s="193">
        <f>+'Summary 2026'!N15</f>
        <v>0</v>
      </c>
      <c r="M41" s="193">
        <f>+'Summary 2026'!O15</f>
        <v>0</v>
      </c>
      <c r="N41" s="193">
        <f>+'Summary 2026'!P15</f>
        <v>0</v>
      </c>
      <c r="O41" s="134">
        <f>SUM(C41:N41)</f>
        <v>273186551416</v>
      </c>
    </row>
    <row r="42" spans="1:15" s="122" customFormat="1" ht="28.5" outlineLevel="1">
      <c r="A42" s="382"/>
      <c r="B42" s="267" t="s">
        <v>67</v>
      </c>
      <c r="C42" s="194">
        <f>+'Summary 2026'!E36</f>
        <v>1737731332</v>
      </c>
      <c r="D42" s="194">
        <f>+'Summary 2026'!F36</f>
        <v>28083148140</v>
      </c>
      <c r="E42" s="194">
        <f>+'Summary 2026'!G36</f>
        <v>13048232027</v>
      </c>
      <c r="F42" s="194">
        <f>+'Summary 2026'!H36</f>
        <v>32294812328</v>
      </c>
      <c r="G42" s="194">
        <f>+'Summary 2026'!I36</f>
        <v>63990294049</v>
      </c>
      <c r="H42" s="194">
        <f>+'Summary 2026'!J36</f>
        <v>89885386831</v>
      </c>
      <c r="I42" s="194">
        <f>+'Summary 2026'!K36</f>
        <v>0</v>
      </c>
      <c r="J42" s="194">
        <f>+'Summary 2026'!L36</f>
        <v>0</v>
      </c>
      <c r="K42" s="194">
        <f>+'Summary 2026'!M36</f>
        <v>0</v>
      </c>
      <c r="L42" s="194">
        <f>+'Summary 2026'!N36</f>
        <v>0</v>
      </c>
      <c r="M42" s="194">
        <f>+'Summary 2026'!O36</f>
        <v>0</v>
      </c>
      <c r="N42" s="194">
        <f>+'Summary 2026'!P36</f>
        <v>0</v>
      </c>
      <c r="O42" s="135">
        <f t="shared" ref="O42:O46" si="19">SUM(C42:N42)</f>
        <v>229039604707</v>
      </c>
    </row>
    <row r="43" spans="1:15" s="122" customFormat="1" ht="28.5" outlineLevel="1">
      <c r="A43" s="382"/>
      <c r="B43" s="268" t="s">
        <v>68</v>
      </c>
      <c r="C43" s="190">
        <f>+C42-C44</f>
        <v>1641163028</v>
      </c>
      <c r="D43" s="190">
        <f t="shared" ref="D43" si="20">+D42-D44</f>
        <v>27761080326</v>
      </c>
      <c r="E43" s="190">
        <f t="shared" ref="E43:N43" si="21">+E42-E44</f>
        <v>12785709816</v>
      </c>
      <c r="F43" s="190">
        <f t="shared" si="21"/>
        <v>31957410946</v>
      </c>
      <c r="G43" s="190">
        <f t="shared" si="21"/>
        <v>63212682617</v>
      </c>
      <c r="H43" s="190">
        <f t="shared" si="21"/>
        <v>89097023454</v>
      </c>
      <c r="I43" s="190">
        <f t="shared" si="21"/>
        <v>0</v>
      </c>
      <c r="J43" s="190">
        <f t="shared" si="21"/>
        <v>0</v>
      </c>
      <c r="K43" s="190">
        <f t="shared" si="21"/>
        <v>0</v>
      </c>
      <c r="L43" s="190">
        <f t="shared" si="21"/>
        <v>0</v>
      </c>
      <c r="M43" s="190">
        <f t="shared" si="21"/>
        <v>0</v>
      </c>
      <c r="N43" s="190">
        <f t="shared" si="21"/>
        <v>0</v>
      </c>
      <c r="O43" s="129">
        <f t="shared" si="19"/>
        <v>226455070187</v>
      </c>
    </row>
    <row r="44" spans="1:15" s="122" customFormat="1" ht="28.5" outlineLevel="1">
      <c r="A44" s="382"/>
      <c r="B44" s="269" t="s">
        <v>69</v>
      </c>
      <c r="C44" s="195">
        <v>96568304</v>
      </c>
      <c r="D44" s="195">
        <v>322067814</v>
      </c>
      <c r="E44" s="195">
        <v>262522211</v>
      </c>
      <c r="F44" s="195">
        <v>337401382</v>
      </c>
      <c r="G44" s="195">
        <v>777611432</v>
      </c>
      <c r="H44" s="195">
        <v>788363377</v>
      </c>
      <c r="I44" s="195"/>
      <c r="J44" s="195"/>
      <c r="K44" s="195"/>
      <c r="L44" s="195"/>
      <c r="M44" s="195"/>
      <c r="N44" s="195"/>
      <c r="O44" s="131">
        <f t="shared" si="19"/>
        <v>2584534520</v>
      </c>
    </row>
    <row r="45" spans="1:15" s="122" customFormat="1" ht="28.5" outlineLevel="1">
      <c r="A45" s="382"/>
      <c r="B45" s="132" t="s">
        <v>70</v>
      </c>
      <c r="C45" s="191">
        <f t="shared" ref="C45:N45" si="22">ROUND(C$131*((C46/C$133)*50%+(C42/C$132)*50%),)</f>
        <v>1106233042</v>
      </c>
      <c r="D45" s="191">
        <f t="shared" si="22"/>
        <v>1354910174</v>
      </c>
      <c r="E45" s="191">
        <f t="shared" si="22"/>
        <v>1235579441</v>
      </c>
      <c r="F45" s="191">
        <f t="shared" si="22"/>
        <v>1432023333</v>
      </c>
      <c r="G45" s="191">
        <f t="shared" si="22"/>
        <v>2309331039</v>
      </c>
      <c r="H45" s="191">
        <f t="shared" si="22"/>
        <v>2198331038</v>
      </c>
      <c r="I45" s="191" t="e">
        <f t="shared" si="22"/>
        <v>#DIV/0!</v>
      </c>
      <c r="J45" s="191" t="e">
        <f t="shared" si="22"/>
        <v>#DIV/0!</v>
      </c>
      <c r="K45" s="191" t="e">
        <f t="shared" si="22"/>
        <v>#DIV/0!</v>
      </c>
      <c r="L45" s="191" t="e">
        <f t="shared" si="22"/>
        <v>#DIV/0!</v>
      </c>
      <c r="M45" s="191" t="e">
        <f t="shared" si="22"/>
        <v>#DIV/0!</v>
      </c>
      <c r="N45" s="191" t="e">
        <f t="shared" si="22"/>
        <v>#DIV/0!</v>
      </c>
      <c r="O45" s="133" t="e">
        <f t="shared" si="19"/>
        <v>#DIV/0!</v>
      </c>
    </row>
    <row r="46" spans="1:15" s="122" customFormat="1" ht="28.5" outlineLevel="1">
      <c r="A46" s="382"/>
      <c r="B46" s="132" t="s">
        <v>174</v>
      </c>
      <c r="C46" s="192">
        <v>3</v>
      </c>
      <c r="D46" s="192">
        <v>4</v>
      </c>
      <c r="E46" s="192">
        <v>4</v>
      </c>
      <c r="F46" s="192">
        <v>4</v>
      </c>
      <c r="G46" s="192">
        <v>4</v>
      </c>
      <c r="H46" s="192">
        <v>4</v>
      </c>
      <c r="I46" s="192">
        <v>4</v>
      </c>
      <c r="J46" s="192">
        <v>4</v>
      </c>
      <c r="K46" s="192">
        <v>4</v>
      </c>
      <c r="L46" s="192">
        <v>4</v>
      </c>
      <c r="M46" s="192">
        <v>4</v>
      </c>
      <c r="N46" s="192">
        <v>4</v>
      </c>
      <c r="O46" s="133">
        <f t="shared" si="19"/>
        <v>47</v>
      </c>
    </row>
    <row r="47" spans="1:15" s="122" customFormat="1" ht="28.5" outlineLevel="1">
      <c r="A47" s="386" t="s">
        <v>151</v>
      </c>
      <c r="B47" s="268" t="s">
        <v>66</v>
      </c>
      <c r="C47" s="193">
        <f>+'Summary 2026'!E16</f>
        <v>0</v>
      </c>
      <c r="D47" s="193">
        <f>+'Summary 2026'!F16</f>
        <v>0</v>
      </c>
      <c r="E47" s="193">
        <f>+'Summary 2026'!G16</f>
        <v>0</v>
      </c>
      <c r="F47" s="193">
        <f>+'Summary 2026'!H16</f>
        <v>0</v>
      </c>
      <c r="G47" s="193">
        <f>+'Summary 2026'!I16</f>
        <v>0</v>
      </c>
      <c r="H47" s="193">
        <f>+'Summary 2026'!J16</f>
        <v>0</v>
      </c>
      <c r="I47" s="193">
        <f>+'Summary 2026'!K16</f>
        <v>0</v>
      </c>
      <c r="J47" s="193">
        <f>+'Summary 2026'!L16</f>
        <v>0</v>
      </c>
      <c r="K47" s="193">
        <f>+'Summary 2026'!M16</f>
        <v>0</v>
      </c>
      <c r="L47" s="193">
        <f>+'Summary 2026'!N16</f>
        <v>0</v>
      </c>
      <c r="M47" s="193">
        <f>+'Summary 2026'!O16</f>
        <v>0</v>
      </c>
      <c r="N47" s="193">
        <f>+'Summary 2026'!P16</f>
        <v>0</v>
      </c>
      <c r="O47" s="134">
        <f>SUM(C47:N47)</f>
        <v>0</v>
      </c>
    </row>
    <row r="48" spans="1:15" s="122" customFormat="1" ht="28.5" outlineLevel="1">
      <c r="A48" s="386"/>
      <c r="B48" s="267" t="s">
        <v>67</v>
      </c>
      <c r="C48" s="194">
        <f>+'Summary 2026'!E37</f>
        <v>0</v>
      </c>
      <c r="D48" s="194">
        <f>+'Summary 2026'!F37</f>
        <v>0</v>
      </c>
      <c r="E48" s="194">
        <f>+'Summary 2026'!G37</f>
        <v>0</v>
      </c>
      <c r="F48" s="194">
        <f>+'Summary 2026'!H37</f>
        <v>0</v>
      </c>
      <c r="G48" s="194">
        <f>+'Summary 2026'!I37</f>
        <v>0</v>
      </c>
      <c r="H48" s="194">
        <f>+'Summary 2026'!J37</f>
        <v>0</v>
      </c>
      <c r="I48" s="194">
        <f>+'Summary 2026'!K37</f>
        <v>0</v>
      </c>
      <c r="J48" s="194">
        <f>+'Summary 2026'!L37</f>
        <v>0</v>
      </c>
      <c r="K48" s="194">
        <f>+'Summary 2026'!M37</f>
        <v>0</v>
      </c>
      <c r="L48" s="194">
        <f>+'Summary 2026'!N37</f>
        <v>0</v>
      </c>
      <c r="M48" s="194">
        <f>+'Summary 2026'!O37</f>
        <v>0</v>
      </c>
      <c r="N48" s="194">
        <f>+'Summary 2026'!P37</f>
        <v>0</v>
      </c>
      <c r="O48" s="135">
        <f>SUM(C48:N48)</f>
        <v>0</v>
      </c>
    </row>
    <row r="49" spans="1:15" s="122" customFormat="1" ht="28.5" outlineLevel="1">
      <c r="A49" s="386"/>
      <c r="B49" s="268" t="s">
        <v>68</v>
      </c>
      <c r="C49" s="190">
        <f>+C48-C50</f>
        <v>0</v>
      </c>
      <c r="D49" s="190">
        <f t="shared" ref="D49" si="23">+D48-D50</f>
        <v>0</v>
      </c>
      <c r="E49" s="190">
        <f t="shared" ref="E49:N49" si="24">+E48-E50</f>
        <v>0</v>
      </c>
      <c r="F49" s="190">
        <f t="shared" si="24"/>
        <v>0</v>
      </c>
      <c r="G49" s="190">
        <f t="shared" si="24"/>
        <v>0</v>
      </c>
      <c r="H49" s="190">
        <f t="shared" si="24"/>
        <v>0</v>
      </c>
      <c r="I49" s="190">
        <f t="shared" si="24"/>
        <v>0</v>
      </c>
      <c r="J49" s="190">
        <f t="shared" si="24"/>
        <v>0</v>
      </c>
      <c r="K49" s="190">
        <f t="shared" si="24"/>
        <v>0</v>
      </c>
      <c r="L49" s="190">
        <f t="shared" si="24"/>
        <v>0</v>
      </c>
      <c r="M49" s="190">
        <f t="shared" si="24"/>
        <v>0</v>
      </c>
      <c r="N49" s="190">
        <f t="shared" si="24"/>
        <v>0</v>
      </c>
      <c r="O49" s="129">
        <f>SUM(C49:N49)</f>
        <v>0</v>
      </c>
    </row>
    <row r="50" spans="1:15" s="122" customFormat="1" ht="28.5" outlineLevel="1">
      <c r="A50" s="386"/>
      <c r="B50" s="269" t="s">
        <v>69</v>
      </c>
      <c r="C50" s="195">
        <v>0</v>
      </c>
      <c r="D50" s="195"/>
      <c r="E50" s="195"/>
      <c r="F50" s="195"/>
      <c r="G50" s="195"/>
      <c r="H50" s="195"/>
      <c r="I50" s="195"/>
      <c r="J50" s="195"/>
      <c r="K50" s="195"/>
      <c r="L50" s="195"/>
      <c r="M50" s="195"/>
      <c r="N50" s="195"/>
      <c r="O50" s="131">
        <f t="shared" ref="O50:O52" si="25">SUM(C50:N50)</f>
        <v>0</v>
      </c>
    </row>
    <row r="51" spans="1:15" s="122" customFormat="1" ht="28.5" outlineLevel="1">
      <c r="A51" s="386"/>
      <c r="B51" s="132" t="s">
        <v>70</v>
      </c>
      <c r="C51" s="191"/>
      <c r="D51" s="191"/>
      <c r="E51" s="191"/>
      <c r="F51" s="191"/>
      <c r="G51" s="191"/>
      <c r="H51" s="191"/>
      <c r="I51" s="191"/>
      <c r="J51" s="191"/>
      <c r="K51" s="191"/>
      <c r="L51" s="191"/>
      <c r="M51" s="191"/>
      <c r="N51" s="191"/>
      <c r="O51" s="133">
        <f t="shared" si="25"/>
        <v>0</v>
      </c>
    </row>
    <row r="52" spans="1:15" s="122" customFormat="1" ht="28.5" outlineLevel="1">
      <c r="A52" s="386"/>
      <c r="B52" s="132" t="s">
        <v>174</v>
      </c>
      <c r="C52" s="192"/>
      <c r="D52" s="192"/>
      <c r="E52" s="192"/>
      <c r="F52" s="192"/>
      <c r="G52" s="192"/>
      <c r="H52" s="192"/>
      <c r="I52" s="192"/>
      <c r="J52" s="192"/>
      <c r="K52" s="192"/>
      <c r="L52" s="192"/>
      <c r="M52" s="192"/>
      <c r="N52" s="192"/>
      <c r="O52" s="133">
        <f t="shared" si="25"/>
        <v>0</v>
      </c>
    </row>
    <row r="53" spans="1:15" s="122" customFormat="1" ht="28.5" hidden="1" outlineLevel="1">
      <c r="A53" s="386" t="s">
        <v>152</v>
      </c>
      <c r="B53" s="268" t="s">
        <v>66</v>
      </c>
      <c r="C53" s="193">
        <f>+'Summary 2026'!E17</f>
        <v>2408912500</v>
      </c>
      <c r="D53" s="193">
        <f>+'Summary 2026'!F17</f>
        <v>2408912500</v>
      </c>
      <c r="E53" s="193">
        <f>+'Summary 2026'!G17</f>
        <v>2408912500</v>
      </c>
      <c r="F53" s="193">
        <f>+'Summary 2026'!H17</f>
        <v>0</v>
      </c>
      <c r="G53" s="193">
        <f>+'Summary 2026'!I17</f>
        <v>0</v>
      </c>
      <c r="H53" s="193">
        <f>+'Summary 2026'!J17</f>
        <v>0</v>
      </c>
      <c r="I53" s="193">
        <f>+'Summary 2026'!K17</f>
        <v>0</v>
      </c>
      <c r="J53" s="193">
        <f>+'Summary 2026'!L17</f>
        <v>0</v>
      </c>
      <c r="K53" s="193">
        <f>+'Summary 2026'!M17</f>
        <v>0</v>
      </c>
      <c r="L53" s="193">
        <f>+'Summary 2026'!N17</f>
        <v>0</v>
      </c>
      <c r="M53" s="193">
        <f>+'Summary 2026'!O17</f>
        <v>0</v>
      </c>
      <c r="N53" s="193">
        <f>+'Summary 2026'!P17</f>
        <v>0</v>
      </c>
      <c r="O53" s="134">
        <f>SUM(C53:N53)</f>
        <v>7226737500</v>
      </c>
    </row>
    <row r="54" spans="1:15" s="122" customFormat="1" ht="28.5" hidden="1" outlineLevel="1">
      <c r="A54" s="386"/>
      <c r="B54" s="267" t="s">
        <v>67</v>
      </c>
      <c r="C54" s="194">
        <f>+'Summary 2026'!E38</f>
        <v>1590816166</v>
      </c>
      <c r="D54" s="194">
        <f>+'Summary 2026'!F38</f>
        <v>2035919803</v>
      </c>
      <c r="E54" s="194">
        <f>+'Summary 2026'!G38</f>
        <v>2541362899</v>
      </c>
      <c r="F54" s="194">
        <f>+'Summary 2026'!H38</f>
        <v>119246040</v>
      </c>
      <c r="G54" s="194">
        <f>+'Summary 2026'!I38</f>
        <v>0</v>
      </c>
      <c r="H54" s="194">
        <f>+'Summary 2026'!J38</f>
        <v>0</v>
      </c>
      <c r="I54" s="194">
        <f>+'Summary 2026'!K38</f>
        <v>0</v>
      </c>
      <c r="J54" s="194">
        <f>+'Summary 2026'!L38</f>
        <v>0</v>
      </c>
      <c r="K54" s="194">
        <f>+'Summary 2026'!M38</f>
        <v>0</v>
      </c>
      <c r="L54" s="194">
        <f>+'Summary 2026'!N38</f>
        <v>0</v>
      </c>
      <c r="M54" s="194">
        <f>+'Summary 2026'!O38</f>
        <v>0</v>
      </c>
      <c r="N54" s="194">
        <f>+'Summary 2026'!P38</f>
        <v>0</v>
      </c>
      <c r="O54" s="135">
        <f t="shared" ref="O54:O58" si="26">SUM(C54:N54)</f>
        <v>6287344908</v>
      </c>
    </row>
    <row r="55" spans="1:15" s="122" customFormat="1" ht="28.5" hidden="1" outlineLevel="1">
      <c r="A55" s="386"/>
      <c r="B55" s="268" t="s">
        <v>68</v>
      </c>
      <c r="C55" s="190">
        <f>+C54-C56</f>
        <v>1608132588</v>
      </c>
      <c r="D55" s="190">
        <f t="shared" ref="D55" si="27">+D54-D56</f>
        <v>2035919803</v>
      </c>
      <c r="E55" s="190">
        <f t="shared" ref="E55:N55" si="28">+E54-E56</f>
        <v>2541362899</v>
      </c>
      <c r="F55" s="190">
        <f t="shared" si="28"/>
        <v>119246040</v>
      </c>
      <c r="G55" s="190">
        <f t="shared" si="28"/>
        <v>0</v>
      </c>
      <c r="H55" s="190">
        <f t="shared" si="28"/>
        <v>0</v>
      </c>
      <c r="I55" s="190">
        <f t="shared" si="28"/>
        <v>0</v>
      </c>
      <c r="J55" s="190">
        <f t="shared" si="28"/>
        <v>0</v>
      </c>
      <c r="K55" s="190">
        <f t="shared" si="28"/>
        <v>0</v>
      </c>
      <c r="L55" s="190">
        <f t="shared" si="28"/>
        <v>0</v>
      </c>
      <c r="M55" s="190">
        <f t="shared" si="28"/>
        <v>0</v>
      </c>
      <c r="N55" s="190">
        <f t="shared" si="28"/>
        <v>0</v>
      </c>
      <c r="O55" s="129">
        <f t="shared" si="26"/>
        <v>6304661330</v>
      </c>
    </row>
    <row r="56" spans="1:15" s="122" customFormat="1" ht="28.5" hidden="1" outlineLevel="1">
      <c r="A56" s="386"/>
      <c r="B56" s="269" t="s">
        <v>69</v>
      </c>
      <c r="C56" s="195">
        <v>-17316422</v>
      </c>
      <c r="D56" s="195"/>
      <c r="E56" s="195"/>
      <c r="F56" s="195"/>
      <c r="G56" s="195"/>
      <c r="H56" s="195"/>
      <c r="I56" s="195"/>
      <c r="J56" s="195"/>
      <c r="K56" s="195"/>
      <c r="L56" s="195"/>
      <c r="M56" s="195"/>
      <c r="N56" s="195"/>
      <c r="O56" s="131">
        <f t="shared" si="26"/>
        <v>-17316422</v>
      </c>
    </row>
    <row r="57" spans="1:15" s="122" customFormat="1" ht="28.5" hidden="1" outlineLevel="1">
      <c r="A57" s="386"/>
      <c r="B57" s="132" t="s">
        <v>70</v>
      </c>
      <c r="C57" s="191"/>
      <c r="D57" s="191"/>
      <c r="E57" s="191"/>
      <c r="F57" s="191"/>
      <c r="G57" s="191"/>
      <c r="H57" s="191"/>
      <c r="I57" s="191"/>
      <c r="J57" s="191"/>
      <c r="K57" s="191"/>
      <c r="L57" s="191"/>
      <c r="M57" s="191"/>
      <c r="N57" s="191"/>
      <c r="O57" s="133">
        <f t="shared" si="26"/>
        <v>0</v>
      </c>
    </row>
    <row r="58" spans="1:15" s="122" customFormat="1" ht="28.5" hidden="1" outlineLevel="1">
      <c r="A58" s="386"/>
      <c r="B58" s="132" t="s">
        <v>174</v>
      </c>
      <c r="C58" s="192"/>
      <c r="D58" s="192"/>
      <c r="E58" s="192"/>
      <c r="F58" s="192"/>
      <c r="G58" s="192"/>
      <c r="H58" s="192"/>
      <c r="I58" s="192"/>
      <c r="J58" s="192"/>
      <c r="K58" s="192"/>
      <c r="L58" s="192"/>
      <c r="M58" s="192"/>
      <c r="N58" s="192"/>
      <c r="O58" s="133">
        <f t="shared" si="26"/>
        <v>0</v>
      </c>
    </row>
    <row r="59" spans="1:15" s="122" customFormat="1" ht="30.75" customHeight="1" outlineLevel="1">
      <c r="A59" s="382" t="s">
        <v>157</v>
      </c>
      <c r="B59" s="268" t="s">
        <v>66</v>
      </c>
      <c r="C59" s="193">
        <f>+'Summary 2026'!E18</f>
        <v>4018874509</v>
      </c>
      <c r="D59" s="193">
        <f>+'Summary 2026'!F18</f>
        <v>78676711142</v>
      </c>
      <c r="E59" s="193">
        <f>+'Summary 2026'!G18</f>
        <v>40952922858</v>
      </c>
      <c r="F59" s="193">
        <f>+'Summary 2026'!H18</f>
        <v>82851641855</v>
      </c>
      <c r="G59" s="193">
        <f>+'Summary 2026'!I18</f>
        <v>123232335065</v>
      </c>
      <c r="H59" s="193">
        <f>+'Summary 2026'!J18</f>
        <v>79253367236</v>
      </c>
      <c r="I59" s="193">
        <f>+'Summary 2026'!K18</f>
        <v>0</v>
      </c>
      <c r="J59" s="193">
        <f>+'Summary 2026'!L18</f>
        <v>0</v>
      </c>
      <c r="K59" s="193">
        <f>+'Summary 2026'!M18</f>
        <v>0</v>
      </c>
      <c r="L59" s="193">
        <f>+'Summary 2026'!N18</f>
        <v>0</v>
      </c>
      <c r="M59" s="193">
        <f>+'Summary 2026'!O18</f>
        <v>0</v>
      </c>
      <c r="N59" s="193">
        <f>+'Summary 2026'!P18</f>
        <v>0</v>
      </c>
      <c r="O59" s="134">
        <f>SUM(C59:N59)</f>
        <v>408985852665</v>
      </c>
    </row>
    <row r="60" spans="1:15" s="122" customFormat="1" ht="30.75" customHeight="1" outlineLevel="1">
      <c r="A60" s="382"/>
      <c r="B60" s="267" t="s">
        <v>67</v>
      </c>
      <c r="C60" s="194">
        <f>+'Summary 2026'!E39</f>
        <v>3375050813</v>
      </c>
      <c r="D60" s="194">
        <f>+'Summary 2026'!F39</f>
        <v>66072702017</v>
      </c>
      <c r="E60" s="194">
        <f>+'Summary 2026'!G39</f>
        <v>34392264616</v>
      </c>
      <c r="F60" s="194">
        <f>+'Summary 2026'!H39</f>
        <v>69578808830</v>
      </c>
      <c r="G60" s="194">
        <f>+'Summary 2026'!I39</f>
        <v>103490514988</v>
      </c>
      <c r="H60" s="194">
        <f>+'Summary 2026'!J39</f>
        <v>66556977805</v>
      </c>
      <c r="I60" s="194">
        <f>+'Summary 2026'!K39</f>
        <v>0</v>
      </c>
      <c r="J60" s="194">
        <f>+'Summary 2026'!L39</f>
        <v>0</v>
      </c>
      <c r="K60" s="194">
        <f>+'Summary 2026'!M39</f>
        <v>0</v>
      </c>
      <c r="L60" s="194">
        <f>+'Summary 2026'!N39</f>
        <v>0</v>
      </c>
      <c r="M60" s="194">
        <f>+'Summary 2026'!O39</f>
        <v>0</v>
      </c>
      <c r="N60" s="194">
        <f>+'Summary 2026'!P39</f>
        <v>0</v>
      </c>
      <c r="O60" s="135">
        <f>SUM(C60:N60)</f>
        <v>343466319069</v>
      </c>
    </row>
    <row r="61" spans="1:15" s="122" customFormat="1" ht="30.75" customHeight="1" outlineLevel="1">
      <c r="A61" s="382"/>
      <c r="B61" s="268" t="s">
        <v>68</v>
      </c>
      <c r="C61" s="190">
        <f t="shared" ref="C61" si="29">+C60-C62</f>
        <v>3153105054</v>
      </c>
      <c r="D61" s="190">
        <f t="shared" ref="D61" si="30">+D60-D62</f>
        <v>65314435563</v>
      </c>
      <c r="E61" s="190">
        <f t="shared" ref="E61:N61" si="31">+E60-E62</f>
        <v>33699567395</v>
      </c>
      <c r="F61" s="190">
        <f t="shared" si="31"/>
        <v>68851557453</v>
      </c>
      <c r="G61" s="190">
        <f t="shared" si="31"/>
        <v>102274615346</v>
      </c>
      <c r="H61" s="190">
        <f t="shared" si="31"/>
        <v>65973368210</v>
      </c>
      <c r="I61" s="190">
        <f t="shared" si="31"/>
        <v>0</v>
      </c>
      <c r="J61" s="190">
        <f t="shared" si="31"/>
        <v>0</v>
      </c>
      <c r="K61" s="190">
        <f t="shared" si="31"/>
        <v>0</v>
      </c>
      <c r="L61" s="190">
        <f t="shared" si="31"/>
        <v>0</v>
      </c>
      <c r="M61" s="190">
        <f t="shared" si="31"/>
        <v>0</v>
      </c>
      <c r="N61" s="190">
        <f t="shared" si="31"/>
        <v>0</v>
      </c>
      <c r="O61" s="129">
        <f t="shared" ref="O61:O63" si="32">SUM(C61:N61)</f>
        <v>339266649021</v>
      </c>
    </row>
    <row r="62" spans="1:15" s="122" customFormat="1" ht="30.75" customHeight="1" outlineLevel="1">
      <c r="A62" s="382"/>
      <c r="B62" s="269" t="s">
        <v>69</v>
      </c>
      <c r="C62" s="190">
        <v>221945759</v>
      </c>
      <c r="D62" s="190">
        <v>758266454</v>
      </c>
      <c r="E62" s="190">
        <v>692697221</v>
      </c>
      <c r="F62" s="190">
        <v>727251377</v>
      </c>
      <c r="G62" s="190">
        <v>1215899642</v>
      </c>
      <c r="H62" s="190">
        <v>583609595</v>
      </c>
      <c r="I62" s="190"/>
      <c r="J62" s="190"/>
      <c r="K62" s="190"/>
      <c r="L62" s="190"/>
      <c r="M62" s="190"/>
      <c r="N62" s="190"/>
      <c r="O62" s="131">
        <f t="shared" si="32"/>
        <v>4199670048</v>
      </c>
    </row>
    <row r="63" spans="1:15" s="122" customFormat="1" ht="30.75" customHeight="1" outlineLevel="1">
      <c r="A63" s="382"/>
      <c r="B63" s="132" t="s">
        <v>70</v>
      </c>
      <c r="C63" s="191">
        <f t="shared" ref="C63:N63" si="33">ROUND(C$131*((C64/C$133)*50%+(C60/C$132)*50%),)</f>
        <v>1772210720</v>
      </c>
      <c r="D63" s="191">
        <f t="shared" si="33"/>
        <v>2098573300</v>
      </c>
      <c r="E63" s="191">
        <f t="shared" si="33"/>
        <v>1983209257</v>
      </c>
      <c r="F63" s="191">
        <f t="shared" si="33"/>
        <v>2114584100</v>
      </c>
      <c r="G63" s="191">
        <f t="shared" si="33"/>
        <v>2986895227</v>
      </c>
      <c r="H63" s="191">
        <f t="shared" si="33"/>
        <v>1870420892</v>
      </c>
      <c r="I63" s="191" t="e">
        <f t="shared" si="33"/>
        <v>#DIV/0!</v>
      </c>
      <c r="J63" s="191" t="e">
        <f t="shared" si="33"/>
        <v>#DIV/0!</v>
      </c>
      <c r="K63" s="191" t="e">
        <f t="shared" si="33"/>
        <v>#DIV/0!</v>
      </c>
      <c r="L63" s="191" t="e">
        <f t="shared" si="33"/>
        <v>#DIV/0!</v>
      </c>
      <c r="M63" s="191" t="e">
        <f t="shared" si="33"/>
        <v>#DIV/0!</v>
      </c>
      <c r="N63" s="191" t="e">
        <f t="shared" si="33"/>
        <v>#DIV/0!</v>
      </c>
      <c r="O63" s="133" t="e">
        <f t="shared" si="32"/>
        <v>#DIV/0!</v>
      </c>
    </row>
    <row r="64" spans="1:15" s="122" customFormat="1" ht="30.75" customHeight="1" outlineLevel="1">
      <c r="A64" s="382"/>
      <c r="B64" s="132" t="s">
        <v>174</v>
      </c>
      <c r="C64" s="192">
        <v>4</v>
      </c>
      <c r="D64" s="192">
        <v>4</v>
      </c>
      <c r="E64" s="192">
        <v>4</v>
      </c>
      <c r="F64" s="192">
        <v>4</v>
      </c>
      <c r="G64" s="192">
        <v>4</v>
      </c>
      <c r="H64" s="192">
        <v>4</v>
      </c>
      <c r="I64" s="192">
        <v>4</v>
      </c>
      <c r="J64" s="192">
        <v>4</v>
      </c>
      <c r="K64" s="192">
        <v>4</v>
      </c>
      <c r="L64" s="192">
        <v>4</v>
      </c>
      <c r="M64" s="192">
        <v>4</v>
      </c>
      <c r="N64" s="192">
        <v>4</v>
      </c>
      <c r="O64" s="133">
        <f>SUM(C64:N64)/12</f>
        <v>4</v>
      </c>
    </row>
    <row r="65" spans="1:15" s="122" customFormat="1" ht="30.75" hidden="1" customHeight="1" outlineLevel="1">
      <c r="A65" s="382" t="s">
        <v>170</v>
      </c>
      <c r="B65" s="268" t="s">
        <v>66</v>
      </c>
      <c r="C65" s="193"/>
      <c r="D65" s="193"/>
      <c r="E65" s="193"/>
      <c r="F65" s="193"/>
      <c r="G65" s="193"/>
      <c r="H65" s="193"/>
      <c r="I65" s="193"/>
      <c r="J65" s="193"/>
      <c r="K65" s="193"/>
      <c r="L65" s="193"/>
      <c r="M65" s="193"/>
      <c r="N65" s="193"/>
      <c r="O65" s="134">
        <f>SUM(C65:N65)</f>
        <v>0</v>
      </c>
    </row>
    <row r="66" spans="1:15" s="122" customFormat="1" ht="30.75" hidden="1" customHeight="1" outlineLevel="1">
      <c r="A66" s="382"/>
      <c r="B66" s="267" t="s">
        <v>67</v>
      </c>
      <c r="C66" s="194"/>
      <c r="D66" s="194"/>
      <c r="E66" s="194"/>
      <c r="F66" s="194"/>
      <c r="G66" s="194"/>
      <c r="H66" s="194"/>
      <c r="I66" s="194"/>
      <c r="J66" s="194"/>
      <c r="K66" s="194"/>
      <c r="L66" s="194"/>
      <c r="M66" s="194"/>
      <c r="N66" s="194"/>
      <c r="O66" s="135">
        <f>SUM(C66:N66)</f>
        <v>0</v>
      </c>
    </row>
    <row r="67" spans="1:15" s="122" customFormat="1" ht="30.75" hidden="1" customHeight="1" outlineLevel="1">
      <c r="A67" s="382"/>
      <c r="B67" s="268" t="s">
        <v>68</v>
      </c>
      <c r="C67" s="190"/>
      <c r="D67" s="190"/>
      <c r="E67" s="190"/>
      <c r="F67" s="190"/>
      <c r="G67" s="190"/>
      <c r="H67" s="190"/>
      <c r="I67" s="190"/>
      <c r="J67" s="190"/>
      <c r="K67" s="190"/>
      <c r="L67" s="190"/>
      <c r="M67" s="190"/>
      <c r="N67" s="190"/>
      <c r="O67" s="129">
        <f>SUM(C67:N67)</f>
        <v>0</v>
      </c>
    </row>
    <row r="68" spans="1:15" s="122" customFormat="1" ht="30.75" hidden="1" customHeight="1" outlineLevel="1">
      <c r="A68" s="382"/>
      <c r="B68" s="269" t="s">
        <v>69</v>
      </c>
      <c r="C68" s="195"/>
      <c r="D68" s="195"/>
      <c r="E68" s="195"/>
      <c r="F68" s="195"/>
      <c r="G68" s="195"/>
      <c r="H68" s="195"/>
      <c r="I68" s="195"/>
      <c r="J68" s="195"/>
      <c r="K68" s="195"/>
      <c r="L68" s="195"/>
      <c r="M68" s="195"/>
      <c r="N68" s="195"/>
      <c r="O68" s="131">
        <f>SUM(C68:N68)</f>
        <v>0</v>
      </c>
    </row>
    <row r="69" spans="1:15" s="122" customFormat="1" ht="30.75" hidden="1" customHeight="1" outlineLevel="1">
      <c r="A69" s="382"/>
      <c r="B69" s="132" t="s">
        <v>168</v>
      </c>
      <c r="C69" s="191"/>
      <c r="D69" s="191"/>
      <c r="E69" s="191"/>
      <c r="F69" s="191"/>
      <c r="G69" s="191"/>
      <c r="H69" s="191"/>
      <c r="I69" s="191"/>
      <c r="J69" s="191"/>
      <c r="K69" s="191"/>
      <c r="L69" s="191"/>
      <c r="M69" s="191"/>
      <c r="N69" s="191"/>
      <c r="O69" s="133">
        <f>SUM(C69:N69)</f>
        <v>0</v>
      </c>
    </row>
    <row r="70" spans="1:15" s="122" customFormat="1" ht="30.75" hidden="1" customHeight="1" outlineLevel="1">
      <c r="A70" s="382"/>
      <c r="B70" s="132" t="s">
        <v>174</v>
      </c>
      <c r="C70" s="192"/>
      <c r="D70" s="192"/>
      <c r="E70" s="192"/>
      <c r="F70" s="192"/>
      <c r="G70" s="192"/>
      <c r="H70" s="192"/>
      <c r="I70" s="192"/>
      <c r="J70" s="192"/>
      <c r="K70" s="192"/>
      <c r="L70" s="192"/>
      <c r="M70" s="192"/>
      <c r="N70" s="192"/>
      <c r="O70" s="133">
        <f t="shared" ref="O70" si="34">SUM(C70:N70)</f>
        <v>0</v>
      </c>
    </row>
    <row r="71" spans="1:15" s="122" customFormat="1" ht="30.75" hidden="1" customHeight="1" outlineLevel="1">
      <c r="A71" s="382" t="s">
        <v>169</v>
      </c>
      <c r="B71" s="268" t="s">
        <v>66</v>
      </c>
      <c r="C71" s="192">
        <f>+'Summary 2026'!E19</f>
        <v>0</v>
      </c>
      <c r="D71" s="192">
        <f>+'Summary 2026'!F19</f>
        <v>0</v>
      </c>
      <c r="E71" s="192">
        <f>+'Summary 2026'!G19</f>
        <v>0</v>
      </c>
      <c r="F71" s="192">
        <f>+'Summary 2026'!H19</f>
        <v>3152813293</v>
      </c>
      <c r="G71" s="192">
        <f>+'Summary 2026'!I19</f>
        <v>0</v>
      </c>
      <c r="H71" s="192">
        <f>+'Summary 2026'!J19</f>
        <v>0</v>
      </c>
      <c r="I71" s="192">
        <f>+'Summary 2026'!K19</f>
        <v>0</v>
      </c>
      <c r="J71" s="192">
        <f>+'Summary 2026'!L19</f>
        <v>0</v>
      </c>
      <c r="K71" s="192">
        <f>+'Summary 2026'!M19</f>
        <v>0</v>
      </c>
      <c r="L71" s="192">
        <f>+'Summary 2026'!N19</f>
        <v>0</v>
      </c>
      <c r="M71" s="192">
        <f>+'Summary 2026'!O19</f>
        <v>0</v>
      </c>
      <c r="N71" s="192">
        <f>+'Summary 2026'!P19</f>
        <v>0</v>
      </c>
      <c r="O71" s="134">
        <f>SUM(C71:N71)</f>
        <v>3152813293</v>
      </c>
    </row>
    <row r="72" spans="1:15" s="122" customFormat="1" ht="30.75" hidden="1" customHeight="1" outlineLevel="1">
      <c r="A72" s="382"/>
      <c r="B72" s="267" t="s">
        <v>67</v>
      </c>
      <c r="C72" s="192">
        <f>+'Summary 2026'!E40</f>
        <v>0</v>
      </c>
      <c r="D72" s="192">
        <f>+'Summary 2026'!F40</f>
        <v>0</v>
      </c>
      <c r="E72" s="192">
        <f>+'Summary 2026'!G40</f>
        <v>0</v>
      </c>
      <c r="F72" s="192">
        <f>+'Summary 2026'!H40</f>
        <v>2697122223</v>
      </c>
      <c r="G72" s="192">
        <f>+'Summary 2026'!I40</f>
        <v>0</v>
      </c>
      <c r="H72" s="192">
        <f>+'Summary 2026'!J40</f>
        <v>0</v>
      </c>
      <c r="I72" s="192">
        <f>+'Summary 2026'!K40</f>
        <v>0</v>
      </c>
      <c r="J72" s="192">
        <f>+'Summary 2026'!L40</f>
        <v>0</v>
      </c>
      <c r="K72" s="192">
        <f>+'Summary 2026'!M40</f>
        <v>0</v>
      </c>
      <c r="L72" s="192">
        <f>+'Summary 2026'!N40</f>
        <v>0</v>
      </c>
      <c r="M72" s="192">
        <f>+'Summary 2026'!O40</f>
        <v>0</v>
      </c>
      <c r="N72" s="192">
        <f>+'Summary 2026'!P40</f>
        <v>0</v>
      </c>
      <c r="O72" s="133">
        <f>SUM(C72:N72)</f>
        <v>2697122223</v>
      </c>
    </row>
    <row r="73" spans="1:15" s="122" customFormat="1" ht="30.75" hidden="1" customHeight="1" outlineLevel="1">
      <c r="A73" s="382"/>
      <c r="B73" s="268" t="s">
        <v>68</v>
      </c>
      <c r="C73" s="192">
        <f t="shared" ref="C73:D73" si="35">+C72-C74</f>
        <v>0</v>
      </c>
      <c r="D73" s="192">
        <f t="shared" si="35"/>
        <v>0</v>
      </c>
      <c r="E73" s="192">
        <f t="shared" ref="E73:N73" si="36">+E72-E74</f>
        <v>0</v>
      </c>
      <c r="F73" s="192">
        <f t="shared" si="36"/>
        <v>2668542239</v>
      </c>
      <c r="G73" s="192">
        <f t="shared" si="36"/>
        <v>0</v>
      </c>
      <c r="H73" s="192">
        <f t="shared" si="36"/>
        <v>0</v>
      </c>
      <c r="I73" s="192">
        <f t="shared" si="36"/>
        <v>0</v>
      </c>
      <c r="J73" s="192">
        <f t="shared" si="36"/>
        <v>0</v>
      </c>
      <c r="K73" s="192">
        <f t="shared" si="36"/>
        <v>0</v>
      </c>
      <c r="L73" s="192">
        <f t="shared" si="36"/>
        <v>0</v>
      </c>
      <c r="M73" s="192">
        <f t="shared" si="36"/>
        <v>0</v>
      </c>
      <c r="N73" s="192">
        <f t="shared" si="36"/>
        <v>0</v>
      </c>
      <c r="O73" s="133">
        <f>SUM(C73:N73)</f>
        <v>2668542239</v>
      </c>
    </row>
    <row r="74" spans="1:15" s="122" customFormat="1" ht="30.75" hidden="1" customHeight="1" outlineLevel="1">
      <c r="A74" s="382"/>
      <c r="B74" s="269" t="s">
        <v>69</v>
      </c>
      <c r="C74" s="192"/>
      <c r="D74" s="192"/>
      <c r="E74" s="192"/>
      <c r="F74" s="192">
        <v>28579984</v>
      </c>
      <c r="G74" s="192"/>
      <c r="H74" s="192"/>
      <c r="I74" s="192"/>
      <c r="J74" s="192"/>
      <c r="K74" s="192"/>
      <c r="L74" s="192"/>
      <c r="M74" s="192"/>
      <c r="N74" s="192"/>
      <c r="O74" s="133">
        <f>SUM(C74:N74)</f>
        <v>28579984</v>
      </c>
    </row>
    <row r="75" spans="1:15" s="122" customFormat="1" ht="30.75" hidden="1" customHeight="1" outlineLevel="1">
      <c r="A75" s="382"/>
      <c r="B75" s="132" t="s">
        <v>70</v>
      </c>
      <c r="C75" s="191">
        <f t="shared" ref="C75:N75" si="37">ROUND(C$131*((C76/C$133)*50%+(C72/C$132)*50%),)</f>
        <v>0</v>
      </c>
      <c r="D75" s="191">
        <f t="shared" si="37"/>
        <v>0</v>
      </c>
      <c r="E75" s="191">
        <f t="shared" si="37"/>
        <v>0</v>
      </c>
      <c r="F75" s="191">
        <f t="shared" si="37"/>
        <v>49376408</v>
      </c>
      <c r="G75" s="191">
        <f t="shared" si="37"/>
        <v>0</v>
      </c>
      <c r="H75" s="191">
        <f t="shared" si="37"/>
        <v>0</v>
      </c>
      <c r="I75" s="191" t="e">
        <f t="shared" si="37"/>
        <v>#DIV/0!</v>
      </c>
      <c r="J75" s="191" t="e">
        <f t="shared" si="37"/>
        <v>#DIV/0!</v>
      </c>
      <c r="K75" s="191" t="e">
        <f t="shared" si="37"/>
        <v>#DIV/0!</v>
      </c>
      <c r="L75" s="191" t="e">
        <f t="shared" si="37"/>
        <v>#DIV/0!</v>
      </c>
      <c r="M75" s="191" t="e">
        <f t="shared" si="37"/>
        <v>#DIV/0!</v>
      </c>
      <c r="N75" s="191" t="e">
        <f t="shared" si="37"/>
        <v>#DIV/0!</v>
      </c>
      <c r="O75" s="133" t="e">
        <f>SUM(C75:N75)</f>
        <v>#DIV/0!</v>
      </c>
    </row>
    <row r="76" spans="1:15" s="122" customFormat="1" ht="30.75" hidden="1" customHeight="1" outlineLevel="1">
      <c r="A76" s="382"/>
      <c r="B76" s="132" t="s">
        <v>174</v>
      </c>
      <c r="C76" s="192">
        <v>0</v>
      </c>
      <c r="D76" s="192">
        <v>0</v>
      </c>
      <c r="E76" s="192">
        <v>0</v>
      </c>
      <c r="F76" s="192">
        <v>0</v>
      </c>
      <c r="G76" s="192">
        <v>0</v>
      </c>
      <c r="H76" s="192">
        <v>0</v>
      </c>
      <c r="I76" s="192">
        <v>0</v>
      </c>
      <c r="J76" s="192">
        <v>0</v>
      </c>
      <c r="K76" s="192">
        <v>0</v>
      </c>
      <c r="L76" s="192">
        <v>0</v>
      </c>
      <c r="M76" s="192">
        <v>0</v>
      </c>
      <c r="N76" s="192">
        <v>0</v>
      </c>
      <c r="O76" s="133">
        <f t="shared" ref="O76:O112" si="38">SUM(C76:N76)</f>
        <v>0</v>
      </c>
    </row>
    <row r="77" spans="1:15" s="122" customFormat="1" ht="30.75" customHeight="1" outlineLevel="1">
      <c r="A77" s="382" t="s">
        <v>177</v>
      </c>
      <c r="B77" s="268" t="s">
        <v>66</v>
      </c>
      <c r="C77" s="192">
        <f>+'Summary 2026'!E20</f>
        <v>0</v>
      </c>
      <c r="D77" s="192">
        <f>+'Summary 2026'!F20</f>
        <v>0</v>
      </c>
      <c r="E77" s="192">
        <f>+'Summary 2026'!G20</f>
        <v>0</v>
      </c>
      <c r="F77" s="192">
        <f>+'Summary 2026'!H20</f>
        <v>0</v>
      </c>
      <c r="G77" s="192">
        <f>+'Summary 2026'!I20</f>
        <v>-1814718058</v>
      </c>
      <c r="H77" s="192">
        <f>+'Summary 2026'!J20</f>
        <v>0</v>
      </c>
      <c r="I77" s="192">
        <f>+'Summary 2026'!K20</f>
        <v>0</v>
      </c>
      <c r="J77" s="192">
        <f>+'Summary 2026'!L20</f>
        <v>0</v>
      </c>
      <c r="K77" s="192">
        <f>+'Summary 2026'!M20</f>
        <v>0</v>
      </c>
      <c r="L77" s="192">
        <f>+'Summary 2026'!N20</f>
        <v>0</v>
      </c>
      <c r="M77" s="192">
        <f>+'Summary 2026'!O20</f>
        <v>0</v>
      </c>
      <c r="N77" s="192">
        <f>+'Summary 2026'!P20</f>
        <v>0</v>
      </c>
      <c r="O77" s="134">
        <f t="shared" si="38"/>
        <v>-1814718058</v>
      </c>
    </row>
    <row r="78" spans="1:15" s="122" customFormat="1" ht="30.75" customHeight="1" outlineLevel="1">
      <c r="A78" s="382"/>
      <c r="B78" s="267" t="s">
        <v>67</v>
      </c>
      <c r="C78" s="192">
        <f>+'Summary 2026'!E41</f>
        <v>0</v>
      </c>
      <c r="D78" s="192">
        <f>+'Summary 2026'!F41</f>
        <v>0</v>
      </c>
      <c r="E78" s="192">
        <f>+'Summary 2026'!G41</f>
        <v>0</v>
      </c>
      <c r="F78" s="192">
        <f>+'Summary 2026'!H41</f>
        <v>0</v>
      </c>
      <c r="G78" s="192">
        <f>+'Summary 2026'!I41</f>
        <v>-355380474</v>
      </c>
      <c r="H78" s="192">
        <f>+'Summary 2026'!J41</f>
        <v>289945999</v>
      </c>
      <c r="I78" s="192">
        <f>+'Summary 2026'!K41</f>
        <v>0</v>
      </c>
      <c r="J78" s="192">
        <f>+'Summary 2026'!L41</f>
        <v>0</v>
      </c>
      <c r="K78" s="192">
        <f>+'Summary 2026'!M41</f>
        <v>0</v>
      </c>
      <c r="L78" s="192">
        <f>+'Summary 2026'!N41</f>
        <v>0</v>
      </c>
      <c r="M78" s="192">
        <f>+'Summary 2026'!O41</f>
        <v>0</v>
      </c>
      <c r="N78" s="192">
        <f>+'Summary 2026'!P41</f>
        <v>0</v>
      </c>
      <c r="O78" s="133">
        <f t="shared" si="38"/>
        <v>-65434475</v>
      </c>
    </row>
    <row r="79" spans="1:15" s="122" customFormat="1" ht="30.75" customHeight="1" outlineLevel="1">
      <c r="A79" s="382"/>
      <c r="B79" s="268" t="s">
        <v>68</v>
      </c>
      <c r="C79" s="192">
        <f t="shared" ref="C79" si="39">+C78-C80</f>
        <v>0</v>
      </c>
      <c r="D79" s="192">
        <f t="shared" ref="D79" si="40">+D78-D80</f>
        <v>0</v>
      </c>
      <c r="E79" s="192">
        <f t="shared" ref="E79:N79" si="41">+E78-E80</f>
        <v>0</v>
      </c>
      <c r="F79" s="192">
        <f t="shared" si="41"/>
        <v>0</v>
      </c>
      <c r="G79" s="192">
        <f t="shared" si="41"/>
        <v>-486436790</v>
      </c>
      <c r="H79" s="192">
        <f t="shared" si="41"/>
        <v>289945999</v>
      </c>
      <c r="I79" s="192">
        <f t="shared" si="41"/>
        <v>0</v>
      </c>
      <c r="J79" s="192">
        <f t="shared" si="41"/>
        <v>0</v>
      </c>
      <c r="K79" s="192">
        <f t="shared" si="41"/>
        <v>0</v>
      </c>
      <c r="L79" s="192">
        <f t="shared" si="41"/>
        <v>0</v>
      </c>
      <c r="M79" s="192">
        <f t="shared" si="41"/>
        <v>0</v>
      </c>
      <c r="N79" s="192">
        <f t="shared" si="41"/>
        <v>0</v>
      </c>
      <c r="O79" s="133">
        <f t="shared" si="38"/>
        <v>-196490791</v>
      </c>
    </row>
    <row r="80" spans="1:15" s="122" customFormat="1" ht="30.75" customHeight="1" outlineLevel="1">
      <c r="A80" s="382"/>
      <c r="B80" s="269" t="s">
        <v>69</v>
      </c>
      <c r="C80" s="192"/>
      <c r="D80" s="192"/>
      <c r="E80" s="192"/>
      <c r="F80" s="192"/>
      <c r="G80" s="192">
        <v>131056316</v>
      </c>
      <c r="H80" s="192">
        <v>0</v>
      </c>
      <c r="I80" s="192"/>
      <c r="J80" s="192"/>
      <c r="K80" s="192"/>
      <c r="L80" s="192"/>
      <c r="M80" s="192"/>
      <c r="N80" s="192"/>
      <c r="O80" s="133">
        <f t="shared" si="38"/>
        <v>131056316</v>
      </c>
    </row>
    <row r="81" spans="1:15" s="122" customFormat="1" ht="30.75" customHeight="1" outlineLevel="1">
      <c r="A81" s="382"/>
      <c r="B81" s="132" t="s">
        <v>70</v>
      </c>
      <c r="C81" s="191">
        <f>ROUND(C$131*((C82/C$133)*50%+(C78/C$132)*50%),)</f>
        <v>0</v>
      </c>
      <c r="D81" s="191">
        <f>ROUND(D$131*((D82/D$133)*50%+(D78/D$132)*50%),)</f>
        <v>0</v>
      </c>
      <c r="E81" s="191">
        <f>ROUND(E$131*((E82/E$133)*50%+(E78/E$132)*50%),)</f>
        <v>0</v>
      </c>
      <c r="F81" s="191">
        <v>0</v>
      </c>
      <c r="G81" s="191">
        <f t="shared" ref="G81:N81" si="42">ROUND(G$131*((G82/G$133)*50%+(G78/G$132)*50%),)</f>
        <v>-6095993</v>
      </c>
      <c r="H81" s="191">
        <f t="shared" si="42"/>
        <v>4075556</v>
      </c>
      <c r="I81" s="191" t="e">
        <f t="shared" si="42"/>
        <v>#DIV/0!</v>
      </c>
      <c r="J81" s="191" t="e">
        <f t="shared" si="42"/>
        <v>#DIV/0!</v>
      </c>
      <c r="K81" s="191" t="e">
        <f t="shared" si="42"/>
        <v>#DIV/0!</v>
      </c>
      <c r="L81" s="191" t="e">
        <f t="shared" si="42"/>
        <v>#DIV/0!</v>
      </c>
      <c r="M81" s="191" t="e">
        <f t="shared" si="42"/>
        <v>#DIV/0!</v>
      </c>
      <c r="N81" s="191" t="e">
        <f t="shared" si="42"/>
        <v>#DIV/0!</v>
      </c>
      <c r="O81" s="133" t="e">
        <f t="shared" si="38"/>
        <v>#DIV/0!</v>
      </c>
    </row>
    <row r="82" spans="1:15" s="122" customFormat="1" ht="30.75" customHeight="1" outlineLevel="1">
      <c r="A82" s="382"/>
      <c r="B82" s="132" t="s">
        <v>174</v>
      </c>
      <c r="C82" s="192">
        <v>0</v>
      </c>
      <c r="D82" s="192">
        <v>0</v>
      </c>
      <c r="E82" s="192">
        <v>0</v>
      </c>
      <c r="F82" s="192">
        <v>0</v>
      </c>
      <c r="G82" s="192">
        <v>0</v>
      </c>
      <c r="H82" s="192">
        <v>0</v>
      </c>
      <c r="I82" s="192">
        <v>0</v>
      </c>
      <c r="J82" s="192">
        <v>0</v>
      </c>
      <c r="K82" s="192">
        <v>0</v>
      </c>
      <c r="L82" s="192">
        <v>0</v>
      </c>
      <c r="M82" s="192">
        <v>0</v>
      </c>
      <c r="N82" s="192">
        <v>0</v>
      </c>
      <c r="O82" s="133">
        <f t="shared" si="38"/>
        <v>0</v>
      </c>
    </row>
    <row r="83" spans="1:15" s="122" customFormat="1" ht="30.75" customHeight="1" outlineLevel="1">
      <c r="A83" s="386" t="s">
        <v>194</v>
      </c>
      <c r="B83" s="268" t="s">
        <v>66</v>
      </c>
      <c r="C83" s="192">
        <f>+'Summary 2026'!E21</f>
        <v>26161676872</v>
      </c>
      <c r="D83" s="192">
        <f>+'Summary 2026'!F21</f>
        <v>18559516555</v>
      </c>
      <c r="E83" s="192">
        <f>+'Summary 2026'!G21</f>
        <v>4611506400</v>
      </c>
      <c r="F83" s="192">
        <f>+'Summary 2026'!H21</f>
        <v>0</v>
      </c>
      <c r="G83" s="192">
        <f>+'Summary 2026'!I21</f>
        <v>2553696661</v>
      </c>
      <c r="H83" s="192">
        <f>+'Summary 2026'!J21</f>
        <v>0</v>
      </c>
      <c r="I83" s="192">
        <f>+'Summary 2026'!K21</f>
        <v>0</v>
      </c>
      <c r="J83" s="192">
        <f>+'Summary 2026'!L21</f>
        <v>0</v>
      </c>
      <c r="K83" s="192">
        <f>+'Summary 2026'!M21</f>
        <v>0</v>
      </c>
      <c r="L83" s="192">
        <f>+'Summary 2026'!N21</f>
        <v>0</v>
      </c>
      <c r="M83" s="192">
        <f>+'Summary 2026'!O21</f>
        <v>0</v>
      </c>
      <c r="N83" s="192">
        <f>+'Summary 2026'!P21</f>
        <v>0</v>
      </c>
      <c r="O83" s="133">
        <f t="shared" si="38"/>
        <v>51886396488</v>
      </c>
    </row>
    <row r="84" spans="1:15" s="122" customFormat="1" ht="30.75" customHeight="1" outlineLevel="1">
      <c r="A84" s="386"/>
      <c r="B84" s="267" t="s">
        <v>67</v>
      </c>
      <c r="C84" s="192">
        <f>+'Summary 2026'!E42</f>
        <v>5986119336</v>
      </c>
      <c r="D84" s="192">
        <f>+'Summary 2026'!F42</f>
        <v>1991739724</v>
      </c>
      <c r="E84" s="192">
        <f>+'Summary 2026'!G42</f>
        <v>1613393836</v>
      </c>
      <c r="F84" s="192">
        <f>+'Summary 2026'!H42</f>
        <v>0</v>
      </c>
      <c r="G84" s="192">
        <f>+'Summary 2026'!I42</f>
        <v>1913340213</v>
      </c>
      <c r="H84" s="192">
        <f>+'Summary 2026'!J42</f>
        <v>0</v>
      </c>
      <c r="I84" s="192">
        <f>+'Summary 2026'!K42</f>
        <v>0</v>
      </c>
      <c r="J84" s="192">
        <f>+'Summary 2026'!L42</f>
        <v>0</v>
      </c>
      <c r="K84" s="192">
        <f>+'Summary 2026'!M42</f>
        <v>0</v>
      </c>
      <c r="L84" s="192">
        <f>+'Summary 2026'!N42</f>
        <v>0</v>
      </c>
      <c r="M84" s="192">
        <f>+'Summary 2026'!O42</f>
        <v>0</v>
      </c>
      <c r="N84" s="192">
        <f>+'Summary 2026'!P42</f>
        <v>0</v>
      </c>
      <c r="O84" s="133">
        <f t="shared" si="38"/>
        <v>11504593109</v>
      </c>
    </row>
    <row r="85" spans="1:15" s="122" customFormat="1" ht="30.75" customHeight="1" outlineLevel="1">
      <c r="A85" s="386"/>
      <c r="B85" s="268" t="s">
        <v>68</v>
      </c>
      <c r="C85" s="192">
        <f>+C84-C86</f>
        <v>6124650714</v>
      </c>
      <c r="D85" s="192">
        <f t="shared" ref="D85" si="43">+D84-D86</f>
        <v>1991739724</v>
      </c>
      <c r="E85" s="192">
        <f t="shared" ref="E85:N85" si="44">+E84-E86</f>
        <v>1613393836</v>
      </c>
      <c r="F85" s="192">
        <f t="shared" si="44"/>
        <v>0</v>
      </c>
      <c r="G85" s="192">
        <f t="shared" si="44"/>
        <v>1913340213</v>
      </c>
      <c r="H85" s="192">
        <f t="shared" si="44"/>
        <v>0</v>
      </c>
      <c r="I85" s="192">
        <f t="shared" si="44"/>
        <v>0</v>
      </c>
      <c r="J85" s="192">
        <f t="shared" si="44"/>
        <v>0</v>
      </c>
      <c r="K85" s="192">
        <f t="shared" si="44"/>
        <v>0</v>
      </c>
      <c r="L85" s="192">
        <f t="shared" si="44"/>
        <v>0</v>
      </c>
      <c r="M85" s="192">
        <f t="shared" si="44"/>
        <v>0</v>
      </c>
      <c r="N85" s="192">
        <f t="shared" si="44"/>
        <v>0</v>
      </c>
      <c r="O85" s="133">
        <f t="shared" si="38"/>
        <v>11643124487</v>
      </c>
    </row>
    <row r="86" spans="1:15" s="122" customFormat="1" ht="30.75" customHeight="1" outlineLevel="1">
      <c r="A86" s="386"/>
      <c r="B86" s="269" t="s">
        <v>69</v>
      </c>
      <c r="C86" s="192">
        <v>-138531378</v>
      </c>
      <c r="D86" s="192"/>
      <c r="E86" s="192"/>
      <c r="F86" s="192"/>
      <c r="G86" s="192"/>
      <c r="H86" s="192"/>
      <c r="I86" s="192"/>
      <c r="J86" s="192"/>
      <c r="K86" s="192"/>
      <c r="L86" s="192"/>
      <c r="M86" s="192"/>
      <c r="N86" s="192"/>
      <c r="O86" s="133">
        <f t="shared" si="38"/>
        <v>-138531378</v>
      </c>
    </row>
    <row r="87" spans="1:15" s="122" customFormat="1" ht="30.75" customHeight="1" outlineLevel="1">
      <c r="A87" s="386"/>
      <c r="B87" s="132" t="s">
        <v>70</v>
      </c>
      <c r="C87" s="192"/>
      <c r="D87" s="192"/>
      <c r="E87" s="192"/>
      <c r="F87" s="192"/>
      <c r="G87" s="192"/>
      <c r="H87" s="192"/>
      <c r="I87" s="192"/>
      <c r="J87" s="192"/>
      <c r="K87" s="192"/>
      <c r="L87" s="192"/>
      <c r="M87" s="192"/>
      <c r="N87" s="192"/>
      <c r="O87" s="133">
        <f t="shared" si="38"/>
        <v>0</v>
      </c>
    </row>
    <row r="88" spans="1:15" s="122" customFormat="1" ht="30.75" customHeight="1" outlineLevel="1">
      <c r="A88" s="386"/>
      <c r="B88" s="132" t="s">
        <v>174</v>
      </c>
      <c r="C88" s="192"/>
      <c r="D88" s="192"/>
      <c r="E88" s="192"/>
      <c r="F88" s="192"/>
      <c r="G88" s="192"/>
      <c r="H88" s="192"/>
      <c r="I88" s="192"/>
      <c r="J88" s="192"/>
      <c r="K88" s="192"/>
      <c r="L88" s="192"/>
      <c r="M88" s="192"/>
      <c r="N88" s="192"/>
      <c r="O88" s="133">
        <f t="shared" si="38"/>
        <v>0</v>
      </c>
    </row>
    <row r="89" spans="1:15" s="122" customFormat="1" ht="30.75" hidden="1" customHeight="1" outlineLevel="1">
      <c r="A89" s="386" t="s">
        <v>195</v>
      </c>
      <c r="B89" s="202" t="s">
        <v>66</v>
      </c>
      <c r="C89" s="192"/>
      <c r="D89" s="192"/>
      <c r="E89" s="192"/>
      <c r="F89" s="192"/>
      <c r="G89" s="192"/>
      <c r="H89" s="192"/>
      <c r="I89" s="192"/>
      <c r="J89" s="192"/>
      <c r="K89" s="192"/>
      <c r="L89" s="192"/>
      <c r="M89" s="192"/>
      <c r="N89" s="192"/>
      <c r="O89" s="133">
        <f t="shared" si="38"/>
        <v>0</v>
      </c>
    </row>
    <row r="90" spans="1:15" s="122" customFormat="1" ht="30.75" hidden="1" customHeight="1" outlineLevel="1">
      <c r="A90" s="386"/>
      <c r="B90" s="297" t="s">
        <v>67</v>
      </c>
      <c r="C90" s="192"/>
      <c r="D90" s="192"/>
      <c r="E90" s="192"/>
      <c r="F90" s="192"/>
      <c r="G90" s="192"/>
      <c r="H90" s="192"/>
      <c r="I90" s="192"/>
      <c r="J90" s="192"/>
      <c r="K90" s="192"/>
      <c r="L90" s="192"/>
      <c r="M90" s="192"/>
      <c r="N90" s="192"/>
      <c r="O90" s="133">
        <f t="shared" si="38"/>
        <v>0</v>
      </c>
    </row>
    <row r="91" spans="1:15" s="122" customFormat="1" ht="30.75" hidden="1" customHeight="1" outlineLevel="1">
      <c r="A91" s="386"/>
      <c r="B91" s="298" t="s">
        <v>68</v>
      </c>
      <c r="C91" s="192"/>
      <c r="D91" s="192"/>
      <c r="E91" s="192"/>
      <c r="F91" s="192"/>
      <c r="G91" s="192"/>
      <c r="H91" s="192"/>
      <c r="I91" s="192"/>
      <c r="J91" s="192"/>
      <c r="K91" s="192"/>
      <c r="L91" s="192"/>
      <c r="M91" s="192"/>
      <c r="N91" s="192"/>
      <c r="O91" s="133">
        <f t="shared" si="38"/>
        <v>0</v>
      </c>
    </row>
    <row r="92" spans="1:15" s="122" customFormat="1" ht="30.75" hidden="1" customHeight="1" outlineLevel="1">
      <c r="A92" s="386"/>
      <c r="B92" s="299" t="s">
        <v>69</v>
      </c>
      <c r="C92" s="192"/>
      <c r="D92" s="192"/>
      <c r="E92" s="192"/>
      <c r="F92" s="192"/>
      <c r="G92" s="192"/>
      <c r="H92" s="192"/>
      <c r="I92" s="192"/>
      <c r="J92" s="192"/>
      <c r="K92" s="192"/>
      <c r="L92" s="192"/>
      <c r="M92" s="192"/>
      <c r="N92" s="192"/>
      <c r="O92" s="133">
        <f t="shared" si="38"/>
        <v>0</v>
      </c>
    </row>
    <row r="93" spans="1:15" s="122" customFormat="1" ht="30.75" hidden="1" customHeight="1" outlineLevel="1">
      <c r="A93" s="386"/>
      <c r="B93" s="204" t="s">
        <v>70</v>
      </c>
      <c r="C93" s="192"/>
      <c r="D93" s="192"/>
      <c r="E93" s="192"/>
      <c r="F93" s="192"/>
      <c r="G93" s="192"/>
      <c r="H93" s="192"/>
      <c r="I93" s="192"/>
      <c r="J93" s="192"/>
      <c r="K93" s="192"/>
      <c r="L93" s="192"/>
      <c r="M93" s="192"/>
      <c r="N93" s="192"/>
      <c r="O93" s="133">
        <f t="shared" si="38"/>
        <v>0</v>
      </c>
    </row>
    <row r="94" spans="1:15" s="122" customFormat="1" ht="30.75" hidden="1" customHeight="1" outlineLevel="1">
      <c r="A94" s="386"/>
      <c r="B94" s="204" t="s">
        <v>174</v>
      </c>
      <c r="C94" s="192"/>
      <c r="D94" s="192"/>
      <c r="E94" s="192"/>
      <c r="F94" s="192"/>
      <c r="G94" s="192"/>
      <c r="H94" s="192"/>
      <c r="I94" s="192"/>
      <c r="J94" s="192"/>
      <c r="K94" s="192"/>
      <c r="L94" s="192"/>
      <c r="M94" s="192"/>
      <c r="N94" s="192"/>
      <c r="O94" s="133">
        <f t="shared" si="38"/>
        <v>0</v>
      </c>
    </row>
    <row r="95" spans="1:15" s="122" customFormat="1" ht="30.75" customHeight="1" outlineLevel="1">
      <c r="A95" s="382" t="s">
        <v>196</v>
      </c>
      <c r="B95" s="202" t="s">
        <v>66</v>
      </c>
      <c r="C95" s="192">
        <f>+'Summary 2026'!E23</f>
        <v>175405177</v>
      </c>
      <c r="D95" s="192">
        <f>+'Summary 2026'!F23</f>
        <v>211832004</v>
      </c>
      <c r="E95" s="192">
        <f>+'Summary 2026'!G23</f>
        <v>1390742757</v>
      </c>
      <c r="F95" s="192">
        <f>+'Summary 2026'!H23</f>
        <v>2077469588</v>
      </c>
      <c r="G95" s="192">
        <f>+'Summary 2026'!I23</f>
        <v>76396453</v>
      </c>
      <c r="H95" s="192">
        <f>+'Summary 2026'!J23</f>
        <v>-609878672</v>
      </c>
      <c r="I95" s="192">
        <f>+'Summary 2026'!K23</f>
        <v>0</v>
      </c>
      <c r="J95" s="192">
        <f>+'Summary 2026'!L23</f>
        <v>0</v>
      </c>
      <c r="K95" s="192">
        <f>+'Summary 2026'!M23</f>
        <v>0</v>
      </c>
      <c r="L95" s="192">
        <f>+'Summary 2026'!N23</f>
        <v>0</v>
      </c>
      <c r="M95" s="192">
        <f>+'Summary 2026'!O23</f>
        <v>0</v>
      </c>
      <c r="N95" s="192">
        <f>+'Summary 2026'!P23</f>
        <v>0</v>
      </c>
      <c r="O95" s="133">
        <f t="shared" si="38"/>
        <v>3321967307</v>
      </c>
    </row>
    <row r="96" spans="1:15" s="122" customFormat="1" ht="30.75" customHeight="1" outlineLevel="1">
      <c r="A96" s="382"/>
      <c r="B96" s="297" t="s">
        <v>67</v>
      </c>
      <c r="C96" s="192">
        <f>+'Summary 2026'!E44</f>
        <v>145270568</v>
      </c>
      <c r="D96" s="192">
        <f>+'Summary 2026'!F44</f>
        <v>175439266</v>
      </c>
      <c r="E96" s="192">
        <f>+'Summary 2026'!G44</f>
        <v>1151813151</v>
      </c>
      <c r="F96" s="192">
        <f>+'Summary 2026'!H44</f>
        <v>1720560313</v>
      </c>
      <c r="G96" s="192">
        <f>+'Summary 2026'!I44</f>
        <v>63271542</v>
      </c>
      <c r="H96" s="192">
        <f>+'Summary 2026'!J44</f>
        <v>139226069</v>
      </c>
      <c r="I96" s="192">
        <f>+'Summary 2026'!K44</f>
        <v>0</v>
      </c>
      <c r="J96" s="192">
        <f>+'Summary 2026'!L44</f>
        <v>0</v>
      </c>
      <c r="K96" s="192">
        <f>+'Summary 2026'!M44</f>
        <v>0</v>
      </c>
      <c r="L96" s="192">
        <f>+'Summary 2026'!N44</f>
        <v>0</v>
      </c>
      <c r="M96" s="192">
        <f>+'Summary 2026'!O44</f>
        <v>0</v>
      </c>
      <c r="N96" s="192">
        <f>+'Summary 2026'!P44</f>
        <v>0</v>
      </c>
      <c r="O96" s="133">
        <f t="shared" si="38"/>
        <v>3395580909</v>
      </c>
    </row>
    <row r="97" spans="1:15" s="122" customFormat="1" ht="30.75" customHeight="1" outlineLevel="1">
      <c r="A97" s="382"/>
      <c r="B97" s="298" t="s">
        <v>68</v>
      </c>
      <c r="C97" s="192">
        <f>+C96-C98</f>
        <v>155272770</v>
      </c>
      <c r="D97" s="192">
        <f t="shared" ref="D97" si="45">+D96-D98</f>
        <v>173354685</v>
      </c>
      <c r="E97" s="192">
        <f t="shared" ref="E97:N97" si="46">+E96-E98</f>
        <v>1128723246</v>
      </c>
      <c r="F97" s="192">
        <f t="shared" si="46"/>
        <v>1702716969</v>
      </c>
      <c r="G97" s="192">
        <f t="shared" si="46"/>
        <v>21452075</v>
      </c>
      <c r="H97" s="192">
        <f t="shared" si="46"/>
        <v>138000000</v>
      </c>
      <c r="I97" s="192">
        <f t="shared" si="46"/>
        <v>0</v>
      </c>
      <c r="J97" s="192">
        <f t="shared" si="46"/>
        <v>0</v>
      </c>
      <c r="K97" s="192">
        <f t="shared" si="46"/>
        <v>0</v>
      </c>
      <c r="L97" s="192">
        <f t="shared" si="46"/>
        <v>0</v>
      </c>
      <c r="M97" s="192">
        <f t="shared" si="46"/>
        <v>0</v>
      </c>
      <c r="N97" s="192">
        <f t="shared" si="46"/>
        <v>0</v>
      </c>
      <c r="O97" s="133">
        <f t="shared" si="38"/>
        <v>3319519745</v>
      </c>
    </row>
    <row r="98" spans="1:15" s="122" customFormat="1" ht="30.75" customHeight="1" outlineLevel="1">
      <c r="A98" s="382"/>
      <c r="B98" s="299" t="s">
        <v>69</v>
      </c>
      <c r="C98" s="192">
        <v>-10002202</v>
      </c>
      <c r="D98" s="192">
        <v>2084581</v>
      </c>
      <c r="E98" s="192">
        <v>23089905</v>
      </c>
      <c r="F98" s="192">
        <v>17843344</v>
      </c>
      <c r="G98" s="192">
        <v>41819467</v>
      </c>
      <c r="H98" s="192">
        <v>1226069</v>
      </c>
      <c r="I98" s="192"/>
      <c r="J98" s="192"/>
      <c r="K98" s="192"/>
      <c r="L98" s="192"/>
      <c r="M98" s="192"/>
      <c r="N98" s="192"/>
      <c r="O98" s="133">
        <f t="shared" si="38"/>
        <v>76061164</v>
      </c>
    </row>
    <row r="99" spans="1:15" s="122" customFormat="1" ht="30.75" customHeight="1" outlineLevel="1">
      <c r="A99" s="382"/>
      <c r="B99" s="204" t="s">
        <v>70</v>
      </c>
      <c r="C99" s="191">
        <f t="shared" ref="C99:N99" si="47">ROUND(C$131*((C100/C$133)*50%+(C96/C$132)*50%),)</f>
        <v>40809230</v>
      </c>
      <c r="D99" s="191">
        <f t="shared" si="47"/>
        <v>3434305</v>
      </c>
      <c r="E99" s="191">
        <f t="shared" si="47"/>
        <v>40345228</v>
      </c>
      <c r="F99" s="191">
        <f t="shared" si="47"/>
        <v>31498420</v>
      </c>
      <c r="G99" s="191">
        <f t="shared" si="47"/>
        <v>1085324</v>
      </c>
      <c r="H99" s="191">
        <f t="shared" si="47"/>
        <v>1956998</v>
      </c>
      <c r="I99" s="191" t="e">
        <f t="shared" si="47"/>
        <v>#DIV/0!</v>
      </c>
      <c r="J99" s="191" t="e">
        <f t="shared" si="47"/>
        <v>#DIV/0!</v>
      </c>
      <c r="K99" s="191" t="e">
        <f t="shared" si="47"/>
        <v>#DIV/0!</v>
      </c>
      <c r="L99" s="191" t="e">
        <f t="shared" si="47"/>
        <v>#DIV/0!</v>
      </c>
      <c r="M99" s="191" t="e">
        <f t="shared" si="47"/>
        <v>#DIV/0!</v>
      </c>
      <c r="N99" s="191" t="e">
        <f t="shared" si="47"/>
        <v>#DIV/0!</v>
      </c>
      <c r="O99" s="133" t="e">
        <f t="shared" si="38"/>
        <v>#DIV/0!</v>
      </c>
    </row>
    <row r="100" spans="1:15" s="122" customFormat="1" ht="30.75" customHeight="1" outlineLevel="1">
      <c r="A100" s="382"/>
      <c r="B100" s="204" t="s">
        <v>174</v>
      </c>
      <c r="C100" s="192">
        <v>0</v>
      </c>
      <c r="D100" s="192">
        <v>0</v>
      </c>
      <c r="E100" s="192">
        <v>0</v>
      </c>
      <c r="F100" s="192">
        <v>0</v>
      </c>
      <c r="G100" s="192">
        <v>0</v>
      </c>
      <c r="H100" s="192">
        <v>0</v>
      </c>
      <c r="I100" s="192">
        <v>0</v>
      </c>
      <c r="J100" s="192">
        <v>0</v>
      </c>
      <c r="K100" s="192">
        <v>0</v>
      </c>
      <c r="L100" s="192">
        <v>0</v>
      </c>
      <c r="M100" s="192">
        <v>0</v>
      </c>
      <c r="N100" s="192">
        <v>0</v>
      </c>
      <c r="O100" s="133">
        <f t="shared" si="38"/>
        <v>0</v>
      </c>
    </row>
    <row r="101" spans="1:15" s="122" customFormat="1" ht="30.75" customHeight="1" outlineLevel="1">
      <c r="A101" s="386" t="s">
        <v>212</v>
      </c>
      <c r="B101" s="202" t="s">
        <v>66</v>
      </c>
      <c r="C101" s="192">
        <f>+'Summary 2026'!E24</f>
        <v>0</v>
      </c>
      <c r="D101" s="192">
        <f>+'Summary 2026'!F24</f>
        <v>0</v>
      </c>
      <c r="E101" s="192">
        <f>+'Summary 2026'!G24</f>
        <v>0</v>
      </c>
      <c r="F101" s="192">
        <f>+'Summary 2026'!H24</f>
        <v>0</v>
      </c>
      <c r="G101" s="192">
        <f>+'Summary 2026'!I24</f>
        <v>0</v>
      </c>
      <c r="H101" s="192">
        <f>+'Summary 2026'!J24</f>
        <v>0</v>
      </c>
      <c r="I101" s="192">
        <f>+'Summary 2026'!K24</f>
        <v>0</v>
      </c>
      <c r="J101" s="192">
        <f>+'Summary 2026'!L24</f>
        <v>0</v>
      </c>
      <c r="K101" s="192">
        <f>+'Summary 2026'!M24</f>
        <v>0</v>
      </c>
      <c r="L101" s="192">
        <f>+'Summary 2026'!N24</f>
        <v>0</v>
      </c>
      <c r="M101" s="192">
        <f>+'Summary 2026'!O24</f>
        <v>0</v>
      </c>
      <c r="N101" s="192">
        <f>+'Summary 2026'!P24</f>
        <v>0</v>
      </c>
      <c r="O101" s="133">
        <f t="shared" si="38"/>
        <v>0</v>
      </c>
    </row>
    <row r="102" spans="1:15" s="122" customFormat="1" ht="30.75" customHeight="1" outlineLevel="1">
      <c r="A102" s="386"/>
      <c r="B102" s="297" t="s">
        <v>67</v>
      </c>
      <c r="C102" s="192">
        <f>+'Summary 2026'!E45</f>
        <v>0</v>
      </c>
      <c r="D102" s="192">
        <f>+'Summary 2026'!F45</f>
        <v>0</v>
      </c>
      <c r="E102" s="192">
        <f>+'Summary 2026'!G45</f>
        <v>0</v>
      </c>
      <c r="F102" s="192">
        <f>+'Summary 2026'!H45</f>
        <v>0</v>
      </c>
      <c r="G102" s="192">
        <f>+'Summary 2026'!I45</f>
        <v>0</v>
      </c>
      <c r="H102" s="192">
        <f>+'Summary 2026'!J45</f>
        <v>0</v>
      </c>
      <c r="I102" s="192">
        <f>+'Summary 2026'!K45</f>
        <v>0</v>
      </c>
      <c r="J102" s="192">
        <f>+'Summary 2026'!L45</f>
        <v>0</v>
      </c>
      <c r="K102" s="192">
        <f>+'Summary 2026'!M45</f>
        <v>0</v>
      </c>
      <c r="L102" s="192">
        <f>+'Summary 2026'!N45</f>
        <v>0</v>
      </c>
      <c r="M102" s="192">
        <f>+'Summary 2026'!O45</f>
        <v>0</v>
      </c>
      <c r="N102" s="192">
        <f>+'Summary 2026'!P45</f>
        <v>0</v>
      </c>
      <c r="O102" s="133">
        <f t="shared" si="38"/>
        <v>0</v>
      </c>
    </row>
    <row r="103" spans="1:15" s="122" customFormat="1" ht="30.75" customHeight="1" outlineLevel="1">
      <c r="A103" s="386"/>
      <c r="B103" s="298" t="s">
        <v>68</v>
      </c>
      <c r="C103" s="192">
        <f>+C102-C104</f>
        <v>0</v>
      </c>
      <c r="D103" s="192">
        <f t="shared" ref="D103" si="48">+D102-D104</f>
        <v>0</v>
      </c>
      <c r="E103" s="192">
        <f t="shared" ref="E103:N103" si="49">+E102-E104</f>
        <v>0</v>
      </c>
      <c r="F103" s="192">
        <f t="shared" si="49"/>
        <v>0</v>
      </c>
      <c r="G103" s="192">
        <f t="shared" si="49"/>
        <v>0</v>
      </c>
      <c r="H103" s="192">
        <f t="shared" si="49"/>
        <v>0</v>
      </c>
      <c r="I103" s="192">
        <f t="shared" si="49"/>
        <v>0</v>
      </c>
      <c r="J103" s="192">
        <f t="shared" si="49"/>
        <v>0</v>
      </c>
      <c r="K103" s="192">
        <f t="shared" si="49"/>
        <v>0</v>
      </c>
      <c r="L103" s="192">
        <f t="shared" si="49"/>
        <v>0</v>
      </c>
      <c r="M103" s="192">
        <f t="shared" si="49"/>
        <v>0</v>
      </c>
      <c r="N103" s="192">
        <f t="shared" si="49"/>
        <v>0</v>
      </c>
      <c r="O103" s="133">
        <f t="shared" si="38"/>
        <v>0</v>
      </c>
    </row>
    <row r="104" spans="1:15" s="122" customFormat="1" ht="30.75" customHeight="1" outlineLevel="1">
      <c r="A104" s="386"/>
      <c r="B104" s="299" t="s">
        <v>69</v>
      </c>
      <c r="C104" s="192"/>
      <c r="D104" s="192"/>
      <c r="E104" s="192"/>
      <c r="F104" s="192"/>
      <c r="G104" s="192"/>
      <c r="H104" s="192"/>
      <c r="I104" s="192"/>
      <c r="J104" s="192"/>
      <c r="K104" s="192"/>
      <c r="L104" s="192"/>
      <c r="M104" s="192"/>
      <c r="N104" s="192"/>
      <c r="O104" s="133">
        <f t="shared" si="38"/>
        <v>0</v>
      </c>
    </row>
    <row r="105" spans="1:15" s="122" customFormat="1" ht="30.75" customHeight="1" outlineLevel="1">
      <c r="A105" s="386"/>
      <c r="B105" s="204" t="s">
        <v>70</v>
      </c>
      <c r="C105" s="192"/>
      <c r="D105" s="192"/>
      <c r="E105" s="192"/>
      <c r="F105" s="192"/>
      <c r="G105" s="192"/>
      <c r="H105" s="192"/>
      <c r="I105" s="192"/>
      <c r="J105" s="192"/>
      <c r="K105" s="192"/>
      <c r="L105" s="192"/>
      <c r="M105" s="192"/>
      <c r="N105" s="192"/>
      <c r="O105" s="133">
        <f t="shared" si="38"/>
        <v>0</v>
      </c>
    </row>
    <row r="106" spans="1:15" s="122" customFormat="1" ht="30.75" customHeight="1" outlineLevel="1">
      <c r="A106" s="386"/>
      <c r="B106" s="204" t="s">
        <v>174</v>
      </c>
      <c r="C106" s="192"/>
      <c r="D106" s="192"/>
      <c r="E106" s="192"/>
      <c r="F106" s="192"/>
      <c r="G106" s="192"/>
      <c r="H106" s="192"/>
      <c r="I106" s="192"/>
      <c r="J106" s="192"/>
      <c r="K106" s="192"/>
      <c r="L106" s="192"/>
      <c r="M106" s="192"/>
      <c r="N106" s="192"/>
      <c r="O106" s="133">
        <f t="shared" si="38"/>
        <v>0</v>
      </c>
    </row>
    <row r="107" spans="1:15" s="122" customFormat="1" ht="30.75" hidden="1" customHeight="1" outlineLevel="1">
      <c r="A107" s="386" t="s">
        <v>217</v>
      </c>
      <c r="B107" s="202" t="s">
        <v>66</v>
      </c>
      <c r="C107" s="192">
        <f>+'Summary 2026'!E25</f>
        <v>0</v>
      </c>
      <c r="D107" s="192">
        <f>+'Summary 2026'!F25</f>
        <v>1877595000</v>
      </c>
      <c r="E107" s="192">
        <f>+'Summary 2026'!G25</f>
        <v>0</v>
      </c>
      <c r="F107" s="192">
        <f>+'Summary 2026'!H25</f>
        <v>0</v>
      </c>
      <c r="G107" s="192">
        <f>+'Summary 2026'!I25</f>
        <v>0</v>
      </c>
      <c r="H107" s="192">
        <f>+'Summary 2026'!J25</f>
        <v>0</v>
      </c>
      <c r="I107" s="192">
        <f>+'Summary 2026'!K25</f>
        <v>0</v>
      </c>
      <c r="J107" s="192">
        <f>+'Summary 2026'!L25</f>
        <v>0</v>
      </c>
      <c r="K107" s="192">
        <f>+'Summary 2026'!M25</f>
        <v>0</v>
      </c>
      <c r="L107" s="192">
        <f>+'Summary 2026'!N25</f>
        <v>0</v>
      </c>
      <c r="M107" s="192">
        <f>+'Summary 2026'!O25</f>
        <v>0</v>
      </c>
      <c r="N107" s="192">
        <f>+'Summary 2026'!P25</f>
        <v>0</v>
      </c>
      <c r="O107" s="133">
        <f t="shared" si="38"/>
        <v>1877595000</v>
      </c>
    </row>
    <row r="108" spans="1:15" s="122" customFormat="1" ht="30.75" hidden="1" customHeight="1" outlineLevel="1">
      <c r="A108" s="386"/>
      <c r="B108" s="297" t="s">
        <v>67</v>
      </c>
      <c r="C108" s="192">
        <f>+'Summary 2026'!E45</f>
        <v>0</v>
      </c>
      <c r="D108" s="192">
        <f>+'Summary 2026'!F46</f>
        <v>3519933422</v>
      </c>
      <c r="E108" s="192">
        <f>+'Summary 2026'!G46</f>
        <v>0</v>
      </c>
      <c r="F108" s="192">
        <f>+'Summary 2026'!H46</f>
        <v>0</v>
      </c>
      <c r="G108" s="192">
        <f>+'Summary 2026'!I46</f>
        <v>0</v>
      </c>
      <c r="H108" s="192">
        <f>+'Summary 2026'!J46</f>
        <v>0</v>
      </c>
      <c r="I108" s="192">
        <f>+'Summary 2026'!K46</f>
        <v>0</v>
      </c>
      <c r="J108" s="192">
        <f>+'Summary 2026'!L46</f>
        <v>0</v>
      </c>
      <c r="K108" s="192">
        <f>+'Summary 2026'!M46</f>
        <v>0</v>
      </c>
      <c r="L108" s="192">
        <f>+'Summary 2026'!N46</f>
        <v>0</v>
      </c>
      <c r="M108" s="192">
        <f>+'Summary 2026'!O46</f>
        <v>0</v>
      </c>
      <c r="N108" s="192">
        <f>+'Summary 2026'!P46</f>
        <v>0</v>
      </c>
      <c r="O108" s="133">
        <f t="shared" si="38"/>
        <v>3519933422</v>
      </c>
    </row>
    <row r="109" spans="1:15" s="122" customFormat="1" ht="30.75" hidden="1" customHeight="1" outlineLevel="1">
      <c r="A109" s="386"/>
      <c r="B109" s="298" t="s">
        <v>68</v>
      </c>
      <c r="C109" s="192">
        <f>+C108-C110</f>
        <v>0</v>
      </c>
      <c r="D109" s="192">
        <f t="shared" ref="D109" si="50">+D108-D110</f>
        <v>3519933422</v>
      </c>
      <c r="E109" s="192">
        <f t="shared" ref="E109:N109" si="51">+E108-E110</f>
        <v>0</v>
      </c>
      <c r="F109" s="192">
        <f t="shared" si="51"/>
        <v>0</v>
      </c>
      <c r="G109" s="192">
        <f t="shared" si="51"/>
        <v>0</v>
      </c>
      <c r="H109" s="192">
        <f t="shared" si="51"/>
        <v>0</v>
      </c>
      <c r="I109" s="192">
        <f t="shared" si="51"/>
        <v>0</v>
      </c>
      <c r="J109" s="192">
        <f t="shared" si="51"/>
        <v>0</v>
      </c>
      <c r="K109" s="192">
        <f t="shared" si="51"/>
        <v>0</v>
      </c>
      <c r="L109" s="192">
        <f t="shared" si="51"/>
        <v>0</v>
      </c>
      <c r="M109" s="192">
        <f t="shared" si="51"/>
        <v>0</v>
      </c>
      <c r="N109" s="192">
        <f t="shared" si="51"/>
        <v>0</v>
      </c>
      <c r="O109" s="133">
        <f t="shared" si="38"/>
        <v>3519933422</v>
      </c>
    </row>
    <row r="110" spans="1:15" s="122" customFormat="1" ht="30.75" hidden="1" customHeight="1" outlineLevel="1">
      <c r="A110" s="386"/>
      <c r="B110" s="299" t="s">
        <v>69</v>
      </c>
      <c r="C110" s="192"/>
      <c r="D110" s="192"/>
      <c r="E110" s="192"/>
      <c r="F110" s="192"/>
      <c r="G110" s="192"/>
      <c r="H110" s="192"/>
      <c r="I110" s="192"/>
      <c r="J110" s="192"/>
      <c r="K110" s="192"/>
      <c r="L110" s="192"/>
      <c r="M110" s="192"/>
      <c r="N110" s="192"/>
      <c r="O110" s="133">
        <f t="shared" si="38"/>
        <v>0</v>
      </c>
    </row>
    <row r="111" spans="1:15" s="122" customFormat="1" ht="30.75" hidden="1" customHeight="1" outlineLevel="1">
      <c r="A111" s="386"/>
      <c r="B111" s="204" t="s">
        <v>70</v>
      </c>
      <c r="C111" s="192"/>
      <c r="D111" s="192"/>
      <c r="E111" s="192"/>
      <c r="F111" s="192"/>
      <c r="G111" s="192"/>
      <c r="H111" s="192"/>
      <c r="I111" s="192"/>
      <c r="J111" s="192"/>
      <c r="K111" s="192"/>
      <c r="L111" s="192"/>
      <c r="M111" s="192"/>
      <c r="N111" s="192"/>
      <c r="O111" s="133">
        <f t="shared" si="38"/>
        <v>0</v>
      </c>
    </row>
    <row r="112" spans="1:15" s="122" customFormat="1" ht="30.75" hidden="1" customHeight="1" outlineLevel="1">
      <c r="A112" s="386"/>
      <c r="B112" s="204" t="s">
        <v>174</v>
      </c>
      <c r="C112" s="192"/>
      <c r="D112" s="192"/>
      <c r="E112" s="192"/>
      <c r="F112" s="192"/>
      <c r="G112" s="192"/>
      <c r="H112" s="192"/>
      <c r="I112" s="192"/>
      <c r="J112" s="192"/>
      <c r="K112" s="192"/>
      <c r="L112" s="192"/>
      <c r="M112" s="192"/>
      <c r="N112" s="192"/>
      <c r="O112" s="133">
        <f t="shared" si="38"/>
        <v>0</v>
      </c>
    </row>
    <row r="113" spans="1:15" s="122" customFormat="1" ht="30.75" hidden="1" customHeight="1" outlineLevel="1">
      <c r="A113" s="386" t="s">
        <v>224</v>
      </c>
      <c r="B113" s="202" t="s">
        <v>66</v>
      </c>
      <c r="C113" s="192">
        <f>+'Summary 2026'!E26</f>
        <v>0</v>
      </c>
      <c r="D113" s="192">
        <f>+'Summary 2026'!F26</f>
        <v>0</v>
      </c>
      <c r="E113" s="192">
        <f>+'Summary 2026'!G26</f>
        <v>6434036000</v>
      </c>
      <c r="F113" s="192">
        <f>+'Summary 2026'!H26</f>
        <v>1608509000</v>
      </c>
      <c r="G113" s="192">
        <f>+'Summary 2026'!I26</f>
        <v>0</v>
      </c>
      <c r="H113" s="192">
        <f>+'Summary 2026'!J26</f>
        <v>0</v>
      </c>
      <c r="I113" s="192">
        <f>+'Summary 2026'!K26</f>
        <v>0</v>
      </c>
      <c r="J113" s="192">
        <f>+'Summary 2026'!L26</f>
        <v>0</v>
      </c>
      <c r="K113" s="192">
        <f>+'Summary 2026'!M26</f>
        <v>0</v>
      </c>
      <c r="L113" s="192">
        <f>+'Summary 2026'!N26</f>
        <v>0</v>
      </c>
      <c r="M113" s="192">
        <f>+'Summary 2026'!O26</f>
        <v>0</v>
      </c>
      <c r="N113" s="192">
        <f>+'Summary 2026'!P26</f>
        <v>0</v>
      </c>
      <c r="O113" s="133">
        <f t="shared" ref="O113:O118" si="52">SUM(C113:N113)</f>
        <v>8042545000</v>
      </c>
    </row>
    <row r="114" spans="1:15" s="122" customFormat="1" ht="30.75" hidden="1" customHeight="1" outlineLevel="1">
      <c r="A114" s="386"/>
      <c r="B114" s="297" t="s">
        <v>67</v>
      </c>
      <c r="C114" s="192">
        <f>+'Summary 2026'!E46</f>
        <v>0</v>
      </c>
      <c r="D114" s="192">
        <f>+'Summary 2026'!F47</f>
        <v>0</v>
      </c>
      <c r="E114" s="192">
        <f>+'Summary 2026'!G47</f>
        <v>2398674230</v>
      </c>
      <c r="F114" s="192">
        <f>+'Summary 2026'!H47</f>
        <v>3379489230</v>
      </c>
      <c r="G114" s="192">
        <f>+'Summary 2026'!I47</f>
        <v>0</v>
      </c>
      <c r="H114" s="192">
        <f>+'Summary 2026'!J47</f>
        <v>0</v>
      </c>
      <c r="I114" s="192">
        <f>+'Summary 2026'!K47</f>
        <v>0</v>
      </c>
      <c r="J114" s="192">
        <f>+'Summary 2026'!L47</f>
        <v>0</v>
      </c>
      <c r="K114" s="192">
        <f>+'Summary 2026'!M47</f>
        <v>0</v>
      </c>
      <c r="L114" s="192">
        <f>+'Summary 2026'!N47</f>
        <v>0</v>
      </c>
      <c r="M114" s="192">
        <f>+'Summary 2026'!O47</f>
        <v>0</v>
      </c>
      <c r="N114" s="192">
        <f>+'Summary 2026'!P47</f>
        <v>0</v>
      </c>
      <c r="O114" s="133">
        <f t="shared" si="52"/>
        <v>5778163460</v>
      </c>
    </row>
    <row r="115" spans="1:15" s="122" customFormat="1" ht="30.75" hidden="1" customHeight="1" outlineLevel="1">
      <c r="A115" s="386"/>
      <c r="B115" s="298" t="s">
        <v>68</v>
      </c>
      <c r="C115" s="192">
        <f>+C114-C116</f>
        <v>0</v>
      </c>
      <c r="D115" s="192">
        <f t="shared" ref="D115" si="53">+D114-D116</f>
        <v>0</v>
      </c>
      <c r="E115" s="192">
        <f t="shared" ref="E115:N115" si="54">+E114-E116</f>
        <v>2398674230</v>
      </c>
      <c r="F115" s="192">
        <f t="shared" si="54"/>
        <v>3379489230</v>
      </c>
      <c r="G115" s="192">
        <f t="shared" si="54"/>
        <v>0</v>
      </c>
      <c r="H115" s="192">
        <f t="shared" si="54"/>
        <v>0</v>
      </c>
      <c r="I115" s="192">
        <f t="shared" si="54"/>
        <v>0</v>
      </c>
      <c r="J115" s="192">
        <f t="shared" si="54"/>
        <v>0</v>
      </c>
      <c r="K115" s="192">
        <f t="shared" si="54"/>
        <v>0</v>
      </c>
      <c r="L115" s="192">
        <f t="shared" si="54"/>
        <v>0</v>
      </c>
      <c r="M115" s="192">
        <f t="shared" si="54"/>
        <v>0</v>
      </c>
      <c r="N115" s="192">
        <f t="shared" si="54"/>
        <v>0</v>
      </c>
      <c r="O115" s="133">
        <f t="shared" si="52"/>
        <v>5778163460</v>
      </c>
    </row>
    <row r="116" spans="1:15" s="122" customFormat="1" ht="30.75" hidden="1" customHeight="1" outlineLevel="1">
      <c r="A116" s="386"/>
      <c r="B116" s="299" t="s">
        <v>69</v>
      </c>
      <c r="C116" s="192"/>
      <c r="D116" s="192"/>
      <c r="E116" s="192"/>
      <c r="F116" s="192"/>
      <c r="G116" s="192"/>
      <c r="H116" s="192"/>
      <c r="I116" s="192"/>
      <c r="J116" s="192"/>
      <c r="K116" s="192"/>
      <c r="L116" s="192"/>
      <c r="M116" s="192"/>
      <c r="N116" s="192"/>
      <c r="O116" s="133">
        <f t="shared" si="52"/>
        <v>0</v>
      </c>
    </row>
    <row r="117" spans="1:15" s="122" customFormat="1" ht="30.75" hidden="1" customHeight="1" outlineLevel="1">
      <c r="A117" s="386"/>
      <c r="B117" s="204" t="s">
        <v>70</v>
      </c>
      <c r="C117" s="192"/>
      <c r="D117" s="192"/>
      <c r="E117" s="192"/>
      <c r="F117" s="192"/>
      <c r="G117" s="192"/>
      <c r="H117" s="192"/>
      <c r="I117" s="192"/>
      <c r="J117" s="192"/>
      <c r="K117" s="192"/>
      <c r="L117" s="192"/>
      <c r="M117" s="192"/>
      <c r="N117" s="192"/>
      <c r="O117" s="133">
        <f t="shared" si="52"/>
        <v>0</v>
      </c>
    </row>
    <row r="118" spans="1:15" s="122" customFormat="1" ht="30.75" hidden="1" customHeight="1" outlineLevel="1">
      <c r="A118" s="386"/>
      <c r="B118" s="204" t="s">
        <v>174</v>
      </c>
      <c r="C118" s="192"/>
      <c r="D118" s="192"/>
      <c r="E118" s="192"/>
      <c r="F118" s="192"/>
      <c r="G118" s="192"/>
      <c r="H118" s="192"/>
      <c r="I118" s="192"/>
      <c r="J118" s="192"/>
      <c r="K118" s="192"/>
      <c r="L118" s="192"/>
      <c r="M118" s="192"/>
      <c r="N118" s="192"/>
      <c r="O118" s="133">
        <f t="shared" si="52"/>
        <v>0</v>
      </c>
    </row>
    <row r="119" spans="1:15" s="122" customFormat="1" ht="30.75" customHeight="1" outlineLevel="1">
      <c r="A119" s="386" t="s">
        <v>225</v>
      </c>
      <c r="B119" s="202" t="s">
        <v>66</v>
      </c>
      <c r="C119" s="192">
        <f>+'Summary 2026'!E27</f>
        <v>0</v>
      </c>
      <c r="D119" s="192">
        <f>+'Summary 2026'!F27</f>
        <v>0</v>
      </c>
      <c r="E119" s="192">
        <f>+'Summary 2026'!G27</f>
        <v>0</v>
      </c>
      <c r="F119" s="192">
        <f>+'Summary 2026'!H27</f>
        <v>0</v>
      </c>
      <c r="G119" s="192">
        <f>+'Summary 2026'!I27</f>
        <v>0</v>
      </c>
      <c r="H119" s="192">
        <f>+'Summary 2026'!J27</f>
        <v>0</v>
      </c>
      <c r="I119" s="192">
        <f>+'Summary 2026'!K27</f>
        <v>0</v>
      </c>
      <c r="J119" s="192">
        <f>+'Summary 2026'!L27</f>
        <v>0</v>
      </c>
      <c r="K119" s="192">
        <f>+'Summary 2026'!M27</f>
        <v>0</v>
      </c>
      <c r="L119" s="192">
        <f>+'Summary 2026'!N27</f>
        <v>0</v>
      </c>
      <c r="M119" s="192">
        <f>+'Summary 2026'!O27</f>
        <v>0</v>
      </c>
      <c r="N119" s="192">
        <f>+'Summary 2026'!P27</f>
        <v>0</v>
      </c>
      <c r="O119" s="133">
        <f t="shared" ref="O119:O124" si="55">SUM(C119:N119)</f>
        <v>0</v>
      </c>
    </row>
    <row r="120" spans="1:15" s="122" customFormat="1" ht="30.75" customHeight="1" outlineLevel="1">
      <c r="A120" s="386"/>
      <c r="B120" s="297" t="s">
        <v>67</v>
      </c>
      <c r="C120" s="192">
        <f>+'Summary 2026'!E47</f>
        <v>0</v>
      </c>
      <c r="D120" s="192">
        <f>+'Summary 2026'!F48</f>
        <v>0</v>
      </c>
      <c r="E120" s="192">
        <f>+'Summary 2026'!G48</f>
        <v>0</v>
      </c>
      <c r="F120" s="192">
        <f>+'Summary 2026'!H48</f>
        <v>0</v>
      </c>
      <c r="G120" s="192">
        <f>+'Summary 2026'!I48</f>
        <v>0</v>
      </c>
      <c r="H120" s="192">
        <f>+'Summary 2026'!J48</f>
        <v>0</v>
      </c>
      <c r="I120" s="192">
        <f>+'Summary 2026'!K48</f>
        <v>0</v>
      </c>
      <c r="J120" s="192">
        <f>+'Summary 2026'!L48</f>
        <v>0</v>
      </c>
      <c r="K120" s="192">
        <f>+'Summary 2026'!M48</f>
        <v>0</v>
      </c>
      <c r="L120" s="192">
        <f>+'Summary 2026'!N48</f>
        <v>0</v>
      </c>
      <c r="M120" s="192">
        <f>+'Summary 2026'!O48</f>
        <v>0</v>
      </c>
      <c r="N120" s="192">
        <f>+'Summary 2026'!P48</f>
        <v>0</v>
      </c>
      <c r="O120" s="133">
        <f t="shared" si="55"/>
        <v>0</v>
      </c>
    </row>
    <row r="121" spans="1:15" s="122" customFormat="1" ht="30.75" customHeight="1" outlineLevel="1">
      <c r="A121" s="386"/>
      <c r="B121" s="298" t="s">
        <v>68</v>
      </c>
      <c r="C121" s="192">
        <f>+C120-C122</f>
        <v>0</v>
      </c>
      <c r="D121" s="192">
        <f t="shared" ref="D121" si="56">+D120-D122</f>
        <v>0</v>
      </c>
      <c r="E121" s="192">
        <f t="shared" ref="E121:N121" si="57">+E120-E122</f>
        <v>0</v>
      </c>
      <c r="F121" s="192">
        <f t="shared" si="57"/>
        <v>0</v>
      </c>
      <c r="G121" s="192">
        <f t="shared" si="57"/>
        <v>0</v>
      </c>
      <c r="H121" s="192">
        <f t="shared" si="57"/>
        <v>0</v>
      </c>
      <c r="I121" s="192">
        <f t="shared" si="57"/>
        <v>0</v>
      </c>
      <c r="J121" s="192">
        <f t="shared" si="57"/>
        <v>0</v>
      </c>
      <c r="K121" s="192">
        <f t="shared" si="57"/>
        <v>0</v>
      </c>
      <c r="L121" s="192">
        <f t="shared" si="57"/>
        <v>0</v>
      </c>
      <c r="M121" s="192">
        <f t="shared" si="57"/>
        <v>0</v>
      </c>
      <c r="N121" s="192">
        <f t="shared" si="57"/>
        <v>0</v>
      </c>
      <c r="O121" s="133">
        <f t="shared" si="55"/>
        <v>0</v>
      </c>
    </row>
    <row r="122" spans="1:15" s="122" customFormat="1" ht="30.75" customHeight="1" outlineLevel="1">
      <c r="A122" s="386"/>
      <c r="B122" s="299" t="s">
        <v>69</v>
      </c>
      <c r="C122" s="192"/>
      <c r="D122" s="192"/>
      <c r="E122" s="192"/>
      <c r="F122" s="192"/>
      <c r="G122" s="192"/>
      <c r="H122" s="192"/>
      <c r="I122" s="192"/>
      <c r="J122" s="192"/>
      <c r="K122" s="192"/>
      <c r="L122" s="192"/>
      <c r="M122" s="192"/>
      <c r="N122" s="192"/>
      <c r="O122" s="133">
        <f t="shared" si="55"/>
        <v>0</v>
      </c>
    </row>
    <row r="123" spans="1:15" s="122" customFormat="1" ht="30.75" customHeight="1" outlineLevel="1">
      <c r="A123" s="386"/>
      <c r="B123" s="204" t="s">
        <v>70</v>
      </c>
      <c r="C123" s="192"/>
      <c r="D123" s="192"/>
      <c r="E123" s="192"/>
      <c r="F123" s="192"/>
      <c r="G123" s="192"/>
      <c r="H123" s="192"/>
      <c r="I123" s="192"/>
      <c r="J123" s="192"/>
      <c r="K123" s="192"/>
      <c r="L123" s="192"/>
      <c r="M123" s="192"/>
      <c r="N123" s="192"/>
      <c r="O123" s="133">
        <f t="shared" si="55"/>
        <v>0</v>
      </c>
    </row>
    <row r="124" spans="1:15" s="122" customFormat="1" ht="30.75" customHeight="1" outlineLevel="1">
      <c r="A124" s="386"/>
      <c r="B124" s="204" t="s">
        <v>174</v>
      </c>
      <c r="C124" s="192"/>
      <c r="D124" s="192"/>
      <c r="E124" s="192"/>
      <c r="F124" s="192"/>
      <c r="G124" s="192"/>
      <c r="H124" s="192"/>
      <c r="I124" s="192"/>
      <c r="J124" s="192"/>
      <c r="K124" s="192"/>
      <c r="L124" s="192"/>
      <c r="M124" s="192"/>
      <c r="N124" s="192"/>
      <c r="O124" s="133">
        <f t="shared" si="55"/>
        <v>0</v>
      </c>
    </row>
    <row r="125" spans="1:15" s="122" customFormat="1" ht="30.75" customHeight="1" outlineLevel="1">
      <c r="A125" s="382" t="s">
        <v>249</v>
      </c>
      <c r="B125" s="202" t="s">
        <v>66</v>
      </c>
      <c r="C125" s="192"/>
      <c r="D125" s="192"/>
      <c r="E125" s="192"/>
      <c r="F125" s="192"/>
      <c r="G125" s="192">
        <f>+'Summary 2026'!I28</f>
        <v>1459132306</v>
      </c>
      <c r="H125" s="192">
        <f>+'Summary 2026'!J28</f>
        <v>1764255943</v>
      </c>
      <c r="I125" s="192"/>
      <c r="J125" s="192"/>
      <c r="K125" s="192"/>
      <c r="L125" s="192"/>
      <c r="M125" s="192"/>
      <c r="N125" s="192"/>
      <c r="O125" s="133"/>
    </row>
    <row r="126" spans="1:15" s="122" customFormat="1" ht="30.75" customHeight="1" outlineLevel="1">
      <c r="A126" s="382"/>
      <c r="B126" s="297" t="s">
        <v>67</v>
      </c>
      <c r="C126" s="192"/>
      <c r="D126" s="192"/>
      <c r="E126" s="192"/>
      <c r="F126" s="192"/>
      <c r="G126" s="192">
        <f>+'Summary 2026'!I49</f>
        <v>1208453376</v>
      </c>
      <c r="H126" s="192">
        <f>+'Summary 2026'!J49</f>
        <v>1461156772</v>
      </c>
      <c r="I126" s="192"/>
      <c r="J126" s="192"/>
      <c r="K126" s="192"/>
      <c r="L126" s="192"/>
      <c r="M126" s="192"/>
      <c r="N126" s="192"/>
      <c r="O126" s="133"/>
    </row>
    <row r="127" spans="1:15" s="122" customFormat="1" ht="30.75" customHeight="1" outlineLevel="1">
      <c r="A127" s="382"/>
      <c r="B127" s="298" t="s">
        <v>68</v>
      </c>
      <c r="C127" s="192"/>
      <c r="D127" s="192"/>
      <c r="E127" s="192"/>
      <c r="F127" s="192"/>
      <c r="G127" s="192">
        <f>+G126-G128</f>
        <v>1201298924</v>
      </c>
      <c r="H127" s="192">
        <f>+H126-H128</f>
        <v>1448283030</v>
      </c>
      <c r="I127" s="192"/>
      <c r="J127" s="192"/>
      <c r="K127" s="192"/>
      <c r="L127" s="192"/>
      <c r="M127" s="192"/>
      <c r="N127" s="192"/>
      <c r="O127" s="133"/>
    </row>
    <row r="128" spans="1:15" s="122" customFormat="1" ht="30.75" customHeight="1" outlineLevel="1">
      <c r="A128" s="382"/>
      <c r="B128" s="299" t="s">
        <v>69</v>
      </c>
      <c r="C128" s="192"/>
      <c r="D128" s="192"/>
      <c r="E128" s="192"/>
      <c r="F128" s="192"/>
      <c r="G128" s="192">
        <v>7154452</v>
      </c>
      <c r="H128" s="192">
        <v>12873742</v>
      </c>
      <c r="I128" s="192"/>
      <c r="J128" s="192"/>
      <c r="K128" s="192"/>
      <c r="L128" s="192"/>
      <c r="M128" s="192"/>
      <c r="N128" s="192"/>
      <c r="O128" s="133"/>
    </row>
    <row r="129" spans="1:15" s="122" customFormat="1" ht="30.75" customHeight="1" outlineLevel="1">
      <c r="A129" s="382"/>
      <c r="B129" s="204" t="s">
        <v>70</v>
      </c>
      <c r="C129" s="192"/>
      <c r="D129" s="192"/>
      <c r="E129" s="192"/>
      <c r="F129" s="192"/>
      <c r="G129" s="191">
        <f>ROUND(G$131*((G130/G$133)*50%+(G126/G$132)*50%),)</f>
        <v>20729118</v>
      </c>
      <c r="H129" s="191">
        <f>ROUND(H$131*((H130/H$133)*50%+(H126/H$132)*50%),)</f>
        <v>20538397</v>
      </c>
      <c r="I129" s="192"/>
      <c r="J129" s="192"/>
      <c r="K129" s="192"/>
      <c r="L129" s="192"/>
      <c r="M129" s="192"/>
      <c r="N129" s="192"/>
      <c r="O129" s="133"/>
    </row>
    <row r="130" spans="1:15" s="122" customFormat="1" ht="30.75" customHeight="1" outlineLevel="1">
      <c r="A130" s="382"/>
      <c r="B130" s="204" t="s">
        <v>174</v>
      </c>
      <c r="C130" s="192"/>
      <c r="D130" s="192"/>
      <c r="E130" s="192"/>
      <c r="F130" s="192"/>
      <c r="G130" s="192">
        <v>0</v>
      </c>
      <c r="H130" s="192">
        <v>0</v>
      </c>
      <c r="I130" s="192"/>
      <c r="J130" s="192"/>
      <c r="K130" s="192"/>
      <c r="L130" s="192"/>
      <c r="M130" s="192"/>
      <c r="N130" s="192"/>
      <c r="O130" s="133"/>
    </row>
    <row r="131" spans="1:15" s="122" customFormat="1" ht="28.5">
      <c r="A131" s="137" t="s">
        <v>70</v>
      </c>
      <c r="B131" s="138"/>
      <c r="C131" s="197">
        <v>3708430107</v>
      </c>
      <c r="D131" s="197">
        <v>4025847656</v>
      </c>
      <c r="E131" s="197">
        <v>3892657231</v>
      </c>
      <c r="F131" s="197">
        <v>4203999569</v>
      </c>
      <c r="G131" s="197">
        <v>6058390758</v>
      </c>
      <c r="H131" s="197">
        <v>4674394046</v>
      </c>
      <c r="I131" s="197"/>
      <c r="J131" s="197"/>
      <c r="K131" s="197"/>
      <c r="L131" s="197"/>
      <c r="M131" s="197"/>
      <c r="N131" s="197"/>
      <c r="O131" s="214">
        <f>SUM(C131:N131)</f>
        <v>26563719367</v>
      </c>
    </row>
    <row r="132" spans="1:15" s="122" customFormat="1" ht="32.25" customHeight="1">
      <c r="A132" s="137" t="s">
        <v>159</v>
      </c>
      <c r="B132" s="138"/>
      <c r="C132" s="197">
        <f>+C12+C42+C60+C66+C72+C78+C96</f>
        <v>6600538008</v>
      </c>
      <c r="D132" s="197">
        <f>+D12+D42+D60+D66+D72+D78+D96</f>
        <v>102828922764</v>
      </c>
      <c r="E132" s="197">
        <f>+E12+E42+E60+E66+E72+E78+E96</f>
        <v>55565602846</v>
      </c>
      <c r="F132" s="197">
        <f>+F12+F42+F60+F66+F72+F78+F96</f>
        <v>114819011514</v>
      </c>
      <c r="G132" s="197">
        <f>+G12+G42+G60+G66+G72+G78+G96+G126</f>
        <v>176594172151</v>
      </c>
      <c r="H132" s="197">
        <f t="shared" ref="H132:N132" si="58">+H12+H42+H60+H66+H72+H78+H96+H126</f>
        <v>166274476911</v>
      </c>
      <c r="I132" s="197">
        <f t="shared" si="58"/>
        <v>0</v>
      </c>
      <c r="J132" s="197">
        <f t="shared" si="58"/>
        <v>0</v>
      </c>
      <c r="K132" s="197">
        <f t="shared" si="58"/>
        <v>0</v>
      </c>
      <c r="L132" s="197">
        <f t="shared" si="58"/>
        <v>0</v>
      </c>
      <c r="M132" s="197">
        <f t="shared" si="58"/>
        <v>0</v>
      </c>
      <c r="N132" s="197">
        <f t="shared" si="58"/>
        <v>0</v>
      </c>
      <c r="O132" s="214">
        <f>SUM(C132:N132)</f>
        <v>622682724194</v>
      </c>
    </row>
    <row r="133" spans="1:15" s="122" customFormat="1" ht="57">
      <c r="A133" s="137" t="s">
        <v>154</v>
      </c>
      <c r="B133" s="138"/>
      <c r="C133" s="197">
        <f>+C16+C46+C64+C70+C76+C82+C100</f>
        <v>9</v>
      </c>
      <c r="D133" s="197">
        <f>+D16+D46+D64+D70+D76+D82+D100</f>
        <v>10</v>
      </c>
      <c r="E133" s="197">
        <f>+E16+E46+E64+E70+E76+E82+E100</f>
        <v>10</v>
      </c>
      <c r="F133" s="197">
        <f>+F16+F46+F64+F70+F76+F82+F100</f>
        <v>10</v>
      </c>
      <c r="G133" s="197">
        <f>+G16+G46+G64+G70+G76+G82+G100+G130</f>
        <v>10</v>
      </c>
      <c r="H133" s="197">
        <f t="shared" ref="H133:N133" si="59">+H16+H46+H64+H70+H76+H82+H100+H130</f>
        <v>10</v>
      </c>
      <c r="I133" s="197">
        <f t="shared" si="59"/>
        <v>10</v>
      </c>
      <c r="J133" s="197">
        <f t="shared" si="59"/>
        <v>10</v>
      </c>
      <c r="K133" s="197">
        <f t="shared" si="59"/>
        <v>10</v>
      </c>
      <c r="L133" s="197">
        <f t="shared" si="59"/>
        <v>10</v>
      </c>
      <c r="M133" s="197">
        <f t="shared" si="59"/>
        <v>10</v>
      </c>
      <c r="N133" s="197">
        <f t="shared" si="59"/>
        <v>10</v>
      </c>
      <c r="O133" s="214">
        <f>SUM(C133:N133)/12</f>
        <v>9.9166666666666661</v>
      </c>
    </row>
    <row r="134" spans="1:15" s="122" customFormat="1">
      <c r="A134" s="137" t="s">
        <v>77</v>
      </c>
      <c r="B134" s="138"/>
      <c r="C134" s="198">
        <v>25993000</v>
      </c>
      <c r="D134" s="198">
        <v>26090000</v>
      </c>
      <c r="E134" s="198">
        <v>26366000</v>
      </c>
      <c r="F134" s="198">
        <v>26359000</v>
      </c>
      <c r="G134" s="198">
        <f>+'Summary 2026'!W55</f>
        <v>26325000</v>
      </c>
      <c r="H134" s="198">
        <v>26305000</v>
      </c>
      <c r="I134" s="198">
        <v>26090005</v>
      </c>
      <c r="J134" s="198">
        <v>26090006</v>
      </c>
      <c r="K134" s="198">
        <v>26090007</v>
      </c>
      <c r="L134" s="198">
        <v>26090008</v>
      </c>
      <c r="M134" s="198">
        <v>26090009</v>
      </c>
      <c r="N134" s="198">
        <v>26090010</v>
      </c>
      <c r="O134" s="139"/>
    </row>
    <row r="135" spans="1:15" s="122" customFormat="1"/>
    <row r="136" spans="1:15" s="140" customFormat="1" ht="10.5">
      <c r="C136" s="140">
        <f>+C9+C15+C21-C131+C69+C63+C75+C81+C99+C45</f>
        <v>0</v>
      </c>
      <c r="D136" s="140">
        <f>+D9+D15+D21-D131+D69+D63+D75+D81+D99+D45</f>
        <v>0</v>
      </c>
      <c r="E136" s="140">
        <f>+E9+E15+E21-E131+E69+E63+E75+E81+E99+E45</f>
        <v>0</v>
      </c>
      <c r="F136" s="140">
        <f>+F9+F15+F21-F131+F69+F63+F75+F81+F99+F45</f>
        <v>1</v>
      </c>
      <c r="G136" s="140">
        <f>+G9+G15+G21-G131+G69+G63+G75+G81+G99+G45+G129</f>
        <v>1</v>
      </c>
      <c r="H136" s="140">
        <f>+H9+H15+H21-H131+H69+H63+H75+H81+H99+H45+H129</f>
        <v>0</v>
      </c>
      <c r="I136" s="140" t="e">
        <f t="shared" ref="I136:O136" si="60">+I9+I15+I21-I131+I69+I63+I75+I81+I99+I45+I129</f>
        <v>#DIV/0!</v>
      </c>
      <c r="J136" s="140" t="e">
        <f t="shared" si="60"/>
        <v>#DIV/0!</v>
      </c>
      <c r="K136" s="140" t="e">
        <f t="shared" si="60"/>
        <v>#DIV/0!</v>
      </c>
      <c r="L136" s="140" t="e">
        <f t="shared" si="60"/>
        <v>#DIV/0!</v>
      </c>
      <c r="M136" s="140" t="e">
        <f t="shared" si="60"/>
        <v>#DIV/0!</v>
      </c>
      <c r="N136" s="140" t="e">
        <f t="shared" si="60"/>
        <v>#DIV/0!</v>
      </c>
      <c r="O136" s="140" t="e">
        <f t="shared" si="60"/>
        <v>#DIV/0!</v>
      </c>
    </row>
    <row r="137" spans="1:15" s="122" customFormat="1"/>
    <row r="138" spans="1:15" s="122" customFormat="1">
      <c r="B138" s="144" t="s">
        <v>163</v>
      </c>
      <c r="C138" s="141">
        <f>+C12+C6+C18+C24+C30+C36+C42+C48+C54+C60+C66+C72+C78+C84+C90+C96+C102+C108+C114+C120</f>
        <v>31316855202</v>
      </c>
      <c r="D138" s="141">
        <f>+D12+D6+D18+D24+D30+D36+D42+D48+D54+D60+D66+D72+D78+D84+D90+D96+D102+D108+D114+D120</f>
        <v>111444592305</v>
      </c>
      <c r="E138" s="141">
        <f>+E12+E6+E18+E24+E30+E36+E42+E48+E54+E60+E66+E72+E78+E84+E90+E96+E102+E108+E114+E120</f>
        <v>64158202207</v>
      </c>
      <c r="F138" s="141">
        <f>+F12+F6+F18+F24+F30+F36+F42+F48+F54+F60+F66+F72+F78+F84+F90+F96+F102+F108+F114+F120</f>
        <v>118648038573</v>
      </c>
      <c r="G138" s="141">
        <f>+G12+G6+G18+G24+G30+G36+G42+G48+G54+G60+G66+G72+G78+G84+G90+G96+G102+G108+G114+G120+G126</f>
        <v>178507512364</v>
      </c>
      <c r="H138" s="141">
        <f t="shared" ref="H138:O138" si="61">+H12+H6+H18+H24+H30+H36+H42+H48+H54+H60+H66+H72+H78+H84+H90+H96+H102+H108+H114+H120+H126</f>
        <v>166274476911</v>
      </c>
      <c r="I138" s="141">
        <f t="shared" si="61"/>
        <v>0</v>
      </c>
      <c r="J138" s="141">
        <f t="shared" si="61"/>
        <v>0</v>
      </c>
      <c r="K138" s="141">
        <f t="shared" si="61"/>
        <v>0</v>
      </c>
      <c r="L138" s="141">
        <f t="shared" si="61"/>
        <v>0</v>
      </c>
      <c r="M138" s="141">
        <f t="shared" si="61"/>
        <v>0</v>
      </c>
      <c r="N138" s="141">
        <f t="shared" si="61"/>
        <v>0</v>
      </c>
      <c r="O138" s="141">
        <f t="shared" si="61"/>
        <v>667680067414</v>
      </c>
    </row>
    <row r="139" spans="1:15" s="122" customFormat="1">
      <c r="B139" s="144" t="s">
        <v>132</v>
      </c>
      <c r="C139" s="141">
        <f>+C11+C5+C17+C23+C29+C35+C41+C47+C53+C59+C65+C71+C77+C83+C89+C95+C101+C107+C113+C119</f>
        <v>61352023012</v>
      </c>
      <c r="D139" s="141">
        <f>+D11+D5+D17+D23+D29+D35+D41+D47+D53+D59+D65+D71+D77+D83+D89+D95+D101+D107+D113+D119</f>
        <v>146586099975</v>
      </c>
      <c r="E139" s="141">
        <f>+E11+E5+E17+E23+E29+E35+E41+E47+E53+E59+E65+E71+E77+E83+E89+E95+E101+E107+E113+E119</f>
        <v>90817850714</v>
      </c>
      <c r="F139" s="141">
        <f>+F11+F5+F17+F23+F29+F35+F41+F47+F53+F59+F65+F71+F77+F83+F89+F95+F101+F107+F113+F119</f>
        <v>138006342444</v>
      </c>
      <c r="G139" s="141">
        <f>+G11+G5+G17+G23+G29+G35+G41+G47+G53+G59+G65+G71+G77+G83+G89+G95+G101+G107+G113+G119+G125</f>
        <v>211247592323</v>
      </c>
      <c r="H139" s="141">
        <f t="shared" ref="H139:O139" si="62">+H11+H5+H17+H23+H29+H35+H41+H47+H53+H59+H65+H71+H77+H83+H89+H95+H101+H107+H113+H119+H125</f>
        <v>196741611577</v>
      </c>
      <c r="I139" s="141">
        <f t="shared" si="62"/>
        <v>0</v>
      </c>
      <c r="J139" s="141">
        <f t="shared" si="62"/>
        <v>0</v>
      </c>
      <c r="K139" s="141">
        <f t="shared" si="62"/>
        <v>0</v>
      </c>
      <c r="L139" s="141">
        <f t="shared" si="62"/>
        <v>0</v>
      </c>
      <c r="M139" s="141">
        <f t="shared" si="62"/>
        <v>0</v>
      </c>
      <c r="N139" s="141">
        <f t="shared" si="62"/>
        <v>0</v>
      </c>
      <c r="O139" s="141">
        <f t="shared" si="62"/>
        <v>841528131796</v>
      </c>
    </row>
    <row r="140" spans="1:15" s="122" customFormat="1">
      <c r="C140" s="142"/>
      <c r="D140" s="142"/>
      <c r="E140" s="142"/>
      <c r="F140" s="142"/>
      <c r="G140" s="142"/>
      <c r="H140" s="142"/>
      <c r="I140" s="142"/>
      <c r="J140" s="142"/>
      <c r="K140" s="142"/>
      <c r="L140" s="142"/>
      <c r="M140" s="142"/>
      <c r="N140" s="142"/>
      <c r="O140" s="142"/>
    </row>
    <row r="141" spans="1:15" s="122" customFormat="1">
      <c r="C141" s="142">
        <f>+C13+C7+C19+C25+C31+C37+C43+C49+C55+C61+C67+C73+C79+C85+C91+C97+C103+C109+C115+C121</f>
        <v>30833454892</v>
      </c>
      <c r="D141" s="142">
        <f>+D13+D7+D19+D25+D31+D37+D43+D49+D55+D61+D67+D73+D79+D85+D91+D97+D103+D109+D115+D121</f>
        <v>110264198136</v>
      </c>
      <c r="E141" s="142">
        <f>+E13+E7+E19+E25+E31+E37+E43+E49+E55+E61+E67+E73+E79+E85+E91+E97+E103+E109+E115+E121</f>
        <v>63039345607</v>
      </c>
      <c r="F141" s="142">
        <f>+F13+F7+F19+F25+F31+F37+F43+F49+F55+F61+F67+F73+F79+F85+F91+F97+F103+F109+F115+F121</f>
        <v>117447745775</v>
      </c>
      <c r="G141" s="142">
        <f>+G13+G7+G19+G25+G31+G37+G43+G49+G55+G61+G67+G73+G79+G85+G91+G97+G103+G109+G115+G121+G127</f>
        <v>175890005490</v>
      </c>
      <c r="H141" s="142">
        <f t="shared" ref="H141:O141" si="63">+H13+H7+H19+H25+H31+H37+H43+H49+H55+H61+H67+H73+H79+H85+H91+H97+H103+H109+H115+H121+H127</f>
        <v>164818518104</v>
      </c>
      <c r="I141" s="142">
        <f t="shared" si="63"/>
        <v>0</v>
      </c>
      <c r="J141" s="142">
        <f t="shared" si="63"/>
        <v>0</v>
      </c>
      <c r="K141" s="142">
        <f t="shared" si="63"/>
        <v>0</v>
      </c>
      <c r="L141" s="142">
        <f t="shared" si="63"/>
        <v>0</v>
      </c>
      <c r="M141" s="142">
        <f t="shared" si="63"/>
        <v>0</v>
      </c>
      <c r="N141" s="142">
        <f t="shared" si="63"/>
        <v>0</v>
      </c>
      <c r="O141" s="142">
        <f t="shared" si="63"/>
        <v>659643686050</v>
      </c>
    </row>
    <row r="142" spans="1:15" s="122" customFormat="1">
      <c r="C142" s="266">
        <f>+C8+C14+C20+C26+C32+C38+C44+C50+C56+C62+C68+C74+C80+C86+C92+C98+C104+C110+C116+C122+C131</f>
        <v>4191830417</v>
      </c>
      <c r="D142" s="266">
        <f>+D8+D14+D20+D26+D32+D38+D44+D50+D56+D62+D68+D74+D80+D86+D92+D98+D104+D110+D116+D122+D131</f>
        <v>5206241825</v>
      </c>
      <c r="E142" s="266">
        <f>+E8+E14+E20+E26+E32+E38+E44+E50+E56+E62+E68+E74+E80+E86+E92+E98+E104+E110+E116+E122+E131</f>
        <v>5011513831</v>
      </c>
      <c r="F142" s="266">
        <f>+F8+F14+F20+F26+F32+F38+F44+F50+F56+F62+F68+F74+F80+F86+F92+F98+F104+F110+F116+F122+F131</f>
        <v>5404292367</v>
      </c>
      <c r="G142" s="266">
        <f>+G8+G14+G20+G26+G32+G38+G44+G50+G56+G62+G68+G74+G80+G86+G92+G98+G104+G110+G116+G122+G131+G128</f>
        <v>8675897632</v>
      </c>
      <c r="H142" s="266">
        <f t="shared" ref="H142:O142" si="64">+H8+H14+H20+H26+H32+H38+H44+H50+H56+H62+H68+H74+H80+H86+H92+H98+H104+H110+H116+H122+H131+H128</f>
        <v>6130352853</v>
      </c>
      <c r="I142" s="266">
        <f t="shared" si="64"/>
        <v>0</v>
      </c>
      <c r="J142" s="266">
        <f t="shared" si="64"/>
        <v>0</v>
      </c>
      <c r="K142" s="266">
        <f t="shared" si="64"/>
        <v>0</v>
      </c>
      <c r="L142" s="266">
        <f t="shared" si="64"/>
        <v>0</v>
      </c>
      <c r="M142" s="266">
        <f t="shared" si="64"/>
        <v>0</v>
      </c>
      <c r="N142" s="266">
        <f t="shared" si="64"/>
        <v>0</v>
      </c>
      <c r="O142" s="266">
        <f t="shared" si="64"/>
        <v>34600100731</v>
      </c>
    </row>
    <row r="143" spans="1:15" s="143" customFormat="1" ht="10.5">
      <c r="C143" s="143">
        <f t="shared" ref="C143" si="65">C131/C142</f>
        <v>0.88468037541796385</v>
      </c>
      <c r="D143" s="143">
        <f>D131/D142</f>
        <v>0.77327327299092563</v>
      </c>
      <c r="E143" s="143">
        <f>E131/E142</f>
        <v>0.77674278915903083</v>
      </c>
      <c r="F143" s="143">
        <f t="shared" ref="F143:G143" si="66">F131/F142</f>
        <v>0.77790009931192905</v>
      </c>
      <c r="G143" s="143">
        <f t="shared" si="66"/>
        <v>0.69830131877701718</v>
      </c>
      <c r="H143" s="143">
        <f t="shared" ref="H143:O143" si="67">H131/H142</f>
        <v>0.76249999928022083</v>
      </c>
      <c r="I143" s="143" t="e">
        <f t="shared" si="67"/>
        <v>#DIV/0!</v>
      </c>
      <c r="J143" s="143" t="e">
        <f t="shared" si="67"/>
        <v>#DIV/0!</v>
      </c>
      <c r="K143" s="143" t="e">
        <f t="shared" si="67"/>
        <v>#DIV/0!</v>
      </c>
      <c r="L143" s="143" t="e">
        <f t="shared" si="67"/>
        <v>#DIV/0!</v>
      </c>
      <c r="M143" s="143" t="e">
        <f t="shared" si="67"/>
        <v>#DIV/0!</v>
      </c>
      <c r="N143" s="143" t="e">
        <f t="shared" si="67"/>
        <v>#DIV/0!</v>
      </c>
      <c r="O143" s="143">
        <f t="shared" si="67"/>
        <v>0.76773531885126001</v>
      </c>
    </row>
    <row r="144" spans="1:15" s="122" customFormat="1">
      <c r="C144" s="218"/>
      <c r="D144" s="218"/>
      <c r="E144" s="218"/>
      <c r="F144" s="218"/>
      <c r="G144" s="218"/>
      <c r="H144" s="218"/>
      <c r="I144" s="218"/>
      <c r="J144" s="218"/>
      <c r="K144" s="218"/>
      <c r="L144" s="218"/>
      <c r="M144" s="218"/>
      <c r="N144" s="218"/>
      <c r="O144" s="141"/>
    </row>
    <row r="145" spans="3:14" s="122" customFormat="1">
      <c r="C145" s="218"/>
      <c r="D145" s="218"/>
      <c r="E145" s="218"/>
      <c r="F145" s="218"/>
      <c r="G145" s="218"/>
      <c r="H145" s="218"/>
      <c r="I145" s="218"/>
      <c r="J145" s="218"/>
      <c r="K145" s="218"/>
      <c r="L145" s="218"/>
      <c r="M145" s="218"/>
      <c r="N145" s="266"/>
    </row>
    <row r="146" spans="3:14" s="122" customFormat="1">
      <c r="J146" s="141"/>
      <c r="K146" s="141"/>
      <c r="L146" s="340"/>
      <c r="N146" s="302"/>
    </row>
    <row r="147" spans="3:14" s="122" customFormat="1">
      <c r="K147" s="141"/>
      <c r="N147" s="218"/>
    </row>
    <row r="148" spans="3:14" s="122" customFormat="1"/>
    <row r="149" spans="3:14" s="122" customFormat="1">
      <c r="F149" s="286"/>
    </row>
    <row r="150" spans="3:14" s="122" customFormat="1"/>
    <row r="151" spans="3:14" s="122" customFormat="1"/>
    <row r="152" spans="3:14" s="122" customFormat="1"/>
    <row r="153" spans="3:14" s="122" customFormat="1"/>
    <row r="154" spans="3:14" s="122" customFormat="1"/>
    <row r="155" spans="3:14" s="122" customFormat="1"/>
    <row r="156" spans="3:14" s="122" customFormat="1"/>
    <row r="157" spans="3:14" s="122" customFormat="1"/>
    <row r="158" spans="3:14" s="122" customFormat="1"/>
    <row r="159" spans="3:14" s="122" customFormat="1"/>
    <row r="160" spans="3:14" s="122" customFormat="1"/>
    <row r="161" s="122" customFormat="1"/>
    <row r="162" s="122" customFormat="1"/>
    <row r="163" s="122" customFormat="1"/>
    <row r="164" s="122" customFormat="1"/>
    <row r="165" s="122" customFormat="1"/>
    <row r="166" s="122" customFormat="1"/>
    <row r="167" s="122" customFormat="1"/>
    <row r="168" s="122" customFormat="1"/>
    <row r="169" s="122" customFormat="1"/>
  </sheetData>
  <autoFilter ref="A4:C134" xr:uid="{00000000-0009-0000-0000-000001000000}"/>
  <mergeCells count="23">
    <mergeCell ref="A5:A10"/>
    <mergeCell ref="A77:A82"/>
    <mergeCell ref="A17:A22"/>
    <mergeCell ref="A71:A76"/>
    <mergeCell ref="A101:A106"/>
    <mergeCell ref="A89:A94"/>
    <mergeCell ref="A95:A100"/>
    <mergeCell ref="A125:A130"/>
    <mergeCell ref="C3:O3"/>
    <mergeCell ref="A113:A118"/>
    <mergeCell ref="A119:A124"/>
    <mergeCell ref="A107:A112"/>
    <mergeCell ref="A65:A70"/>
    <mergeCell ref="A59:A64"/>
    <mergeCell ref="A41:A46"/>
    <mergeCell ref="A47:A52"/>
    <mergeCell ref="A53:A58"/>
    <mergeCell ref="A23:A28"/>
    <mergeCell ref="A35:A40"/>
    <mergeCell ref="A29:A34"/>
    <mergeCell ref="A11:A16"/>
    <mergeCell ref="A3:B3"/>
    <mergeCell ref="A83:A88"/>
  </mergeCells>
  <phoneticPr fontId="110" type="noConversion"/>
  <printOptions horizontalCentered="1"/>
  <pageMargins left="0.31496062992125984" right="0.31496062992125984" top="0.35433070866141736" bottom="0.15748031496062992" header="0.31496062992125984" footer="0.31496062992125984"/>
  <pageSetup paperSize="8" scale="44"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D6D"/>
    <pageSetUpPr fitToPage="1"/>
  </sheetPr>
  <dimension ref="A1:O138"/>
  <sheetViews>
    <sheetView zoomScale="58" workbookViewId="0"/>
  </sheetViews>
  <sheetFormatPr defaultColWidth="9.33203125" defaultRowHeight="14.25" outlineLevelRow="1"/>
  <cols>
    <col min="1" max="1" width="17.5" style="144" customWidth="1"/>
    <col min="2" max="2" width="21" style="144" customWidth="1"/>
    <col min="3" max="15" width="16.5" style="144" customWidth="1"/>
    <col min="16" max="16384" width="9.33203125" style="144"/>
  </cols>
  <sheetData>
    <row r="1" spans="1:15" ht="30" customHeight="1">
      <c r="A1" s="145" t="s">
        <v>51</v>
      </c>
    </row>
    <row r="3" spans="1:15" ht="39.75" customHeight="1">
      <c r="A3" s="399" t="s">
        <v>52</v>
      </c>
      <c r="B3" s="400"/>
      <c r="C3" s="383" t="s">
        <v>223</v>
      </c>
      <c r="D3" s="384"/>
      <c r="E3" s="384"/>
      <c r="F3" s="384"/>
      <c r="G3" s="384"/>
      <c r="H3" s="384"/>
      <c r="I3" s="384"/>
      <c r="J3" s="384"/>
      <c r="K3" s="384"/>
      <c r="L3" s="384"/>
      <c r="M3" s="384"/>
      <c r="N3" s="384"/>
      <c r="O3" s="385"/>
    </row>
    <row r="4" spans="1:15" ht="19.5" customHeight="1">
      <c r="A4" s="401"/>
      <c r="B4" s="402"/>
      <c r="C4" s="124" t="s">
        <v>53</v>
      </c>
      <c r="D4" s="125" t="s">
        <v>54</v>
      </c>
      <c r="E4" s="125" t="s">
        <v>55</v>
      </c>
      <c r="F4" s="125" t="s">
        <v>56</v>
      </c>
      <c r="G4" s="125" t="s">
        <v>57</v>
      </c>
      <c r="H4" s="125" t="s">
        <v>58</v>
      </c>
      <c r="I4" s="125" t="s">
        <v>59</v>
      </c>
      <c r="J4" s="125" t="s">
        <v>60</v>
      </c>
      <c r="K4" s="125" t="s">
        <v>61</v>
      </c>
      <c r="L4" s="125" t="s">
        <v>62</v>
      </c>
      <c r="M4" s="125" t="s">
        <v>63</v>
      </c>
      <c r="N4" s="125" t="s">
        <v>64</v>
      </c>
      <c r="O4" s="123" t="s">
        <v>65</v>
      </c>
    </row>
    <row r="5" spans="1:15" ht="28.5" outlineLevel="1">
      <c r="A5" s="387" t="s">
        <v>79</v>
      </c>
      <c r="B5" s="202" t="s">
        <v>66</v>
      </c>
      <c r="C5" s="193">
        <f>+'원가이체, 판관비 배부현황(VND)'!C5/C$128</f>
        <v>61.309852652637247</v>
      </c>
      <c r="D5" s="193">
        <f>+'원가이체, 판관비 배부현황(VND)'!D5/D$128</f>
        <v>61.081908777309316</v>
      </c>
      <c r="E5" s="193">
        <f>+'원가이체, 판관비 배부현황(VND)'!E5/E$128</f>
        <v>81.296966396116204</v>
      </c>
      <c r="F5" s="193">
        <f>+'원가이체, 판관비 배부현황(VND)'!F5/F$128</f>
        <v>0</v>
      </c>
      <c r="G5" s="193">
        <f>+'원가이체, 판관비 배부현황(VND)'!G5/G$128</f>
        <v>0</v>
      </c>
      <c r="H5" s="193">
        <f>+'원가이체, 판관비 배부현황(VND)'!H5/H$128</f>
        <v>0</v>
      </c>
      <c r="I5" s="193">
        <f>+'원가이체, 판관비 배부현황(VND)'!I5/I$128</f>
        <v>0</v>
      </c>
      <c r="J5" s="193">
        <f>+'원가이체, 판관비 배부현황(VND)'!J5/J$128</f>
        <v>0</v>
      </c>
      <c r="K5" s="193">
        <f>+'원가이체, 판관비 배부현황(VND)'!K5/K$128</f>
        <v>0</v>
      </c>
      <c r="L5" s="193">
        <f>+'원가이체, 판관비 배부현황(VND)'!L5/L$128</f>
        <v>0</v>
      </c>
      <c r="M5" s="193">
        <f>+'원가이체, 판관비 배부현황(VND)'!M5/M$128</f>
        <v>0</v>
      </c>
      <c r="N5" s="193">
        <f>+'원가이체, 판관비 배부현황(VND)'!N5/N$128</f>
        <v>0</v>
      </c>
      <c r="O5" s="134">
        <f>SUM(C5:N5)</f>
        <v>203.68872782606277</v>
      </c>
    </row>
    <row r="6" spans="1:15" ht="28.5" outlineLevel="1">
      <c r="A6" s="388"/>
      <c r="B6" s="199" t="s">
        <v>67</v>
      </c>
      <c r="C6" s="193">
        <f>+'원가이체, 판관비 배부현황(VND)'!C6/C$128</f>
        <v>29.43139460624014</v>
      </c>
      <c r="D6" s="193">
        <f>+'원가이체, 판관비 배부현황(VND)'!D6/D$128</f>
        <v>40.938159908010732</v>
      </c>
      <c r="E6" s="193">
        <f>+'원가이체, 판관비 배부현황(VND)'!E6/E$128</f>
        <v>64.496037131153756</v>
      </c>
      <c r="F6" s="193">
        <f>+'원가이체, 판관비 배부현황(VND)'!F6/F$128</f>
        <v>12.530512879851285</v>
      </c>
      <c r="G6" s="193">
        <f>+'원가이체, 판관비 배부현황(VND)'!G6/G$128</f>
        <v>0</v>
      </c>
      <c r="H6" s="193">
        <f>+'원가이체, 판관비 배부현황(VND)'!H6/H$128</f>
        <v>0</v>
      </c>
      <c r="I6" s="193">
        <f>+'원가이체, 판관비 배부현황(VND)'!I6/I$128</f>
        <v>0</v>
      </c>
      <c r="J6" s="193">
        <f>+'원가이체, 판관비 배부현황(VND)'!J6/J$128</f>
        <v>0</v>
      </c>
      <c r="K6" s="193">
        <f>+'원가이체, 판관비 배부현황(VND)'!K6/K$128</f>
        <v>0</v>
      </c>
      <c r="L6" s="193">
        <f>+'원가이체, 판관비 배부현황(VND)'!L6/L$128</f>
        <v>0</v>
      </c>
      <c r="M6" s="193">
        <f>+'원가이체, 판관비 배부현황(VND)'!M6/M$128</f>
        <v>0</v>
      </c>
      <c r="N6" s="193">
        <f>+'원가이체, 판관비 배부현황(VND)'!N6/N$128</f>
        <v>0</v>
      </c>
      <c r="O6" s="135">
        <f t="shared" ref="O6:O10" si="0">SUM(C6:N6)</f>
        <v>147.39610452525588</v>
      </c>
    </row>
    <row r="7" spans="1:15" ht="28.5" outlineLevel="1">
      <c r="A7" s="388"/>
      <c r="B7" s="202" t="s">
        <v>68</v>
      </c>
      <c r="C7" s="205">
        <f>+'원가이체, 판관비 배부현황(VND)'!C7/C$128</f>
        <v>32.229416150502061</v>
      </c>
      <c r="D7" s="205">
        <f>+'원가이체, 판관비 배부현황(VND)'!D7/D$128</f>
        <v>40.938159908010732</v>
      </c>
      <c r="E7" s="205">
        <f>+'원가이체, 판관비 배부현황(VND)'!E7/E$128</f>
        <v>64.496037131153756</v>
      </c>
      <c r="F7" s="205">
        <f>+'원가이체, 판관비 배부현황(VND)'!F7/F$128</f>
        <v>12.530512879851285</v>
      </c>
      <c r="G7" s="205">
        <f>+'원가이체, 판관비 배부현황(VND)'!G7/G$128</f>
        <v>0</v>
      </c>
      <c r="H7" s="205">
        <f>+'원가이체, 판관비 배부현황(VND)'!H7/H$128</f>
        <v>0</v>
      </c>
      <c r="I7" s="205">
        <f>+'원가이체, 판관비 배부현황(VND)'!I7/I$128</f>
        <v>0</v>
      </c>
      <c r="J7" s="205">
        <f>+'원가이체, 판관비 배부현황(VND)'!J7/J$128</f>
        <v>0</v>
      </c>
      <c r="K7" s="205">
        <f>+'원가이체, 판관비 배부현황(VND)'!K7/K$128</f>
        <v>0</v>
      </c>
      <c r="L7" s="205">
        <f>+'원가이체, 판관비 배부현황(VND)'!L7/L$128</f>
        <v>0</v>
      </c>
      <c r="M7" s="205">
        <f>+'원가이체, 판관비 배부현황(VND)'!M7/M$128</f>
        <v>0</v>
      </c>
      <c r="N7" s="205">
        <f>+'원가이체, 판관비 배부현황(VND)'!N7/N$128</f>
        <v>0</v>
      </c>
      <c r="O7" s="129">
        <f t="shared" si="0"/>
        <v>150.19412606951781</v>
      </c>
    </row>
    <row r="8" spans="1:15" ht="28.5" outlineLevel="1">
      <c r="A8" s="388"/>
      <c r="B8" s="203" t="s">
        <v>69</v>
      </c>
      <c r="C8" s="205">
        <f>+'원가이체, 판관비 배부현황(VND)'!C8/C$128</f>
        <v>-2.7980215442619167</v>
      </c>
      <c r="D8" s="205">
        <f>+'원가이체, 판관비 배부현황(VND)'!D8/D$128</f>
        <v>0</v>
      </c>
      <c r="E8" s="205">
        <f>+'원가이체, 판관비 배부현황(VND)'!E8/E$128</f>
        <v>0</v>
      </c>
      <c r="F8" s="205">
        <f>+'원가이체, 판관비 배부현황(VND)'!F8/F$128</f>
        <v>0</v>
      </c>
      <c r="G8" s="205">
        <f>+'원가이체, 판관비 배부현황(VND)'!G8/G$128</f>
        <v>0</v>
      </c>
      <c r="H8" s="205">
        <f>+'원가이체, 판관비 배부현황(VND)'!H8/H$128</f>
        <v>0</v>
      </c>
      <c r="I8" s="205">
        <f>+'원가이체, 판관비 배부현황(VND)'!I8/I$128</f>
        <v>0</v>
      </c>
      <c r="J8" s="205">
        <f>+'원가이체, 판관비 배부현황(VND)'!J8/J$128</f>
        <v>0</v>
      </c>
      <c r="K8" s="205">
        <f>+'원가이체, 판관비 배부현황(VND)'!K8/K$128</f>
        <v>0</v>
      </c>
      <c r="L8" s="205">
        <f>+'원가이체, 판관비 배부현황(VND)'!L8/L$128</f>
        <v>0</v>
      </c>
      <c r="M8" s="205">
        <f>+'원가이체, 판관비 배부현황(VND)'!M8/M$128</f>
        <v>0</v>
      </c>
      <c r="N8" s="205">
        <f>+'원가이체, 판관비 배부현황(VND)'!N8/N$128</f>
        <v>0</v>
      </c>
      <c r="O8" s="131">
        <f t="shared" si="0"/>
        <v>-2.7980215442619167</v>
      </c>
    </row>
    <row r="9" spans="1:15" ht="28.5" outlineLevel="1">
      <c r="A9" s="388"/>
      <c r="B9" s="204" t="s">
        <v>70</v>
      </c>
      <c r="C9" s="191">
        <f>+'원가이체, 판관비 배부현황(VND)'!C9/C$128</f>
        <v>0</v>
      </c>
      <c r="D9" s="191">
        <f>+'원가이체, 판관비 배부현황(VND)'!D9/D$128</f>
        <v>0</v>
      </c>
      <c r="E9" s="191">
        <f>+'원가이체, 판관비 배부현황(VND)'!E9/E$128</f>
        <v>0</v>
      </c>
      <c r="F9" s="191">
        <f>+'원가이체, 판관비 배부현황(VND)'!F9/F$128</f>
        <v>0</v>
      </c>
      <c r="G9" s="191">
        <f>+'원가이체, 판관비 배부현황(VND)'!G9/G$128</f>
        <v>0</v>
      </c>
      <c r="H9" s="191">
        <f>+'원가이체, 판관비 배부현황(VND)'!H9/H$128</f>
        <v>0</v>
      </c>
      <c r="I9" s="191">
        <f>+'원가이체, 판관비 배부현황(VND)'!I9/I$128</f>
        <v>0</v>
      </c>
      <c r="J9" s="191">
        <f>+'원가이체, 판관비 배부현황(VND)'!J9/J$128</f>
        <v>0</v>
      </c>
      <c r="K9" s="191">
        <f>+'원가이체, 판관비 배부현황(VND)'!K9/K$128</f>
        <v>0</v>
      </c>
      <c r="L9" s="191">
        <f>+'원가이체, 판관비 배부현황(VND)'!L9/L$128</f>
        <v>0</v>
      </c>
      <c r="M9" s="191">
        <f>+'원가이체, 판관비 배부현황(VND)'!M9/M$128</f>
        <v>0</v>
      </c>
      <c r="N9" s="191">
        <f>+'원가이체, 판관비 배부현황(VND)'!N9/N$128</f>
        <v>0</v>
      </c>
      <c r="O9" s="133">
        <f t="shared" si="0"/>
        <v>0</v>
      </c>
    </row>
    <row r="10" spans="1:15" ht="28.5" outlineLevel="1">
      <c r="A10" s="389"/>
      <c r="B10" s="204" t="s">
        <v>78</v>
      </c>
      <c r="C10" s="207">
        <f>+'원가이체, 판관비 배부현황(VND)'!C10</f>
        <v>0</v>
      </c>
      <c r="D10" s="207">
        <f>+'원가이체, 판관비 배부현황(VND)'!D10</f>
        <v>0</v>
      </c>
      <c r="E10" s="207">
        <f>+'원가이체, 판관비 배부현황(VND)'!E10</f>
        <v>0</v>
      </c>
      <c r="F10" s="207">
        <f>+'원가이체, 판관비 배부현황(VND)'!F10</f>
        <v>0</v>
      </c>
      <c r="G10" s="207">
        <f>+'원가이체, 판관비 배부현황(VND)'!G10</f>
        <v>0</v>
      </c>
      <c r="H10" s="207">
        <f>+'원가이체, 판관비 배부현황(VND)'!H10</f>
        <v>0</v>
      </c>
      <c r="I10" s="207">
        <f>+'원가이체, 판관비 배부현황(VND)'!I10</f>
        <v>0</v>
      </c>
      <c r="J10" s="207">
        <f>+'원가이체, 판관비 배부현황(VND)'!J10</f>
        <v>0</v>
      </c>
      <c r="K10" s="207">
        <f>+'원가이체, 판관비 배부현황(VND)'!K10</f>
        <v>0</v>
      </c>
      <c r="L10" s="207">
        <f>+'원가이체, 판관비 배부현황(VND)'!L10</f>
        <v>0</v>
      </c>
      <c r="M10" s="207">
        <f>+'원가이체, 판관비 배부현황(VND)'!M10</f>
        <v>0</v>
      </c>
      <c r="N10" s="207">
        <f>+'원가이체, 판관비 배부현황(VND)'!N10</f>
        <v>0</v>
      </c>
      <c r="O10" s="133">
        <f t="shared" si="0"/>
        <v>0</v>
      </c>
    </row>
    <row r="11" spans="1:15" ht="28.5" outlineLevel="1">
      <c r="A11" s="404" t="s">
        <v>73</v>
      </c>
      <c r="B11" s="202" t="s">
        <v>66</v>
      </c>
      <c r="C11" s="193">
        <f>+'원가이체, 판관비 배부현황(VND)'!C11/C$128</f>
        <v>59.331367060362403</v>
      </c>
      <c r="D11" s="193">
        <f>+'원가이체, 판관비 배부현황(VND)'!D11/D$128</f>
        <v>374.15808447681104</v>
      </c>
      <c r="E11" s="193">
        <f>+'원가이체, 판관비 배부현황(VND)'!E11/E$128</f>
        <v>303.82597034059017</v>
      </c>
      <c r="F11" s="193">
        <f>+'원가이체, 판관비 배부현황(VND)'!F11/F$128</f>
        <v>371.65040157062106</v>
      </c>
      <c r="G11" s="193">
        <f>+'원가이체, 판관비 배부현황(VND)'!G11/G$128</f>
        <v>357.69985899335234</v>
      </c>
      <c r="H11" s="193">
        <f>+'원가이체, 판관비 배부현황(VND)'!H11/H$128</f>
        <v>346.82545006652725</v>
      </c>
      <c r="I11" s="193">
        <f>+'원가이체, 판관비 배부현황(VND)'!I11/I$128</f>
        <v>0</v>
      </c>
      <c r="J11" s="193">
        <f>+'원가이체, 판관비 배부현황(VND)'!J11/J$128</f>
        <v>0</v>
      </c>
      <c r="K11" s="193">
        <f>+'원가이체, 판관비 배부현황(VND)'!K11/K$128</f>
        <v>0</v>
      </c>
      <c r="L11" s="193">
        <f>+'원가이체, 판관비 배부현황(VND)'!L11/L$128</f>
        <v>0</v>
      </c>
      <c r="M11" s="193">
        <f>+'원가이체, 판관비 배부현황(VND)'!M11/M$128</f>
        <v>0</v>
      </c>
      <c r="N11" s="193">
        <f>+'원가이체, 판관비 배부현황(VND)'!N11/N$128</f>
        <v>0</v>
      </c>
      <c r="O11" s="134">
        <f>SUM(C11:N11)</f>
        <v>1813.4911325082642</v>
      </c>
    </row>
    <row r="12" spans="1:15" ht="28.5" outlineLevel="1">
      <c r="A12" s="405"/>
      <c r="B12" s="199" t="s">
        <v>67</v>
      </c>
      <c r="C12" s="193">
        <f>+'원가이체, 판관비 배부현황(VND)'!C12/C$128</f>
        <v>51.647955026353252</v>
      </c>
      <c r="D12" s="193">
        <f>+'원가이체, 판관비 배부현황(VND)'!D12/D$128</f>
        <v>325.70461253353773</v>
      </c>
      <c r="E12" s="193">
        <f>+'원가이체, 판관비 배부현황(VND)'!E12/E$128</f>
        <v>264.48050716832284</v>
      </c>
      <c r="F12" s="193">
        <f>+'원가이체, 판관비 배부현황(VND)'!F12/F$128</f>
        <v>323.52167457035546</v>
      </c>
      <c r="G12" s="193">
        <f>+'원가이체, 판관비 배부현황(VND)'!G12/G$128</f>
        <v>311.37772725546057</v>
      </c>
      <c r="H12" s="193">
        <f>+'원가이체, 판관비 배부현황(VND)'!H12/H$128</f>
        <v>301.91155426724958</v>
      </c>
      <c r="I12" s="193">
        <f>+'원가이체, 판관비 배부현황(VND)'!I12/I$128</f>
        <v>0</v>
      </c>
      <c r="J12" s="193">
        <f>+'원가이체, 판관비 배부현황(VND)'!J12/J$128</f>
        <v>0</v>
      </c>
      <c r="K12" s="193">
        <f>+'원가이체, 판관비 배부현황(VND)'!K12/K$128</f>
        <v>0</v>
      </c>
      <c r="L12" s="193">
        <f>+'원가이체, 판관비 배부현황(VND)'!L12/L$128</f>
        <v>0</v>
      </c>
      <c r="M12" s="193">
        <f>+'원가이체, 판관비 배부현황(VND)'!M12/M$128</f>
        <v>0</v>
      </c>
      <c r="N12" s="193">
        <f>+'원가이체, 판관비 배부현황(VND)'!N12/N$128</f>
        <v>0</v>
      </c>
      <c r="O12" s="135">
        <f t="shared" ref="O12:O14" si="1">SUM(C12:N12)</f>
        <v>1578.6440308212796</v>
      </c>
    </row>
    <row r="13" spans="1:15" ht="28.5" outlineLevel="1">
      <c r="A13" s="405"/>
      <c r="B13" s="202" t="s">
        <v>68</v>
      </c>
      <c r="C13" s="205">
        <f>+'원가이체, 판관비 배부현황(VND)'!C13/C$128</f>
        <v>52.008033893740624</v>
      </c>
      <c r="D13" s="205">
        <f>+'원가이체, 판관비 배부현황(VND)'!D13/D$128</f>
        <v>321.94933004982749</v>
      </c>
      <c r="E13" s="205">
        <f>+'원가이체, 판관비 배부현황(VND)'!E13/E$128</f>
        <v>259.14988200713037</v>
      </c>
      <c r="F13" s="205">
        <f>+'원가이체, 판관비 배부현황(VND)'!F13/F$128</f>
        <v>320.13699719260973</v>
      </c>
      <c r="G13" s="205">
        <f>+'원가이체, 판관비 배부현황(VND)'!G13/G$128</f>
        <v>294.51293846153845</v>
      </c>
      <c r="H13" s="205">
        <f>+'원가이체, 판관비 배부현황(VND)'!H13/H$128</f>
        <v>299.25479608439463</v>
      </c>
      <c r="I13" s="205">
        <f>+'원가이체, 판관비 배부현황(VND)'!I13/I$128</f>
        <v>0</v>
      </c>
      <c r="J13" s="205">
        <f>+'원가이체, 판관비 배부현황(VND)'!J13/J$128</f>
        <v>0</v>
      </c>
      <c r="K13" s="205">
        <f>+'원가이체, 판관비 배부현황(VND)'!K13/K$128</f>
        <v>0</v>
      </c>
      <c r="L13" s="205">
        <f>+'원가이체, 판관비 배부현황(VND)'!L13/L$128</f>
        <v>0</v>
      </c>
      <c r="M13" s="205">
        <f>+'원가이체, 판관비 배부현황(VND)'!M13/M$128</f>
        <v>0</v>
      </c>
      <c r="N13" s="205">
        <f>+'원가이체, 판관비 배부현황(VND)'!N13/N$128</f>
        <v>0</v>
      </c>
      <c r="O13" s="129">
        <f t="shared" si="1"/>
        <v>1547.0119776892413</v>
      </c>
    </row>
    <row r="14" spans="1:15" ht="28.5" outlineLevel="1">
      <c r="A14" s="405"/>
      <c r="B14" s="203" t="s">
        <v>69</v>
      </c>
      <c r="C14" s="205">
        <f>+'원가이체, 판관비 배부현황(VND)'!C14/C$128</f>
        <v>-0.36007886738737355</v>
      </c>
      <c r="D14" s="205">
        <f>+'원가이체, 판관비 배부현황(VND)'!D14/D$128</f>
        <v>3.7552824837102339</v>
      </c>
      <c r="E14" s="205">
        <f>+'원가이체, 판관비 배부현황(VND)'!E14/E$128</f>
        <v>5.3306251611924447</v>
      </c>
      <c r="F14" s="205">
        <f>+'원가이체, 판관비 배부현황(VND)'!F14/F$128</f>
        <v>3.3846773777457413</v>
      </c>
      <c r="G14" s="205">
        <f>+'원가이체, 판관비 배부현황(VND)'!G14/G$128</f>
        <v>16.864788793922127</v>
      </c>
      <c r="H14" s="205">
        <f>+'원가이체, 판관비 배부현황(VND)'!H14/H$128</f>
        <v>2.6567581828549707</v>
      </c>
      <c r="I14" s="205">
        <f>+'원가이체, 판관비 배부현황(VND)'!I14/I$128</f>
        <v>0</v>
      </c>
      <c r="J14" s="205">
        <f>+'원가이체, 판관비 배부현황(VND)'!J14/J$128</f>
        <v>0</v>
      </c>
      <c r="K14" s="205">
        <f>+'원가이체, 판관비 배부현황(VND)'!K14/K$128</f>
        <v>0</v>
      </c>
      <c r="L14" s="205">
        <f>+'원가이체, 판관비 배부현황(VND)'!L14/L$128</f>
        <v>0</v>
      </c>
      <c r="M14" s="205">
        <f>+'원가이체, 판관비 배부현황(VND)'!M14/M$128</f>
        <v>0</v>
      </c>
      <c r="N14" s="205">
        <f>+'원가이체, 판관비 배부현황(VND)'!N14/N$128</f>
        <v>0</v>
      </c>
      <c r="O14" s="131">
        <f t="shared" si="1"/>
        <v>31.632053132038145</v>
      </c>
    </row>
    <row r="15" spans="1:15" ht="28.5" outlineLevel="1">
      <c r="A15" s="405"/>
      <c r="B15" s="204" t="s">
        <v>70</v>
      </c>
      <c r="C15" s="191">
        <f>+'원가이체, 판관비 배부현황(VND)'!C15/C$128</f>
        <v>30.361140114646251</v>
      </c>
      <c r="D15" s="191">
        <f>+'원가이체, 판관비 배부현황(VND)'!D15/D$128</f>
        <v>21.80643453430433</v>
      </c>
      <c r="E15" s="191">
        <f>+'원가이체, 판관비 배부현황(VND)'!E15/E$128</f>
        <v>24.028040089509215</v>
      </c>
      <c r="F15" s="191">
        <f>+'원가이체, 판관비 배부현황(VND)'!F15/F$128</f>
        <v>21.871744337797338</v>
      </c>
      <c r="G15" s="191">
        <f>+'원가이체, 판관비 배부현황(VND)'!G15/G$128</f>
        <v>28.355025413105412</v>
      </c>
      <c r="H15" s="191">
        <f>+'원가이체, 판관비 배부현황(VND)'!H15/H$128</f>
        <v>22.013729899258696</v>
      </c>
      <c r="I15" s="191" t="e">
        <f>+'원가이체, 판관비 배부현황(VND)'!I15/I$128</f>
        <v>#DIV/0!</v>
      </c>
      <c r="J15" s="191" t="e">
        <f>+'원가이체, 판관비 배부현황(VND)'!J15/J$128</f>
        <v>#DIV/0!</v>
      </c>
      <c r="K15" s="191" t="e">
        <f>+'원가이체, 판관비 배부현황(VND)'!K15/K$128</f>
        <v>#DIV/0!</v>
      </c>
      <c r="L15" s="191" t="e">
        <f>+'원가이체, 판관비 배부현황(VND)'!L15/L$128</f>
        <v>#DIV/0!</v>
      </c>
      <c r="M15" s="191" t="e">
        <f>+'원가이체, 판관비 배부현황(VND)'!M15/M$128</f>
        <v>#DIV/0!</v>
      </c>
      <c r="N15" s="191" t="e">
        <f>+'원가이체, 판관비 배부현황(VND)'!N15/N$128</f>
        <v>#DIV/0!</v>
      </c>
      <c r="O15" s="133" t="e">
        <f>SUM(C15:N15)</f>
        <v>#DIV/0!</v>
      </c>
    </row>
    <row r="16" spans="1:15" ht="28.5" outlineLevel="1">
      <c r="A16" s="406"/>
      <c r="B16" s="204" t="s">
        <v>71</v>
      </c>
      <c r="C16" s="192">
        <f>'원가이체, 판관비 배부현황(VND)'!C16</f>
        <v>2</v>
      </c>
      <c r="D16" s="192">
        <f>'원가이체, 판관비 배부현황(VND)'!D16</f>
        <v>2</v>
      </c>
      <c r="E16" s="192">
        <f>'원가이체, 판관비 배부현황(VND)'!E16</f>
        <v>2</v>
      </c>
      <c r="F16" s="192">
        <f>'원가이체, 판관비 배부현황(VND)'!F16</f>
        <v>2</v>
      </c>
      <c r="G16" s="192">
        <f>'원가이체, 판관비 배부현황(VND)'!G16</f>
        <v>2</v>
      </c>
      <c r="H16" s="192">
        <f>'원가이체, 판관비 배부현황(VND)'!H16</f>
        <v>2</v>
      </c>
      <c r="I16" s="192">
        <f>'원가이체, 판관비 배부현황(VND)'!I16</f>
        <v>2</v>
      </c>
      <c r="J16" s="192">
        <f>'원가이체, 판관비 배부현황(VND)'!J16</f>
        <v>2</v>
      </c>
      <c r="K16" s="192">
        <f>'원가이체, 판관비 배부현황(VND)'!K16</f>
        <v>2</v>
      </c>
      <c r="L16" s="192">
        <f>'원가이체, 판관비 배부현황(VND)'!L16</f>
        <v>2</v>
      </c>
      <c r="M16" s="192">
        <f>'원가이체, 판관비 배부현황(VND)'!M16</f>
        <v>2</v>
      </c>
      <c r="N16" s="192">
        <f>'원가이체, 판관비 배부현황(VND)'!N16</f>
        <v>2</v>
      </c>
      <c r="O16" s="133">
        <f>SUM(C16:N16)/12</f>
        <v>2</v>
      </c>
    </row>
    <row r="17" spans="1:15" ht="28.5" outlineLevel="1">
      <c r="A17" s="386" t="s">
        <v>74</v>
      </c>
      <c r="B17" s="202" t="s">
        <v>66</v>
      </c>
      <c r="C17" s="193">
        <f>+'원가이체, 판관비 배부현황(VND)'!C17/C$128</f>
        <v>0</v>
      </c>
      <c r="D17" s="193">
        <f>+'원가이체, 판관비 배부현황(VND)'!D17/D$128</f>
        <v>0</v>
      </c>
      <c r="E17" s="193">
        <f>+'원가이체, 판관비 배부현황(VND)'!E17/E$128</f>
        <v>0</v>
      </c>
      <c r="F17" s="193">
        <f>+'원가이체, 판관비 배부현황(VND)'!F17/F$128</f>
        <v>0</v>
      </c>
      <c r="G17" s="193">
        <f>+'원가이체, 판관비 배부현황(VND)'!G17/G$128</f>
        <v>0</v>
      </c>
      <c r="H17" s="193">
        <f>+'원가이체, 판관비 배부현황(VND)'!H17/H$128</f>
        <v>0</v>
      </c>
      <c r="I17" s="193">
        <f>+'원가이체, 판관비 배부현황(VND)'!I17/I$128</f>
        <v>0</v>
      </c>
      <c r="J17" s="193">
        <f>+'원가이체, 판관비 배부현황(VND)'!J17/J$128</f>
        <v>0</v>
      </c>
      <c r="K17" s="193">
        <f>+'원가이체, 판관비 배부현황(VND)'!K17/K$128</f>
        <v>0</v>
      </c>
      <c r="L17" s="193">
        <f>+'원가이체, 판관비 배부현황(VND)'!L17/L$128</f>
        <v>0</v>
      </c>
      <c r="M17" s="193">
        <f>+'원가이체, 판관비 배부현황(VND)'!M17/M$128</f>
        <v>0</v>
      </c>
      <c r="N17" s="193">
        <f>+'원가이체, 판관비 배부현황(VND)'!N17/N$128</f>
        <v>0</v>
      </c>
      <c r="O17" s="134">
        <f>SUM(C17:N17)</f>
        <v>0</v>
      </c>
    </row>
    <row r="18" spans="1:15" ht="28.5" outlineLevel="1">
      <c r="A18" s="386"/>
      <c r="B18" s="199" t="s">
        <v>67</v>
      </c>
      <c r="C18" s="193">
        <f>+'원가이체, 판관비 배부현황(VND)'!C18/C$128</f>
        <v>0</v>
      </c>
      <c r="D18" s="193">
        <f>+'원가이체, 판관비 배부현황(VND)'!D18/D$128</f>
        <v>0</v>
      </c>
      <c r="E18" s="193">
        <f>+'원가이체, 판관비 배부현황(VND)'!E18/E$128</f>
        <v>0</v>
      </c>
      <c r="F18" s="193">
        <f>+'원가이체, 판관비 배부현황(VND)'!F18/F$128</f>
        <v>0</v>
      </c>
      <c r="G18" s="193">
        <f>+'원가이체, 판관비 배부현황(VND)'!G18/G$128</f>
        <v>0</v>
      </c>
      <c r="H18" s="193">
        <f>+'원가이체, 판관비 배부현황(VND)'!H18/H$128</f>
        <v>0</v>
      </c>
      <c r="I18" s="193">
        <f>+'원가이체, 판관비 배부현황(VND)'!I18/I$128</f>
        <v>0</v>
      </c>
      <c r="J18" s="193">
        <f>+'원가이체, 판관비 배부현황(VND)'!J18/J$128</f>
        <v>0</v>
      </c>
      <c r="K18" s="193">
        <f>+'원가이체, 판관비 배부현황(VND)'!K18/K$128</f>
        <v>0</v>
      </c>
      <c r="L18" s="193">
        <f>+'원가이체, 판관비 배부현황(VND)'!L18/L$128</f>
        <v>0</v>
      </c>
      <c r="M18" s="193">
        <f>+'원가이체, 판관비 배부현황(VND)'!M18/M$128</f>
        <v>0</v>
      </c>
      <c r="N18" s="193">
        <f>+'원가이체, 판관비 배부현황(VND)'!N18/N$128</f>
        <v>0</v>
      </c>
      <c r="O18" s="135">
        <f t="shared" ref="O18:O22" si="2">SUM(C18:N18)</f>
        <v>0</v>
      </c>
    </row>
    <row r="19" spans="1:15" ht="28.5" outlineLevel="1">
      <c r="A19" s="386"/>
      <c r="B19" s="202" t="s">
        <v>68</v>
      </c>
      <c r="C19" s="205">
        <f>+'원가이체, 판관비 배부현황(VND)'!C19/C$128</f>
        <v>0</v>
      </c>
      <c r="D19" s="205">
        <f>+'원가이체, 판관비 배부현황(VND)'!D19/D$128</f>
        <v>0</v>
      </c>
      <c r="E19" s="205">
        <f>+'원가이체, 판관비 배부현황(VND)'!E19/E$128</f>
        <v>0</v>
      </c>
      <c r="F19" s="205">
        <f>+'원가이체, 판관비 배부현황(VND)'!F19/F$128</f>
        <v>0</v>
      </c>
      <c r="G19" s="205">
        <f>+'원가이체, 판관비 배부현황(VND)'!G19/G$128</f>
        <v>0</v>
      </c>
      <c r="H19" s="205">
        <f>+'원가이체, 판관비 배부현황(VND)'!H19/H$128</f>
        <v>0</v>
      </c>
      <c r="I19" s="205">
        <f>+'원가이체, 판관비 배부현황(VND)'!I19/I$128</f>
        <v>0</v>
      </c>
      <c r="J19" s="205">
        <f>+'원가이체, 판관비 배부현황(VND)'!J19/J$128</f>
        <v>0</v>
      </c>
      <c r="K19" s="205">
        <f>+'원가이체, 판관비 배부현황(VND)'!K19/K$128</f>
        <v>0</v>
      </c>
      <c r="L19" s="205">
        <f>+'원가이체, 판관비 배부현황(VND)'!L19/L$128</f>
        <v>0</v>
      </c>
      <c r="M19" s="205">
        <f>+'원가이체, 판관비 배부현황(VND)'!M19/M$128</f>
        <v>0</v>
      </c>
      <c r="N19" s="205">
        <f>+'원가이체, 판관비 배부현황(VND)'!N19/N$128</f>
        <v>0</v>
      </c>
      <c r="O19" s="129">
        <f t="shared" si="2"/>
        <v>0</v>
      </c>
    </row>
    <row r="20" spans="1:15" ht="28.5" outlineLevel="1">
      <c r="A20" s="386"/>
      <c r="B20" s="203" t="s">
        <v>69</v>
      </c>
      <c r="C20" s="205">
        <f>+'원가이체, 판관비 배부현황(VND)'!C20/C$128</f>
        <v>0</v>
      </c>
      <c r="D20" s="205">
        <f>+'원가이체, 판관비 배부현황(VND)'!D20/D$128</f>
        <v>0</v>
      </c>
      <c r="E20" s="205">
        <f>+'원가이체, 판관비 배부현황(VND)'!E20/E$128</f>
        <v>0</v>
      </c>
      <c r="F20" s="205">
        <f>+'원가이체, 판관비 배부현황(VND)'!F20/F$128</f>
        <v>0</v>
      </c>
      <c r="G20" s="205">
        <f>+'원가이체, 판관비 배부현황(VND)'!G20/G$128</f>
        <v>0</v>
      </c>
      <c r="H20" s="205">
        <f>+'원가이체, 판관비 배부현황(VND)'!H20/H$128</f>
        <v>0</v>
      </c>
      <c r="I20" s="205">
        <f>+'원가이체, 판관비 배부현황(VND)'!I20/I$128</f>
        <v>0</v>
      </c>
      <c r="J20" s="205">
        <f>+'원가이체, 판관비 배부현황(VND)'!J20/J$128</f>
        <v>0</v>
      </c>
      <c r="K20" s="205">
        <f>+'원가이체, 판관비 배부현황(VND)'!K20/K$128</f>
        <v>0</v>
      </c>
      <c r="L20" s="205">
        <f>+'원가이체, 판관비 배부현황(VND)'!L20/L$128</f>
        <v>0</v>
      </c>
      <c r="M20" s="205">
        <f>+'원가이체, 판관비 배부현황(VND)'!M20/M$128</f>
        <v>0</v>
      </c>
      <c r="N20" s="205">
        <f>+'원가이체, 판관비 배부현황(VND)'!N20/N$128</f>
        <v>0</v>
      </c>
      <c r="O20" s="131">
        <f t="shared" si="2"/>
        <v>0</v>
      </c>
    </row>
    <row r="21" spans="1:15" ht="28.5" outlineLevel="1">
      <c r="A21" s="386"/>
      <c r="B21" s="204" t="s">
        <v>70</v>
      </c>
      <c r="C21" s="191">
        <f>+'원가이체, 판관비 배부현황(VND)'!C21/C$128</f>
        <v>0</v>
      </c>
      <c r="D21" s="191">
        <f>+'원가이체, 판관비 배부현황(VND)'!D21/D$128</f>
        <v>0</v>
      </c>
      <c r="E21" s="191">
        <f>+'원가이체, 판관비 배부현황(VND)'!E21/E$128</f>
        <v>0</v>
      </c>
      <c r="F21" s="191">
        <f>+'원가이체, 판관비 배부현황(VND)'!F21/F$128</f>
        <v>0</v>
      </c>
      <c r="G21" s="191">
        <f>+'원가이체, 판관비 배부현황(VND)'!G21/G$128</f>
        <v>0</v>
      </c>
      <c r="H21" s="191">
        <f>+'원가이체, 판관비 배부현황(VND)'!H21/H$128</f>
        <v>0</v>
      </c>
      <c r="I21" s="191">
        <f>+'원가이체, 판관비 배부현황(VND)'!I21/I$128</f>
        <v>0</v>
      </c>
      <c r="J21" s="191">
        <f>+'원가이체, 판관비 배부현황(VND)'!J21/J$128</f>
        <v>0</v>
      </c>
      <c r="K21" s="191">
        <f>+'원가이체, 판관비 배부현황(VND)'!K21/K$128</f>
        <v>0</v>
      </c>
      <c r="L21" s="191">
        <f>+'원가이체, 판관비 배부현황(VND)'!L21/L$128</f>
        <v>0</v>
      </c>
      <c r="M21" s="191">
        <f>+'원가이체, 판관비 배부현황(VND)'!M21/M$128</f>
        <v>0</v>
      </c>
      <c r="N21" s="191">
        <f>+'원가이체, 판관비 배부현황(VND)'!N21/N$128</f>
        <v>0</v>
      </c>
      <c r="O21" s="133">
        <f t="shared" si="2"/>
        <v>0</v>
      </c>
    </row>
    <row r="22" spans="1:15" ht="28.5" outlineLevel="1">
      <c r="A22" s="386"/>
      <c r="B22" s="204" t="s">
        <v>71</v>
      </c>
      <c r="C22" s="192">
        <f>'원가이체, 판관비 배부현황(VND)'!C22</f>
        <v>0</v>
      </c>
      <c r="D22" s="192">
        <f>'원가이체, 판관비 배부현황(VND)'!D22</f>
        <v>0</v>
      </c>
      <c r="E22" s="192">
        <f>'원가이체, 판관비 배부현황(VND)'!E22</f>
        <v>0</v>
      </c>
      <c r="F22" s="192">
        <f>'원가이체, 판관비 배부현황(VND)'!F22</f>
        <v>0</v>
      </c>
      <c r="G22" s="192">
        <f>'원가이체, 판관비 배부현황(VND)'!G22</f>
        <v>0</v>
      </c>
      <c r="H22" s="192">
        <f>'원가이체, 판관비 배부현황(VND)'!H22</f>
        <v>0</v>
      </c>
      <c r="I22" s="192">
        <f>'원가이체, 판관비 배부현황(VND)'!I22</f>
        <v>0</v>
      </c>
      <c r="J22" s="192">
        <f>'원가이체, 판관비 배부현황(VND)'!J22</f>
        <v>0</v>
      </c>
      <c r="K22" s="192">
        <f>'원가이체, 판관비 배부현황(VND)'!K22</f>
        <v>0</v>
      </c>
      <c r="L22" s="192">
        <f>'원가이체, 판관비 배부현황(VND)'!L22</f>
        <v>0</v>
      </c>
      <c r="M22" s="192">
        <f>'원가이체, 판관비 배부현황(VND)'!M22</f>
        <v>0</v>
      </c>
      <c r="N22" s="192">
        <f>'원가이체, 판관비 배부현황(VND)'!N22</f>
        <v>0</v>
      </c>
      <c r="O22" s="133">
        <f t="shared" si="2"/>
        <v>0</v>
      </c>
    </row>
    <row r="23" spans="1:15" ht="28.5" outlineLevel="1">
      <c r="A23" s="387" t="s">
        <v>227</v>
      </c>
      <c r="B23" s="202" t="s">
        <v>66</v>
      </c>
      <c r="C23" s="193">
        <f>+'원가이체, 판관비 배부현황(VND)'!C23/C$128</f>
        <v>183.66483283961065</v>
      </c>
      <c r="D23" s="193">
        <f>+'원가이체, 판관비 배부현황(VND)'!D23/D$128</f>
        <v>0</v>
      </c>
      <c r="E23" s="193">
        <f>+'원가이체, 판관비 배부현황(VND)'!E23/E$128</f>
        <v>0</v>
      </c>
      <c r="F23" s="193">
        <f>+'원가이체, 판관비 배부현황(VND)'!F23/F$128</f>
        <v>0</v>
      </c>
      <c r="G23" s="193">
        <f>+'원가이체, 판관비 배부현황(VND)'!G23/G$128</f>
        <v>0</v>
      </c>
      <c r="H23" s="193">
        <f>+'원가이체, 판관비 배부현황(VND)'!H23/H$128</f>
        <v>0</v>
      </c>
      <c r="I23" s="193">
        <f>+'원가이체, 판관비 배부현황(VND)'!I23/I$128</f>
        <v>0</v>
      </c>
      <c r="J23" s="193">
        <f>+'원가이체, 판관비 배부현황(VND)'!J23/J$128</f>
        <v>0</v>
      </c>
      <c r="K23" s="193">
        <f>+'원가이체, 판관비 배부현황(VND)'!K23/K$128</f>
        <v>0</v>
      </c>
      <c r="L23" s="193">
        <f>+'원가이체, 판관비 배부현황(VND)'!L23/L$128</f>
        <v>0</v>
      </c>
      <c r="M23" s="193">
        <f>+'원가이체, 판관비 배부현황(VND)'!M23/M$128</f>
        <v>0</v>
      </c>
      <c r="N23" s="193">
        <f>+'원가이체, 판관비 배부현황(VND)'!N23/N$128</f>
        <v>0</v>
      </c>
      <c r="O23" s="200">
        <f>SUM(C23:N23)</f>
        <v>183.66483283961065</v>
      </c>
    </row>
    <row r="24" spans="1:15" ht="28.5" outlineLevel="1">
      <c r="A24" s="388"/>
      <c r="B24" s="199" t="s">
        <v>67</v>
      </c>
      <c r="C24" s="193">
        <f>+'원가이체, 판관비 배부현황(VND)'!C24/C$128</f>
        <v>67.797692340245447</v>
      </c>
      <c r="D24" s="193">
        <f>+'원가이체, 판관비 배부현황(VND)'!D24/D$128</f>
        <v>0</v>
      </c>
      <c r="E24" s="193">
        <f>+'원가이체, 판관비 배부현황(VND)'!E24/E$128</f>
        <v>0</v>
      </c>
      <c r="F24" s="193">
        <f>+'원가이체, 판관비 배부현황(VND)'!F24/F$128</f>
        <v>0</v>
      </c>
      <c r="G24" s="193">
        <f>+'원가이체, 판관비 배부현황(VND)'!G24/G$128</f>
        <v>0</v>
      </c>
      <c r="H24" s="193">
        <f>+'원가이체, 판관비 배부현황(VND)'!H24/H$128</f>
        <v>0</v>
      </c>
      <c r="I24" s="193">
        <f>+'원가이체, 판관비 배부현황(VND)'!I24/I$128</f>
        <v>0</v>
      </c>
      <c r="J24" s="193">
        <f>+'원가이체, 판관비 배부현황(VND)'!J24/J$128</f>
        <v>0</v>
      </c>
      <c r="K24" s="193">
        <f>+'원가이체, 판관비 배부현황(VND)'!K24/K$128</f>
        <v>0</v>
      </c>
      <c r="L24" s="193">
        <f>+'원가이체, 판관비 배부현황(VND)'!L24/L$128</f>
        <v>0</v>
      </c>
      <c r="M24" s="193">
        <f>+'원가이체, 판관비 배부현황(VND)'!M24/M$128</f>
        <v>0</v>
      </c>
      <c r="N24" s="193">
        <f>+'원가이체, 판관비 배부현황(VND)'!N24/N$128</f>
        <v>0</v>
      </c>
      <c r="O24" s="135">
        <f>SUM(C24:N24)</f>
        <v>67.797692340245447</v>
      </c>
    </row>
    <row r="25" spans="1:15" ht="28.5" outlineLevel="1">
      <c r="A25" s="388"/>
      <c r="B25" s="202" t="s">
        <v>68</v>
      </c>
      <c r="C25" s="205">
        <f>+'원가이체, 판관비 배부현황(VND)'!C25/C$128</f>
        <v>67.167138883545576</v>
      </c>
      <c r="D25" s="205">
        <f>+'원가이체, 판관비 배부현황(VND)'!D25/D$128</f>
        <v>0</v>
      </c>
      <c r="E25" s="205">
        <f>+'원가이체, 판관비 배부현황(VND)'!E25/E$128</f>
        <v>0</v>
      </c>
      <c r="F25" s="205">
        <f>+'원가이체, 판관비 배부현황(VND)'!F25/F$128</f>
        <v>0</v>
      </c>
      <c r="G25" s="205">
        <f>+'원가이체, 판관비 배부현황(VND)'!G25/G$128</f>
        <v>0</v>
      </c>
      <c r="H25" s="205">
        <f>+'원가이체, 판관비 배부현황(VND)'!H25/H$128</f>
        <v>0</v>
      </c>
      <c r="I25" s="205">
        <f>+'원가이체, 판관비 배부현황(VND)'!I25/I$128</f>
        <v>0</v>
      </c>
      <c r="J25" s="205">
        <f>+'원가이체, 판관비 배부현황(VND)'!J25/J$128</f>
        <v>0</v>
      </c>
      <c r="K25" s="205">
        <f>+'원가이체, 판관비 배부현황(VND)'!K25/K$128</f>
        <v>0</v>
      </c>
      <c r="L25" s="205">
        <f>+'원가이체, 판관비 배부현황(VND)'!L25/L$128</f>
        <v>0</v>
      </c>
      <c r="M25" s="205">
        <f>+'원가이체, 판관비 배부현황(VND)'!M25/M$128</f>
        <v>0</v>
      </c>
      <c r="N25" s="205">
        <f>+'원가이체, 판관비 배부현황(VND)'!N25/N$128</f>
        <v>0</v>
      </c>
      <c r="O25" s="129">
        <f>SUM(C25:N25)</f>
        <v>67.167138883545576</v>
      </c>
    </row>
    <row r="26" spans="1:15" ht="28.5" outlineLevel="1">
      <c r="A26" s="388"/>
      <c r="B26" s="203" t="s">
        <v>69</v>
      </c>
      <c r="C26" s="205">
        <f>+'원가이체, 판관비 배부현황(VND)'!C26/C$128</f>
        <v>0.63055345669988072</v>
      </c>
      <c r="D26" s="205">
        <f>+'원가이체, 판관비 배부현황(VND)'!D26/D$128</f>
        <v>0</v>
      </c>
      <c r="E26" s="205">
        <f>+'원가이체, 판관비 배부현황(VND)'!E26/E$128</f>
        <v>0</v>
      </c>
      <c r="F26" s="205">
        <f>+'원가이체, 판관비 배부현황(VND)'!F26/F$128</f>
        <v>0</v>
      </c>
      <c r="G26" s="205">
        <f>+'원가이체, 판관비 배부현황(VND)'!G26/G$128</f>
        <v>0</v>
      </c>
      <c r="H26" s="205">
        <f>+'원가이체, 판관비 배부현황(VND)'!H26/H$128</f>
        <v>0</v>
      </c>
      <c r="I26" s="205">
        <f>+'원가이체, 판관비 배부현황(VND)'!I26/I$128</f>
        <v>0</v>
      </c>
      <c r="J26" s="205">
        <f>+'원가이체, 판관비 배부현황(VND)'!J26/J$128</f>
        <v>0</v>
      </c>
      <c r="K26" s="205">
        <f>+'원가이체, 판관비 배부현황(VND)'!K26/K$128</f>
        <v>0</v>
      </c>
      <c r="L26" s="205">
        <f>+'원가이체, 판관비 배부현황(VND)'!L26/L$128</f>
        <v>0</v>
      </c>
      <c r="M26" s="205">
        <f>+'원가이체, 판관비 배부현황(VND)'!M26/M$128</f>
        <v>0</v>
      </c>
      <c r="N26" s="205">
        <f>+'원가이체, 판관비 배부현황(VND)'!N26/N$128</f>
        <v>0</v>
      </c>
      <c r="O26" s="131">
        <f t="shared" ref="O26:O27" si="3">SUM(C26:N26)</f>
        <v>0.63055345669988072</v>
      </c>
    </row>
    <row r="27" spans="1:15" ht="28.5" outlineLevel="1">
      <c r="A27" s="388"/>
      <c r="B27" s="204" t="s">
        <v>70</v>
      </c>
      <c r="C27" s="191">
        <f>+'원가이체, 판관비 배부현황(VND)'!C27/C$128</f>
        <v>0</v>
      </c>
      <c r="D27" s="191">
        <f>+'원가이체, 판관비 배부현황(VND)'!D27/D$128</f>
        <v>0</v>
      </c>
      <c r="E27" s="191">
        <f>+'원가이체, 판관비 배부현황(VND)'!E27/E$128</f>
        <v>0</v>
      </c>
      <c r="F27" s="191">
        <f>+'원가이체, 판관비 배부현황(VND)'!F27/F$128</f>
        <v>0</v>
      </c>
      <c r="G27" s="191">
        <f>+'원가이체, 판관비 배부현황(VND)'!G27/G$128</f>
        <v>0</v>
      </c>
      <c r="H27" s="191">
        <f>+'원가이체, 판관비 배부현황(VND)'!H27/H$128</f>
        <v>0</v>
      </c>
      <c r="I27" s="191">
        <f>+'원가이체, 판관비 배부현황(VND)'!I27/I$128</f>
        <v>0</v>
      </c>
      <c r="J27" s="191">
        <f>+'원가이체, 판관비 배부현황(VND)'!J27/J$128</f>
        <v>0</v>
      </c>
      <c r="K27" s="191">
        <f>+'원가이체, 판관비 배부현황(VND)'!K27/K$128</f>
        <v>0</v>
      </c>
      <c r="L27" s="191">
        <f>+'원가이체, 판관비 배부현황(VND)'!L27/L$128</f>
        <v>0</v>
      </c>
      <c r="M27" s="191">
        <f>+'원가이체, 판관비 배부현황(VND)'!M27/M$128</f>
        <v>0</v>
      </c>
      <c r="N27" s="191">
        <f>+'원가이체, 판관비 배부현황(VND)'!N27/N$128</f>
        <v>0</v>
      </c>
      <c r="O27" s="133">
        <f t="shared" si="3"/>
        <v>0</v>
      </c>
    </row>
    <row r="28" spans="1:15" ht="28.5" outlineLevel="1">
      <c r="A28" s="389"/>
      <c r="B28" s="204" t="s">
        <v>71</v>
      </c>
      <c r="C28" s="192">
        <f>'원가이체, 판관비 배부현황(VND)'!C28</f>
        <v>0</v>
      </c>
      <c r="D28" s="192">
        <f>'원가이체, 판관비 배부현황(VND)'!D28</f>
        <v>0</v>
      </c>
      <c r="E28" s="192">
        <f>'원가이체, 판관비 배부현황(VND)'!E28</f>
        <v>0</v>
      </c>
      <c r="F28" s="192">
        <f>'원가이체, 판관비 배부현황(VND)'!F28</f>
        <v>0</v>
      </c>
      <c r="G28" s="192">
        <f>'원가이체, 판관비 배부현황(VND)'!G28</f>
        <v>0</v>
      </c>
      <c r="H28" s="192">
        <f>'원가이체, 판관비 배부현황(VND)'!H28</f>
        <v>0</v>
      </c>
      <c r="I28" s="192">
        <f>'원가이체, 판관비 배부현황(VND)'!I28</f>
        <v>0</v>
      </c>
      <c r="J28" s="192">
        <f>'원가이체, 판관비 배부현황(VND)'!J28</f>
        <v>0</v>
      </c>
      <c r="K28" s="192">
        <f>'원가이체, 판관비 배부현황(VND)'!K28</f>
        <v>0</v>
      </c>
      <c r="L28" s="192">
        <f>'원가이체, 판관비 배부현황(VND)'!L28</f>
        <v>0</v>
      </c>
      <c r="M28" s="192">
        <f>'원가이체, 판관비 배부현황(VND)'!M28</f>
        <v>0</v>
      </c>
      <c r="N28" s="192">
        <f>'원가이체, 판관비 배부현황(VND)'!N28</f>
        <v>0</v>
      </c>
      <c r="O28" s="133">
        <f t="shared" ref="O28" si="4">SUM(C28:N28)</f>
        <v>0</v>
      </c>
    </row>
    <row r="29" spans="1:15" ht="28.5" outlineLevel="1">
      <c r="A29" s="386" t="s">
        <v>118</v>
      </c>
      <c r="B29" s="202" t="s">
        <v>66</v>
      </c>
      <c r="C29" s="193">
        <f>+'원가이체, 판관비 배부현황(VND)'!C29/C$128</f>
        <v>0</v>
      </c>
      <c r="D29" s="193">
        <f>+'원가이체, 판관비 배부현황(VND)'!D29/D$128</f>
        <v>0</v>
      </c>
      <c r="E29" s="193">
        <f>+'원가이체, 판관비 배부현황(VND)'!E29/E$128</f>
        <v>0</v>
      </c>
      <c r="F29" s="193">
        <f>+'원가이체, 판관비 배부현황(VND)'!F29/F$128</f>
        <v>0</v>
      </c>
      <c r="G29" s="193">
        <f>+'원가이체, 판관비 배부현황(VND)'!G29/G$128</f>
        <v>0</v>
      </c>
      <c r="H29" s="193">
        <f>+'원가이체, 판관비 배부현황(VND)'!H29/H$128</f>
        <v>0</v>
      </c>
      <c r="I29" s="193">
        <f>+'원가이체, 판관비 배부현황(VND)'!I29/I$128</f>
        <v>0</v>
      </c>
      <c r="J29" s="193">
        <f>+'원가이체, 판관비 배부현황(VND)'!J29/J$128</f>
        <v>0</v>
      </c>
      <c r="K29" s="193">
        <f>+'원가이체, 판관비 배부현황(VND)'!K29/K$128</f>
        <v>0</v>
      </c>
      <c r="L29" s="193">
        <f>+'원가이체, 판관비 배부현황(VND)'!L29/L$128</f>
        <v>0</v>
      </c>
      <c r="M29" s="193">
        <f>+'원가이체, 판관비 배부현황(VND)'!M29/M$128</f>
        <v>0</v>
      </c>
      <c r="N29" s="193">
        <f>+'원가이체, 판관비 배부현황(VND)'!N29/N$128</f>
        <v>0</v>
      </c>
      <c r="O29" s="134">
        <f>SUM(C29:N29)</f>
        <v>0</v>
      </c>
    </row>
    <row r="30" spans="1:15" ht="28.5" outlineLevel="1">
      <c r="A30" s="386"/>
      <c r="B30" s="199" t="s">
        <v>67</v>
      </c>
      <c r="C30" s="193">
        <f>+'원가이체, 판관비 배부현황(VND)'!C30/C$128</f>
        <v>0</v>
      </c>
      <c r="D30" s="193">
        <f>+'원가이체, 판관비 배부현황(VND)'!D30/D$128</f>
        <v>0</v>
      </c>
      <c r="E30" s="193">
        <f>+'원가이체, 판관비 배부현황(VND)'!E30/E$128</f>
        <v>0</v>
      </c>
      <c r="F30" s="193">
        <f>+'원가이체, 판관비 배부현황(VND)'!F30/F$128</f>
        <v>0</v>
      </c>
      <c r="G30" s="193">
        <f>+'원가이체, 판관비 배부현황(VND)'!G30/G$128</f>
        <v>0</v>
      </c>
      <c r="H30" s="193">
        <f>+'원가이체, 판관비 배부현황(VND)'!H30/H$128</f>
        <v>0</v>
      </c>
      <c r="I30" s="193">
        <f>+'원가이체, 판관비 배부현황(VND)'!I30/I$128</f>
        <v>0</v>
      </c>
      <c r="J30" s="193">
        <f>+'원가이체, 판관비 배부현황(VND)'!J30/J$128</f>
        <v>0</v>
      </c>
      <c r="K30" s="193">
        <f>+'원가이체, 판관비 배부현황(VND)'!K30/K$128</f>
        <v>0</v>
      </c>
      <c r="L30" s="193">
        <f>+'원가이체, 판관비 배부현황(VND)'!L30/L$128</f>
        <v>0</v>
      </c>
      <c r="M30" s="193">
        <f>+'원가이체, 판관비 배부현황(VND)'!M30/M$128</f>
        <v>0</v>
      </c>
      <c r="N30" s="193">
        <f>+'원가이체, 판관비 배부현황(VND)'!N30/N$128</f>
        <v>0</v>
      </c>
      <c r="O30" s="135">
        <f>SUM(C30:N30)</f>
        <v>0</v>
      </c>
    </row>
    <row r="31" spans="1:15" ht="28.5" outlineLevel="1">
      <c r="A31" s="386"/>
      <c r="B31" s="202" t="s">
        <v>68</v>
      </c>
      <c r="C31" s="205">
        <f>+'원가이체, 판관비 배부현황(VND)'!C31/C$128</f>
        <v>0</v>
      </c>
      <c r="D31" s="205">
        <f>+'원가이체, 판관비 배부현황(VND)'!D31/D$128</f>
        <v>0</v>
      </c>
      <c r="E31" s="205">
        <f>+'원가이체, 판관비 배부현황(VND)'!E31/E$128</f>
        <v>0</v>
      </c>
      <c r="F31" s="205">
        <f>+'원가이체, 판관비 배부현황(VND)'!F31/F$128</f>
        <v>0</v>
      </c>
      <c r="G31" s="205">
        <f>+'원가이체, 판관비 배부현황(VND)'!G31/G$128</f>
        <v>0</v>
      </c>
      <c r="H31" s="205">
        <f>+'원가이체, 판관비 배부현황(VND)'!H31/H$128</f>
        <v>0</v>
      </c>
      <c r="I31" s="205">
        <f>+'원가이체, 판관비 배부현황(VND)'!I31/I$128</f>
        <v>0</v>
      </c>
      <c r="J31" s="205">
        <f>+'원가이체, 판관비 배부현황(VND)'!J31/J$128</f>
        <v>0</v>
      </c>
      <c r="K31" s="205">
        <f>+'원가이체, 판관비 배부현황(VND)'!K31/K$128</f>
        <v>0</v>
      </c>
      <c r="L31" s="205">
        <f>+'원가이체, 판관비 배부현황(VND)'!L31/L$128</f>
        <v>0</v>
      </c>
      <c r="M31" s="205">
        <f>+'원가이체, 판관비 배부현황(VND)'!M31/M$128</f>
        <v>0</v>
      </c>
      <c r="N31" s="205">
        <f>+'원가이체, 판관비 배부현황(VND)'!N31/N$128</f>
        <v>0</v>
      </c>
      <c r="O31" s="129">
        <f>SUM(C31:N31)</f>
        <v>0</v>
      </c>
    </row>
    <row r="32" spans="1:15" ht="28.5" outlineLevel="1">
      <c r="A32" s="386"/>
      <c r="B32" s="203" t="s">
        <v>69</v>
      </c>
      <c r="C32" s="205">
        <f>+'원가이체, 판관비 배부현황(VND)'!C32/C$128</f>
        <v>0</v>
      </c>
      <c r="D32" s="205">
        <f>+'원가이체, 판관비 배부현황(VND)'!D32/D$128</f>
        <v>0</v>
      </c>
      <c r="E32" s="205">
        <f>+'원가이체, 판관비 배부현황(VND)'!E32/E$128</f>
        <v>0</v>
      </c>
      <c r="F32" s="205">
        <f>+'원가이체, 판관비 배부현황(VND)'!F32/F$128</f>
        <v>0</v>
      </c>
      <c r="G32" s="205">
        <f>+'원가이체, 판관비 배부현황(VND)'!G32/G$128</f>
        <v>0</v>
      </c>
      <c r="H32" s="205">
        <f>+'원가이체, 판관비 배부현황(VND)'!H32/H$128</f>
        <v>0</v>
      </c>
      <c r="I32" s="205">
        <f>+'원가이체, 판관비 배부현황(VND)'!I32/I$128</f>
        <v>0</v>
      </c>
      <c r="J32" s="205">
        <f>+'원가이체, 판관비 배부현황(VND)'!J32/J$128</f>
        <v>0</v>
      </c>
      <c r="K32" s="205">
        <f>+'원가이체, 판관비 배부현황(VND)'!K32/K$128</f>
        <v>0</v>
      </c>
      <c r="L32" s="205">
        <f>+'원가이체, 판관비 배부현황(VND)'!L32/L$128</f>
        <v>0</v>
      </c>
      <c r="M32" s="205">
        <f>+'원가이체, 판관비 배부현황(VND)'!M32/M$128</f>
        <v>0</v>
      </c>
      <c r="N32" s="205">
        <f>+'원가이체, 판관비 배부현황(VND)'!N32/N$128</f>
        <v>0</v>
      </c>
      <c r="O32" s="131">
        <f t="shared" ref="O32" si="5">SUM(C32:N32)</f>
        <v>0</v>
      </c>
    </row>
    <row r="33" spans="1:15" ht="28.5" outlineLevel="1">
      <c r="A33" s="386"/>
      <c r="B33" s="204" t="s">
        <v>70</v>
      </c>
      <c r="C33" s="191">
        <f>+'원가이체, 판관비 배부현황(VND)'!C33/C$128</f>
        <v>0</v>
      </c>
      <c r="D33" s="191">
        <f>+'원가이체, 판관비 배부현황(VND)'!D33/D$128</f>
        <v>0</v>
      </c>
      <c r="E33" s="191">
        <f>+'원가이체, 판관비 배부현황(VND)'!E33/E$128</f>
        <v>0</v>
      </c>
      <c r="F33" s="191">
        <f>+'원가이체, 판관비 배부현황(VND)'!F33/F$128</f>
        <v>0</v>
      </c>
      <c r="G33" s="191">
        <f>+'원가이체, 판관비 배부현황(VND)'!G33/G$128</f>
        <v>0</v>
      </c>
      <c r="H33" s="191">
        <f>+'원가이체, 판관비 배부현황(VND)'!H33/H$128</f>
        <v>0</v>
      </c>
      <c r="I33" s="191">
        <f>+'원가이체, 판관비 배부현황(VND)'!I33/I$128</f>
        <v>0</v>
      </c>
      <c r="J33" s="191">
        <f>+'원가이체, 판관비 배부현황(VND)'!J33/J$128</f>
        <v>0</v>
      </c>
      <c r="K33" s="191">
        <f>+'원가이체, 판관비 배부현황(VND)'!K33/K$128</f>
        <v>0</v>
      </c>
      <c r="L33" s="191">
        <f>+'원가이체, 판관비 배부현황(VND)'!L33/L$128</f>
        <v>0</v>
      </c>
      <c r="M33" s="191">
        <f>+'원가이체, 판관비 배부현황(VND)'!M33/M$128</f>
        <v>0</v>
      </c>
      <c r="N33" s="191">
        <f>+'원가이체, 판관비 배부현황(VND)'!N33/N$128</f>
        <v>0</v>
      </c>
      <c r="O33" s="133">
        <f>SUM(C33:N33)</f>
        <v>0</v>
      </c>
    </row>
    <row r="34" spans="1:15" ht="28.5" outlineLevel="1">
      <c r="A34" s="386"/>
      <c r="B34" s="204" t="s">
        <v>71</v>
      </c>
      <c r="C34" s="192">
        <f>'원가이체, 판관비 배부현황(VND)'!C34</f>
        <v>0</v>
      </c>
      <c r="D34" s="192">
        <f>'원가이체, 판관비 배부현황(VND)'!D34</f>
        <v>0</v>
      </c>
      <c r="E34" s="192">
        <f>'원가이체, 판관비 배부현황(VND)'!E34</f>
        <v>0</v>
      </c>
      <c r="F34" s="192">
        <f>'원가이체, 판관비 배부현황(VND)'!F34</f>
        <v>0</v>
      </c>
      <c r="G34" s="192">
        <f>'원가이체, 판관비 배부현황(VND)'!G34</f>
        <v>0</v>
      </c>
      <c r="H34" s="192">
        <f>'원가이체, 판관비 배부현황(VND)'!H34</f>
        <v>0</v>
      </c>
      <c r="I34" s="192">
        <f>'원가이체, 판관비 배부현황(VND)'!I34</f>
        <v>0</v>
      </c>
      <c r="J34" s="192">
        <f>'원가이체, 판관비 배부현황(VND)'!J34</f>
        <v>0</v>
      </c>
      <c r="K34" s="192">
        <f>'원가이체, 판관비 배부현황(VND)'!K34</f>
        <v>0</v>
      </c>
      <c r="L34" s="192">
        <f>'원가이체, 판관비 배부현황(VND)'!L34</f>
        <v>0</v>
      </c>
      <c r="M34" s="192">
        <f>'원가이체, 판관비 배부현황(VND)'!M34</f>
        <v>0</v>
      </c>
      <c r="N34" s="192">
        <f>'원가이체, 판관비 배부현황(VND)'!N34</f>
        <v>0</v>
      </c>
      <c r="O34" s="133">
        <f t="shared" ref="O34" si="6">SUM(C34:N34)</f>
        <v>0</v>
      </c>
    </row>
    <row r="35" spans="1:15" ht="28.5" outlineLevel="1">
      <c r="A35" s="386" t="s">
        <v>226</v>
      </c>
      <c r="B35" s="202" t="s">
        <v>66</v>
      </c>
      <c r="C35" s="193">
        <f>+'원가이체, 판관비 배부현황(VND)'!C35/C$128</f>
        <v>715.75620359327513</v>
      </c>
      <c r="D35" s="193">
        <f>+'원가이체, 판관비 배부현황(VND)'!D35/D$128</f>
        <v>0</v>
      </c>
      <c r="E35" s="193">
        <f>+'원가이체, 판관비 배부현황(VND)'!E35/E$128</f>
        <v>352.8151786391565</v>
      </c>
      <c r="F35" s="193">
        <f>+'원가이체, 판관비 배부현황(VND)'!F35/F$128</f>
        <v>0</v>
      </c>
      <c r="G35" s="193">
        <f>+'원가이체, 판관비 배부현황(VND)'!G35/G$128</f>
        <v>0</v>
      </c>
      <c r="H35" s="193">
        <f>+'원가이체, 판관비 배부현황(VND)'!H35/H$128</f>
        <v>0</v>
      </c>
      <c r="I35" s="193">
        <f>+'원가이체, 판관비 배부현황(VND)'!I35/I$128</f>
        <v>0</v>
      </c>
      <c r="J35" s="193">
        <f>+'원가이체, 판관비 배부현황(VND)'!J35/J$128</f>
        <v>0</v>
      </c>
      <c r="K35" s="193">
        <f>+'원가이체, 판관비 배부현황(VND)'!K35/K$128</f>
        <v>0</v>
      </c>
      <c r="L35" s="193">
        <f>+'원가이체, 판관비 배부현황(VND)'!L35/L$128</f>
        <v>0</v>
      </c>
      <c r="M35" s="193">
        <f>+'원가이체, 판관비 배부현황(VND)'!M35/M$128</f>
        <v>0</v>
      </c>
      <c r="N35" s="193">
        <f>+'원가이체, 판관비 배부현황(VND)'!N35/N$128</f>
        <v>0</v>
      </c>
      <c r="O35" s="134">
        <f>SUM(C35:N35)</f>
        <v>1068.5713822324317</v>
      </c>
    </row>
    <row r="36" spans="1:15" ht="28.5" outlineLevel="1">
      <c r="A36" s="386"/>
      <c r="B36" s="199" t="s">
        <v>67</v>
      </c>
      <c r="C36" s="193">
        <f>+'원가이체, 판관비 배부현황(VND)'!C36/C$128</f>
        <v>562.1554278074866</v>
      </c>
      <c r="D36" s="193">
        <f>+'원가이체, 판관비 배부현황(VND)'!D36/D$128</f>
        <v>0</v>
      </c>
      <c r="E36" s="193">
        <f>+'원가이체, 판관비 배부현황(VND)'!E36/E$128</f>
        <v>12.844795607979973</v>
      </c>
      <c r="F36" s="193">
        <f>+'원가이체, 판관비 배부현황(VND)'!F36/F$128</f>
        <v>0</v>
      </c>
      <c r="G36" s="193">
        <f>+'원가이체, 판관비 배부현황(VND)'!G36/G$128</f>
        <v>0</v>
      </c>
      <c r="H36" s="193">
        <f>+'원가이체, 판관비 배부현황(VND)'!H36/H$128</f>
        <v>0</v>
      </c>
      <c r="I36" s="193">
        <f>+'원가이체, 판관비 배부현황(VND)'!I36/I$128</f>
        <v>0</v>
      </c>
      <c r="J36" s="193">
        <f>+'원가이체, 판관비 배부현황(VND)'!J36/J$128</f>
        <v>0</v>
      </c>
      <c r="K36" s="193">
        <f>+'원가이체, 판관비 배부현황(VND)'!K36/K$128</f>
        <v>0</v>
      </c>
      <c r="L36" s="193">
        <f>+'원가이체, 판관비 배부현황(VND)'!L36/L$128</f>
        <v>0</v>
      </c>
      <c r="M36" s="193">
        <f>+'원가이체, 판관비 배부현황(VND)'!M36/M$128</f>
        <v>0</v>
      </c>
      <c r="N36" s="193">
        <f>+'원가이체, 판관비 배부현황(VND)'!N36/N$128</f>
        <v>0</v>
      </c>
      <c r="O36" s="135">
        <f t="shared" ref="O36:O39" si="7">SUM(C36:N36)</f>
        <v>575.00022341546662</v>
      </c>
    </row>
    <row r="37" spans="1:15" ht="28.5" outlineLevel="1">
      <c r="A37" s="386"/>
      <c r="B37" s="202" t="s">
        <v>68</v>
      </c>
      <c r="C37" s="205">
        <f>+'원가이체, 판관비 배부현황(VND)'!C37/C$128</f>
        <v>546.90383018504986</v>
      </c>
      <c r="D37" s="205">
        <f>+'원가이체, 판관비 배부현황(VND)'!D37/D$128</f>
        <v>0</v>
      </c>
      <c r="E37" s="205">
        <f>+'원가이체, 판관비 배부현황(VND)'!E37/E$128</f>
        <v>12.844795607979973</v>
      </c>
      <c r="F37" s="205">
        <f>+'원가이체, 판관비 배부현황(VND)'!F37/F$128</f>
        <v>0</v>
      </c>
      <c r="G37" s="205">
        <f>+'원가이체, 판관비 배부현황(VND)'!G37/G$128</f>
        <v>0</v>
      </c>
      <c r="H37" s="205">
        <f>+'원가이체, 판관비 배부현황(VND)'!H37/H$128</f>
        <v>0</v>
      </c>
      <c r="I37" s="205">
        <f>+'원가이체, 판관비 배부현황(VND)'!I37/I$128</f>
        <v>0</v>
      </c>
      <c r="J37" s="205">
        <f>+'원가이체, 판관비 배부현황(VND)'!J37/J$128</f>
        <v>0</v>
      </c>
      <c r="K37" s="205">
        <f>+'원가이체, 판관비 배부현황(VND)'!K37/K$128</f>
        <v>0</v>
      </c>
      <c r="L37" s="205">
        <f>+'원가이체, 판관비 배부현황(VND)'!L37/L$128</f>
        <v>0</v>
      </c>
      <c r="M37" s="205">
        <f>+'원가이체, 판관비 배부현황(VND)'!M37/M$128</f>
        <v>0</v>
      </c>
      <c r="N37" s="205">
        <f>+'원가이체, 판관비 배부현황(VND)'!N37/N$128</f>
        <v>0</v>
      </c>
      <c r="O37" s="129">
        <f t="shared" si="7"/>
        <v>559.74862579302987</v>
      </c>
    </row>
    <row r="38" spans="1:15" ht="28.5" outlineLevel="1">
      <c r="A38" s="386"/>
      <c r="B38" s="203" t="s">
        <v>69</v>
      </c>
      <c r="C38" s="205">
        <f>+'원가이체, 판관비 배부현황(VND)'!C38/C$128</f>
        <v>15.25159762243681</v>
      </c>
      <c r="D38" s="205">
        <f>+'원가이체, 판관비 배부현황(VND)'!D38/D$128</f>
        <v>0</v>
      </c>
      <c r="E38" s="205">
        <f>+'원가이체, 판관비 배부현황(VND)'!E38/E$128</f>
        <v>0</v>
      </c>
      <c r="F38" s="205">
        <f>+'원가이체, 판관비 배부현황(VND)'!F38/F$128</f>
        <v>0</v>
      </c>
      <c r="G38" s="205">
        <f>+'원가이체, 판관비 배부현황(VND)'!G38/G$128</f>
        <v>0</v>
      </c>
      <c r="H38" s="205">
        <f>+'원가이체, 판관비 배부현황(VND)'!H38/H$128</f>
        <v>0</v>
      </c>
      <c r="I38" s="205">
        <f>+'원가이체, 판관비 배부현황(VND)'!I38/I$128</f>
        <v>0</v>
      </c>
      <c r="J38" s="205">
        <f>+'원가이체, 판관비 배부현황(VND)'!J38/J$128</f>
        <v>0</v>
      </c>
      <c r="K38" s="205">
        <f>+'원가이체, 판관비 배부현황(VND)'!K38/K$128</f>
        <v>0</v>
      </c>
      <c r="L38" s="205">
        <f>+'원가이체, 판관비 배부현황(VND)'!L38/L$128</f>
        <v>0</v>
      </c>
      <c r="M38" s="205">
        <f>+'원가이체, 판관비 배부현황(VND)'!M38/M$128</f>
        <v>0</v>
      </c>
      <c r="N38" s="205">
        <f>+'원가이체, 판관비 배부현황(VND)'!N38/N$128</f>
        <v>0</v>
      </c>
      <c r="O38" s="131">
        <f t="shared" si="7"/>
        <v>15.25159762243681</v>
      </c>
    </row>
    <row r="39" spans="1:15" ht="28.5" outlineLevel="1">
      <c r="A39" s="386"/>
      <c r="B39" s="204" t="s">
        <v>70</v>
      </c>
      <c r="C39" s="191">
        <f>+'원가이체, 판관비 배부현황(VND)'!C39/C$128</f>
        <v>0</v>
      </c>
      <c r="D39" s="191">
        <f>+'원가이체, 판관비 배부현황(VND)'!D39/D$128</f>
        <v>0</v>
      </c>
      <c r="E39" s="191">
        <f>+'원가이체, 판관비 배부현황(VND)'!E39/E$128</f>
        <v>0</v>
      </c>
      <c r="F39" s="191">
        <f>+'원가이체, 판관비 배부현황(VND)'!F39/F$128</f>
        <v>0</v>
      </c>
      <c r="G39" s="191">
        <f>+'원가이체, 판관비 배부현황(VND)'!G39/G$128</f>
        <v>0</v>
      </c>
      <c r="H39" s="191">
        <f>+'원가이체, 판관비 배부현황(VND)'!H39/H$128</f>
        <v>0</v>
      </c>
      <c r="I39" s="191">
        <f>+'원가이체, 판관비 배부현황(VND)'!I39/I$128</f>
        <v>0</v>
      </c>
      <c r="J39" s="191">
        <f>+'원가이체, 판관비 배부현황(VND)'!J39/J$128</f>
        <v>0</v>
      </c>
      <c r="K39" s="191">
        <f>+'원가이체, 판관비 배부현황(VND)'!K39/K$128</f>
        <v>0</v>
      </c>
      <c r="L39" s="191">
        <f>+'원가이체, 판관비 배부현황(VND)'!L39/L$128</f>
        <v>0</v>
      </c>
      <c r="M39" s="191">
        <f>+'원가이체, 판관비 배부현황(VND)'!M39/M$128</f>
        <v>0</v>
      </c>
      <c r="N39" s="191">
        <f>+'원가이체, 판관비 배부현황(VND)'!N39/N$128</f>
        <v>0</v>
      </c>
      <c r="O39" s="133">
        <f t="shared" si="7"/>
        <v>0</v>
      </c>
    </row>
    <row r="40" spans="1:15" ht="28.5" outlineLevel="1">
      <c r="A40" s="386"/>
      <c r="B40" s="204" t="s">
        <v>71</v>
      </c>
      <c r="C40" s="192">
        <f>'원가이체, 판관비 배부현황(VND)'!C40</f>
        <v>0</v>
      </c>
      <c r="D40" s="192">
        <f>'원가이체, 판관비 배부현황(VND)'!D40</f>
        <v>0</v>
      </c>
      <c r="E40" s="192">
        <f>'원가이체, 판관비 배부현황(VND)'!E40</f>
        <v>0</v>
      </c>
      <c r="F40" s="192">
        <f>'원가이체, 판관비 배부현황(VND)'!F40</f>
        <v>0</v>
      </c>
      <c r="G40" s="192">
        <f>'원가이체, 판관비 배부현황(VND)'!G40</f>
        <v>0</v>
      </c>
      <c r="H40" s="192">
        <f>'원가이체, 판관비 배부현황(VND)'!H40</f>
        <v>0</v>
      </c>
      <c r="I40" s="192">
        <f>'원가이체, 판관비 배부현황(VND)'!I40</f>
        <v>0</v>
      </c>
      <c r="J40" s="192">
        <f>'원가이체, 판관비 배부현황(VND)'!J40</f>
        <v>0</v>
      </c>
      <c r="K40" s="192">
        <f>'원가이체, 판관비 배부현황(VND)'!K40</f>
        <v>0</v>
      </c>
      <c r="L40" s="192">
        <f>'원가이체, 판관비 배부현황(VND)'!L40</f>
        <v>0</v>
      </c>
      <c r="M40" s="192">
        <f>'원가이체, 판관비 배부현황(VND)'!M40</f>
        <v>0</v>
      </c>
      <c r="N40" s="192">
        <f>'원가이체, 판관비 배부현황(VND)'!N40</f>
        <v>0</v>
      </c>
      <c r="O40" s="133">
        <f t="shared" ref="O40" si="8">SUM(C40:N40)</f>
        <v>0</v>
      </c>
    </row>
    <row r="41" spans="1:15" ht="28.5" outlineLevel="1">
      <c r="A41" s="382" t="s">
        <v>150</v>
      </c>
      <c r="B41" s="202" t="s">
        <v>66</v>
      </c>
      <c r="C41" s="193">
        <f>+'원가이체, 판관비 배부현황(VND)'!C41/C$128</f>
        <v>79.739765706151658</v>
      </c>
      <c r="D41" s="193">
        <f>+'원가이체, 판관비 배부현황(VND)'!D41/D$128</f>
        <v>1283.8682004599464</v>
      </c>
      <c r="E41" s="193">
        <f>+'원가이체, 판관비 배부현황(VND)'!E41/E$128</f>
        <v>590.27739698854589</v>
      </c>
      <c r="F41" s="193">
        <f>+'원가이체, 판관비 배부현황(VND)'!F41/F$128</f>
        <v>1461.3443519481011</v>
      </c>
      <c r="G41" s="193">
        <f>+'원가이체, 판관비 배부현황(VND)'!G41/G$128</f>
        <v>2899.3086840645774</v>
      </c>
      <c r="H41" s="193">
        <f>+'원가이체, 판관비 배부현황(VND)'!H41/H$128</f>
        <v>4075.6747236647025</v>
      </c>
      <c r="I41" s="193">
        <f>+'원가이체, 판관비 배부현황(VND)'!I41/I$128</f>
        <v>0</v>
      </c>
      <c r="J41" s="193">
        <f>+'원가이체, 판관비 배부현황(VND)'!J41/J$128</f>
        <v>0</v>
      </c>
      <c r="K41" s="193">
        <f>+'원가이체, 판관비 배부현황(VND)'!K41/K$128</f>
        <v>0</v>
      </c>
      <c r="L41" s="193">
        <f>+'원가이체, 판관비 배부현황(VND)'!L41/L$128</f>
        <v>0</v>
      </c>
      <c r="M41" s="193">
        <f>+'원가이체, 판관비 배부현황(VND)'!M41/M$128</f>
        <v>0</v>
      </c>
      <c r="N41" s="193">
        <f>+'원가이체, 판관비 배부현황(VND)'!N41/N$128</f>
        <v>0</v>
      </c>
      <c r="O41" s="134">
        <f>SUM(C41:N41)</f>
        <v>10390.213122832025</v>
      </c>
    </row>
    <row r="42" spans="1:15" ht="28.5" outlineLevel="1">
      <c r="A42" s="398"/>
      <c r="B42" s="199" t="s">
        <v>67</v>
      </c>
      <c r="C42" s="193">
        <f>+'원가이체, 판관비 배부현황(VND)'!C42/C$128</f>
        <v>66.85381956680645</v>
      </c>
      <c r="D42" s="193">
        <f>+'원가이체, 판관비 배부현황(VND)'!D42/D$128</f>
        <v>1076.3950992717516</v>
      </c>
      <c r="E42" s="193">
        <f>+'원가이체, 판관비 배부현황(VND)'!E42/E$128</f>
        <v>494.88856963513615</v>
      </c>
      <c r="F42" s="193">
        <f>+'원가이체, 판관비 배부현황(VND)'!F42/F$128</f>
        <v>1225.1911046701316</v>
      </c>
      <c r="G42" s="193">
        <f>+'원가이체, 판관비 배부현황(VND)'!G42/G$128</f>
        <v>2430.7804007217474</v>
      </c>
      <c r="H42" s="193">
        <f>+'원가이체, 판관비 배부현황(VND)'!H42/H$128</f>
        <v>3417.045688310207</v>
      </c>
      <c r="I42" s="193">
        <f>+'원가이체, 판관비 배부현황(VND)'!I42/I$128</f>
        <v>0</v>
      </c>
      <c r="J42" s="193">
        <f>+'원가이체, 판관비 배부현황(VND)'!J42/J$128</f>
        <v>0</v>
      </c>
      <c r="K42" s="193">
        <f>+'원가이체, 판관비 배부현황(VND)'!K42/K$128</f>
        <v>0</v>
      </c>
      <c r="L42" s="193">
        <f>+'원가이체, 판관비 배부현황(VND)'!L42/L$128</f>
        <v>0</v>
      </c>
      <c r="M42" s="193">
        <f>+'원가이체, 판관비 배부현황(VND)'!M42/M$128</f>
        <v>0</v>
      </c>
      <c r="N42" s="193">
        <f>+'원가이체, 판관비 배부현황(VND)'!N42/N$128</f>
        <v>0</v>
      </c>
      <c r="O42" s="135">
        <f t="shared" ref="O42:O45" si="9">SUM(C42:N42)</f>
        <v>8711.1546821757802</v>
      </c>
    </row>
    <row r="43" spans="1:15" ht="28.5" outlineLevel="1">
      <c r="A43" s="398"/>
      <c r="B43" s="202" t="s">
        <v>68</v>
      </c>
      <c r="C43" s="205">
        <f>+'원가이체, 판관비 배부현황(VND)'!C43/C$128</f>
        <v>63.138653791405382</v>
      </c>
      <c r="D43" s="205">
        <f>+'원가이체, 판관비 배부현황(VND)'!D43/D$128</f>
        <v>1064.0506065925642</v>
      </c>
      <c r="E43" s="205">
        <f>+'원가이체, 판관비 배부현황(VND)'!E43/E$128</f>
        <v>484.93172327998178</v>
      </c>
      <c r="F43" s="205">
        <f>+'원가이체, 판관비 배부현황(VND)'!F43/F$128</f>
        <v>1212.3908701392313</v>
      </c>
      <c r="G43" s="205">
        <f>+'원가이체, 판관비 배부현황(VND)'!G43/G$128</f>
        <v>2401.2415049192782</v>
      </c>
      <c r="H43" s="205">
        <f>+'원가이체, 판관비 배부현황(VND)'!H43/H$128</f>
        <v>3387.0755922448202</v>
      </c>
      <c r="I43" s="205">
        <f>+'원가이체, 판관비 배부현황(VND)'!I43/I$128</f>
        <v>0</v>
      </c>
      <c r="J43" s="205">
        <f>+'원가이체, 판관비 배부현황(VND)'!J43/J$128</f>
        <v>0</v>
      </c>
      <c r="K43" s="205">
        <f>+'원가이체, 판관비 배부현황(VND)'!K43/K$128</f>
        <v>0</v>
      </c>
      <c r="L43" s="205">
        <f>+'원가이체, 판관비 배부현황(VND)'!L43/L$128</f>
        <v>0</v>
      </c>
      <c r="M43" s="205">
        <f>+'원가이체, 판관비 배부현황(VND)'!M43/M$128</f>
        <v>0</v>
      </c>
      <c r="N43" s="205">
        <f>+'원가이체, 판관비 배부현황(VND)'!N43/N$128</f>
        <v>0</v>
      </c>
      <c r="O43" s="129">
        <f t="shared" si="9"/>
        <v>8612.8289509672813</v>
      </c>
    </row>
    <row r="44" spans="1:15" ht="28.5" outlineLevel="1">
      <c r="A44" s="398"/>
      <c r="B44" s="203" t="s">
        <v>69</v>
      </c>
      <c r="C44" s="205">
        <f>+'원가이체, 판관비 배부현황(VND)'!C44/C$128</f>
        <v>3.7151657754010694</v>
      </c>
      <c r="D44" s="205">
        <f>+'원가이체, 판관비 배부현황(VND)'!D44/D$128</f>
        <v>12.344492679187429</v>
      </c>
      <c r="E44" s="205">
        <f>+'원가이체, 판관비 배부현황(VND)'!E44/E$128</f>
        <v>9.9568463551543651</v>
      </c>
      <c r="F44" s="205">
        <f>+'원가이체, 판관비 배부현황(VND)'!F44/F$128</f>
        <v>12.800234530900262</v>
      </c>
      <c r="G44" s="205">
        <f>+'원가이체, 판관비 배부현황(VND)'!G44/G$128</f>
        <v>29.538895802469135</v>
      </c>
      <c r="H44" s="205">
        <f>+'원가이체, 판관비 배부현황(VND)'!H44/H$128</f>
        <v>29.970096065386809</v>
      </c>
      <c r="I44" s="205">
        <f>+'원가이체, 판관비 배부현황(VND)'!I44/I$128</f>
        <v>0</v>
      </c>
      <c r="J44" s="205">
        <f>+'원가이체, 판관비 배부현황(VND)'!J44/J$128</f>
        <v>0</v>
      </c>
      <c r="K44" s="205">
        <f>+'원가이체, 판관비 배부현황(VND)'!K44/K$128</f>
        <v>0</v>
      </c>
      <c r="L44" s="205">
        <f>+'원가이체, 판관비 배부현황(VND)'!L44/L$128</f>
        <v>0</v>
      </c>
      <c r="M44" s="205">
        <f>+'원가이체, 판관비 배부현황(VND)'!M44/M$128</f>
        <v>0</v>
      </c>
      <c r="N44" s="205">
        <f>+'원가이체, 판관비 배부현황(VND)'!N44/N$128</f>
        <v>0</v>
      </c>
      <c r="O44" s="131">
        <f t="shared" si="9"/>
        <v>98.325731208499079</v>
      </c>
    </row>
    <row r="45" spans="1:15" ht="28.5" outlineLevel="1">
      <c r="A45" s="398"/>
      <c r="B45" s="204" t="s">
        <v>70</v>
      </c>
      <c r="C45" s="191">
        <f>+'원가이체, 판관비 배부현황(VND)'!C45/C$128</f>
        <v>42.558882853075829</v>
      </c>
      <c r="D45" s="191">
        <f>+'원가이체, 판관비 배부현황(VND)'!D45/D$128</f>
        <v>51.932164584131854</v>
      </c>
      <c r="E45" s="191">
        <f>+'원가이체, 판관비 배부현황(VND)'!E45/E$128</f>
        <v>46.862604907835852</v>
      </c>
      <c r="F45" s="191">
        <f>+'원가이체, 판관비 배부현황(VND)'!F45/F$128</f>
        <v>54.327680602450776</v>
      </c>
      <c r="G45" s="191">
        <f>+'원가이체, 판관비 배부현황(VND)'!G45/G$128</f>
        <v>87.723876125356128</v>
      </c>
      <c r="H45" s="191">
        <f>+'원가이체, 판관비 배부현황(VND)'!H45/H$128</f>
        <v>83.570843489830835</v>
      </c>
      <c r="I45" s="191" t="e">
        <f>+'원가이체, 판관비 배부현황(VND)'!I45/I$128</f>
        <v>#DIV/0!</v>
      </c>
      <c r="J45" s="191" t="e">
        <f>+'원가이체, 판관비 배부현황(VND)'!J45/J$128</f>
        <v>#DIV/0!</v>
      </c>
      <c r="K45" s="191" t="e">
        <f>+'원가이체, 판관비 배부현황(VND)'!K45/K$128</f>
        <v>#DIV/0!</v>
      </c>
      <c r="L45" s="191" t="e">
        <f>+'원가이체, 판관비 배부현황(VND)'!L45/L$128</f>
        <v>#DIV/0!</v>
      </c>
      <c r="M45" s="191" t="e">
        <f>+'원가이체, 판관비 배부현황(VND)'!M45/M$128</f>
        <v>#DIV/0!</v>
      </c>
      <c r="N45" s="191" t="e">
        <f>+'원가이체, 판관비 배부현황(VND)'!N45/N$128</f>
        <v>#DIV/0!</v>
      </c>
      <c r="O45" s="133" t="e">
        <f t="shared" si="9"/>
        <v>#DIV/0!</v>
      </c>
    </row>
    <row r="46" spans="1:15" ht="28.5" outlineLevel="1">
      <c r="A46" s="398"/>
      <c r="B46" s="204" t="s">
        <v>71</v>
      </c>
      <c r="C46" s="192">
        <f>'원가이체, 판관비 배부현황(VND)'!C46</f>
        <v>3</v>
      </c>
      <c r="D46" s="192">
        <f>'원가이체, 판관비 배부현황(VND)'!D46</f>
        <v>4</v>
      </c>
      <c r="E46" s="192">
        <f>'원가이체, 판관비 배부현황(VND)'!E46</f>
        <v>4</v>
      </c>
      <c r="F46" s="192">
        <f>'원가이체, 판관비 배부현황(VND)'!F46</f>
        <v>4</v>
      </c>
      <c r="G46" s="192">
        <f>'원가이체, 판관비 배부현황(VND)'!G46</f>
        <v>4</v>
      </c>
      <c r="H46" s="192">
        <f>'원가이체, 판관비 배부현황(VND)'!H46</f>
        <v>4</v>
      </c>
      <c r="I46" s="192">
        <f>'원가이체, 판관비 배부현황(VND)'!I46</f>
        <v>4</v>
      </c>
      <c r="J46" s="192">
        <f>'원가이체, 판관비 배부현황(VND)'!J46</f>
        <v>4</v>
      </c>
      <c r="K46" s="192">
        <f>'원가이체, 판관비 배부현황(VND)'!K46</f>
        <v>4</v>
      </c>
      <c r="L46" s="192">
        <f>'원가이체, 판관비 배부현황(VND)'!L46</f>
        <v>4</v>
      </c>
      <c r="M46" s="192">
        <f>'원가이체, 판관비 배부현황(VND)'!M46</f>
        <v>4</v>
      </c>
      <c r="N46" s="192">
        <f>'원가이체, 판관비 배부현황(VND)'!N46</f>
        <v>4</v>
      </c>
      <c r="O46" s="133">
        <f t="shared" ref="O46" si="10">SUM(C46:N46)</f>
        <v>47</v>
      </c>
    </row>
    <row r="47" spans="1:15" ht="28.5" outlineLevel="1">
      <c r="A47" s="386" t="s">
        <v>155</v>
      </c>
      <c r="B47" s="202" t="s">
        <v>66</v>
      </c>
      <c r="C47" s="193">
        <f>+'원가이체, 판관비 배부현황(VND)'!C47/C$128</f>
        <v>0</v>
      </c>
      <c r="D47" s="193">
        <f>+'원가이체, 판관비 배부현황(VND)'!D47/D$128</f>
        <v>0</v>
      </c>
      <c r="E47" s="193">
        <f>+'원가이체, 판관비 배부현황(VND)'!E47/E$128</f>
        <v>0</v>
      </c>
      <c r="F47" s="193">
        <f>+'원가이체, 판관비 배부현황(VND)'!F47/F$128</f>
        <v>0</v>
      </c>
      <c r="G47" s="193">
        <f>+'원가이체, 판관비 배부현황(VND)'!G47/G$128</f>
        <v>0</v>
      </c>
      <c r="H47" s="193">
        <f>+'원가이체, 판관비 배부현황(VND)'!H47/H$128</f>
        <v>0</v>
      </c>
      <c r="I47" s="193">
        <f>+'원가이체, 판관비 배부현황(VND)'!I47/I$128</f>
        <v>0</v>
      </c>
      <c r="J47" s="193">
        <f>+'원가이체, 판관비 배부현황(VND)'!J47/J$128</f>
        <v>0</v>
      </c>
      <c r="K47" s="193">
        <f>+'원가이체, 판관비 배부현황(VND)'!K47/K$128</f>
        <v>0</v>
      </c>
      <c r="L47" s="193">
        <f>+'원가이체, 판관비 배부현황(VND)'!L47/L$128</f>
        <v>0</v>
      </c>
      <c r="M47" s="193">
        <f>+'원가이체, 판관비 배부현황(VND)'!M47/M$128</f>
        <v>0</v>
      </c>
      <c r="N47" s="193">
        <f>+'원가이체, 판관비 배부현황(VND)'!N47/N$128</f>
        <v>0</v>
      </c>
      <c r="O47" s="134">
        <f>SUM(C47:N47)</f>
        <v>0</v>
      </c>
    </row>
    <row r="48" spans="1:15" ht="28.5" outlineLevel="1">
      <c r="A48" s="403"/>
      <c r="B48" s="199" t="s">
        <v>67</v>
      </c>
      <c r="C48" s="193">
        <f>+'원가이체, 판관비 배부현황(VND)'!C48/C$128</f>
        <v>0</v>
      </c>
      <c r="D48" s="193">
        <f>+'원가이체, 판관비 배부현황(VND)'!D48/D$128</f>
        <v>0</v>
      </c>
      <c r="E48" s="193">
        <f>+'원가이체, 판관비 배부현황(VND)'!E48/E$128</f>
        <v>0</v>
      </c>
      <c r="F48" s="193">
        <f>+'원가이체, 판관비 배부현황(VND)'!F48/F$128</f>
        <v>0</v>
      </c>
      <c r="G48" s="193">
        <f>+'원가이체, 판관비 배부현황(VND)'!G48/G$128</f>
        <v>0</v>
      </c>
      <c r="H48" s="193">
        <f>+'원가이체, 판관비 배부현황(VND)'!H48/H$128</f>
        <v>0</v>
      </c>
      <c r="I48" s="193">
        <f>+'원가이체, 판관비 배부현황(VND)'!I48/I$128</f>
        <v>0</v>
      </c>
      <c r="J48" s="193">
        <f>+'원가이체, 판관비 배부현황(VND)'!J48/J$128</f>
        <v>0</v>
      </c>
      <c r="K48" s="193">
        <f>+'원가이체, 판관비 배부현황(VND)'!K48/K$128</f>
        <v>0</v>
      </c>
      <c r="L48" s="193">
        <f>+'원가이체, 판관비 배부현황(VND)'!L48/L$128</f>
        <v>0</v>
      </c>
      <c r="M48" s="193">
        <f>+'원가이체, 판관비 배부현황(VND)'!M48/M$128</f>
        <v>0</v>
      </c>
      <c r="N48" s="193">
        <f>+'원가이체, 판관비 배부현황(VND)'!N48/N$128</f>
        <v>0</v>
      </c>
      <c r="O48" s="135">
        <f t="shared" ref="O48:O51" si="11">SUM(C48:N48)</f>
        <v>0</v>
      </c>
    </row>
    <row r="49" spans="1:15" ht="28.5" outlineLevel="1">
      <c r="A49" s="403"/>
      <c r="B49" s="202" t="s">
        <v>68</v>
      </c>
      <c r="C49" s="205">
        <f>+'원가이체, 판관비 배부현황(VND)'!C49/C$128</f>
        <v>0</v>
      </c>
      <c r="D49" s="205">
        <f>+'원가이체, 판관비 배부현황(VND)'!D49/D$128</f>
        <v>0</v>
      </c>
      <c r="E49" s="205">
        <f>+'원가이체, 판관비 배부현황(VND)'!E49/E$128</f>
        <v>0</v>
      </c>
      <c r="F49" s="205">
        <f>+'원가이체, 판관비 배부현황(VND)'!F49/F$128</f>
        <v>0</v>
      </c>
      <c r="G49" s="205">
        <f>+'원가이체, 판관비 배부현황(VND)'!G49/G$128</f>
        <v>0</v>
      </c>
      <c r="H49" s="205">
        <f>+'원가이체, 판관비 배부현황(VND)'!H49/H$128</f>
        <v>0</v>
      </c>
      <c r="I49" s="205">
        <f>+'원가이체, 판관비 배부현황(VND)'!I49/I$128</f>
        <v>0</v>
      </c>
      <c r="J49" s="205">
        <f>+'원가이체, 판관비 배부현황(VND)'!J49/J$128</f>
        <v>0</v>
      </c>
      <c r="K49" s="205">
        <f>+'원가이체, 판관비 배부현황(VND)'!K49/K$128</f>
        <v>0</v>
      </c>
      <c r="L49" s="205">
        <f>+'원가이체, 판관비 배부현황(VND)'!L49/L$128</f>
        <v>0</v>
      </c>
      <c r="M49" s="205">
        <f>+'원가이체, 판관비 배부현황(VND)'!M49/M$128</f>
        <v>0</v>
      </c>
      <c r="N49" s="205">
        <f>+'원가이체, 판관비 배부현황(VND)'!N49/N$128</f>
        <v>0</v>
      </c>
      <c r="O49" s="129">
        <f t="shared" si="11"/>
        <v>0</v>
      </c>
    </row>
    <row r="50" spans="1:15" ht="28.5" outlineLevel="1">
      <c r="A50" s="403"/>
      <c r="B50" s="203" t="s">
        <v>69</v>
      </c>
      <c r="C50" s="205">
        <f>+'원가이체, 판관비 배부현황(VND)'!C50/C$128</f>
        <v>0</v>
      </c>
      <c r="D50" s="205">
        <f>+'원가이체, 판관비 배부현황(VND)'!D50/D$128</f>
        <v>0</v>
      </c>
      <c r="E50" s="205">
        <f>+'원가이체, 판관비 배부현황(VND)'!E50/E$128</f>
        <v>0</v>
      </c>
      <c r="F50" s="205">
        <f>+'원가이체, 판관비 배부현황(VND)'!F50/F$128</f>
        <v>0</v>
      </c>
      <c r="G50" s="205">
        <f>+'원가이체, 판관비 배부현황(VND)'!G50/G$128</f>
        <v>0</v>
      </c>
      <c r="H50" s="205">
        <f>+'원가이체, 판관비 배부현황(VND)'!H50/H$128</f>
        <v>0</v>
      </c>
      <c r="I50" s="205">
        <f>+'원가이체, 판관비 배부현황(VND)'!I50/I$128</f>
        <v>0</v>
      </c>
      <c r="J50" s="205">
        <f>+'원가이체, 판관비 배부현황(VND)'!J50/J$128</f>
        <v>0</v>
      </c>
      <c r="K50" s="205">
        <f>+'원가이체, 판관비 배부현황(VND)'!K50/K$128</f>
        <v>0</v>
      </c>
      <c r="L50" s="205">
        <f>+'원가이체, 판관비 배부현황(VND)'!L50/L$128</f>
        <v>0</v>
      </c>
      <c r="M50" s="205">
        <f>+'원가이체, 판관비 배부현황(VND)'!M50/M$128</f>
        <v>0</v>
      </c>
      <c r="N50" s="205">
        <f>+'원가이체, 판관비 배부현황(VND)'!N50/N$128</f>
        <v>0</v>
      </c>
      <c r="O50" s="131">
        <f t="shared" si="11"/>
        <v>0</v>
      </c>
    </row>
    <row r="51" spans="1:15" ht="28.5" outlineLevel="1">
      <c r="A51" s="403"/>
      <c r="B51" s="204" t="s">
        <v>70</v>
      </c>
      <c r="C51" s="191">
        <f>+'원가이체, 판관비 배부현황(VND)'!C51/C$128</f>
        <v>0</v>
      </c>
      <c r="D51" s="191">
        <f>+'원가이체, 판관비 배부현황(VND)'!D51/D$128</f>
        <v>0</v>
      </c>
      <c r="E51" s="191">
        <f>+'원가이체, 판관비 배부현황(VND)'!E51/E$128</f>
        <v>0</v>
      </c>
      <c r="F51" s="191">
        <f>+'원가이체, 판관비 배부현황(VND)'!F51/F$128</f>
        <v>0</v>
      </c>
      <c r="G51" s="191">
        <f>+'원가이체, 판관비 배부현황(VND)'!G51/G$128</f>
        <v>0</v>
      </c>
      <c r="H51" s="191">
        <f>+'원가이체, 판관비 배부현황(VND)'!H51/H$128</f>
        <v>0</v>
      </c>
      <c r="I51" s="191">
        <f>+'원가이체, 판관비 배부현황(VND)'!I51/I$128</f>
        <v>0</v>
      </c>
      <c r="J51" s="191">
        <f>+'원가이체, 판관비 배부현황(VND)'!J51/J$128</f>
        <v>0</v>
      </c>
      <c r="K51" s="191">
        <f>+'원가이체, 판관비 배부현황(VND)'!K51/K$128</f>
        <v>0</v>
      </c>
      <c r="L51" s="191">
        <f>+'원가이체, 판관비 배부현황(VND)'!L51/L$128</f>
        <v>0</v>
      </c>
      <c r="M51" s="191">
        <f>+'원가이체, 판관비 배부현황(VND)'!M51/M$128</f>
        <v>0</v>
      </c>
      <c r="N51" s="191">
        <f>+'원가이체, 판관비 배부현황(VND)'!N51/N$128</f>
        <v>0</v>
      </c>
      <c r="O51" s="133">
        <f t="shared" si="11"/>
        <v>0</v>
      </c>
    </row>
    <row r="52" spans="1:15" ht="28.5" outlineLevel="1">
      <c r="A52" s="403"/>
      <c r="B52" s="204" t="s">
        <v>71</v>
      </c>
      <c r="C52" s="192">
        <f>'원가이체, 판관비 배부현황(VND)'!C52</f>
        <v>0</v>
      </c>
      <c r="D52" s="192">
        <f>'원가이체, 판관비 배부현황(VND)'!D52</f>
        <v>0</v>
      </c>
      <c r="E52" s="192">
        <f>'원가이체, 판관비 배부현황(VND)'!E52</f>
        <v>0</v>
      </c>
      <c r="F52" s="192">
        <f>'원가이체, 판관비 배부현황(VND)'!F52</f>
        <v>0</v>
      </c>
      <c r="G52" s="192">
        <f>'원가이체, 판관비 배부현황(VND)'!G52</f>
        <v>0</v>
      </c>
      <c r="H52" s="192">
        <f>'원가이체, 판관비 배부현황(VND)'!H52</f>
        <v>0</v>
      </c>
      <c r="I52" s="192">
        <f>'원가이체, 판관비 배부현황(VND)'!I52</f>
        <v>0</v>
      </c>
      <c r="J52" s="192">
        <f>'원가이체, 판관비 배부현황(VND)'!J52</f>
        <v>0</v>
      </c>
      <c r="K52" s="192">
        <f>'원가이체, 판관비 배부현황(VND)'!K52</f>
        <v>0</v>
      </c>
      <c r="L52" s="192">
        <f>'원가이체, 판관비 배부현황(VND)'!L52</f>
        <v>0</v>
      </c>
      <c r="M52" s="192">
        <f>'원가이체, 판관비 배부현황(VND)'!M52</f>
        <v>0</v>
      </c>
      <c r="N52" s="192">
        <f>'원가이체, 판관비 배부현황(VND)'!N52</f>
        <v>0</v>
      </c>
      <c r="O52" s="133">
        <f t="shared" ref="O52" si="12">SUM(C52:N52)</f>
        <v>0</v>
      </c>
    </row>
    <row r="53" spans="1:15" ht="28.5" outlineLevel="1">
      <c r="A53" s="386" t="s">
        <v>152</v>
      </c>
      <c r="B53" s="202" t="s">
        <v>66</v>
      </c>
      <c r="C53" s="191">
        <f>+'원가이체, 판관비 배부현황(VND)'!C53/C$128</f>
        <v>92.675431847035739</v>
      </c>
      <c r="D53" s="191">
        <f>+'원가이체, 판관비 배부현황(VND)'!D53/D$128</f>
        <v>92.330873898045226</v>
      </c>
      <c r="E53" s="191">
        <f>+'원가이체, 판관비 배부현황(VND)'!E53/E$128</f>
        <v>91.364351816733674</v>
      </c>
      <c r="F53" s="191">
        <f>+'원가이체, 판관비 배부현황(VND)'!F53/F$128</f>
        <v>0</v>
      </c>
      <c r="G53" s="191">
        <f>+'원가이체, 판관비 배부현황(VND)'!G53/G$128</f>
        <v>0</v>
      </c>
      <c r="H53" s="191">
        <f>+'원가이체, 판관비 배부현황(VND)'!H53/H$128</f>
        <v>0</v>
      </c>
      <c r="I53" s="191">
        <f>+'원가이체, 판관비 배부현황(VND)'!I53/I$128</f>
        <v>0</v>
      </c>
      <c r="J53" s="191">
        <f>+'원가이체, 판관비 배부현황(VND)'!J53/J$128</f>
        <v>0</v>
      </c>
      <c r="K53" s="191">
        <f>+'원가이체, 판관비 배부현황(VND)'!K53/K$128</f>
        <v>0</v>
      </c>
      <c r="L53" s="191">
        <f>+'원가이체, 판관비 배부현황(VND)'!L53/L$128</f>
        <v>0</v>
      </c>
      <c r="M53" s="191">
        <f>+'원가이체, 판관비 배부현황(VND)'!M53/M$128</f>
        <v>0</v>
      </c>
      <c r="N53" s="191">
        <f>+'원가이체, 판관비 배부현황(VND)'!N53/N$128</f>
        <v>0</v>
      </c>
      <c r="O53" s="133">
        <f>SUM(C53:N53)</f>
        <v>276.37065756181465</v>
      </c>
    </row>
    <row r="54" spans="1:15" ht="28.5" outlineLevel="1">
      <c r="A54" s="403"/>
      <c r="B54" s="199" t="s">
        <v>67</v>
      </c>
      <c r="C54" s="191">
        <f>+'원가이체, 판관비 배부현황(VND)'!C54/C$128</f>
        <v>61.201714538529608</v>
      </c>
      <c r="D54" s="191">
        <f>+'원가이체, 판관비 배부현황(VND)'!D54/D$128</f>
        <v>78.034488424683786</v>
      </c>
      <c r="E54" s="191">
        <f>+'원가이체, 판관비 배부현황(VND)'!E54/E$128</f>
        <v>96.387882082985669</v>
      </c>
      <c r="F54" s="191">
        <f>+'원가이체, 판관비 배부현황(VND)'!F54/F$128</f>
        <v>4.5239212413217498</v>
      </c>
      <c r="G54" s="191">
        <f>+'원가이체, 판관비 배부현황(VND)'!G54/G$128</f>
        <v>0</v>
      </c>
      <c r="H54" s="191">
        <f>+'원가이체, 판관비 배부현황(VND)'!H54/H$128</f>
        <v>0</v>
      </c>
      <c r="I54" s="191">
        <f>+'원가이체, 판관비 배부현황(VND)'!I54/I$128</f>
        <v>0</v>
      </c>
      <c r="J54" s="191">
        <f>+'원가이체, 판관비 배부현황(VND)'!J54/J$128</f>
        <v>0</v>
      </c>
      <c r="K54" s="191">
        <f>+'원가이체, 판관비 배부현황(VND)'!K54/K$128</f>
        <v>0</v>
      </c>
      <c r="L54" s="191">
        <f>+'원가이체, 판관비 배부현황(VND)'!L54/L$128</f>
        <v>0</v>
      </c>
      <c r="M54" s="191">
        <f>+'원가이체, 판관비 배부현황(VND)'!M54/M$128</f>
        <v>0</v>
      </c>
      <c r="N54" s="191">
        <f>+'원가이체, 판관비 배부현황(VND)'!N54/N$128</f>
        <v>0</v>
      </c>
      <c r="O54" s="133">
        <f t="shared" ref="O54:O57" si="13">SUM(C54:N54)</f>
        <v>240.14800628752081</v>
      </c>
    </row>
    <row r="55" spans="1:15" ht="28.5" outlineLevel="1">
      <c r="A55" s="403"/>
      <c r="B55" s="202" t="s">
        <v>68</v>
      </c>
      <c r="C55" s="310">
        <f>+'원가이체, 판관비 배부현황(VND)'!C55/C$128</f>
        <v>61.867910129650291</v>
      </c>
      <c r="D55" s="310">
        <f>+'원가이체, 판관비 배부현황(VND)'!D55/D$128</f>
        <v>78.034488424683786</v>
      </c>
      <c r="E55" s="310">
        <f>+'원가이체, 판관비 배부현황(VND)'!E55/E$128</f>
        <v>96.387882082985669</v>
      </c>
      <c r="F55" s="310">
        <f>+'원가이체, 판관비 배부현황(VND)'!F55/F$128</f>
        <v>4.5239212413217498</v>
      </c>
      <c r="G55" s="310">
        <f>+'원가이체, 판관비 배부현황(VND)'!G55/G$128</f>
        <v>0</v>
      </c>
      <c r="H55" s="310">
        <f>+'원가이체, 판관비 배부현황(VND)'!H55/H$128</f>
        <v>0</v>
      </c>
      <c r="I55" s="310">
        <f>+'원가이체, 판관비 배부현황(VND)'!I55/I$128</f>
        <v>0</v>
      </c>
      <c r="J55" s="310">
        <f>+'원가이체, 판관비 배부현황(VND)'!J55/J$128</f>
        <v>0</v>
      </c>
      <c r="K55" s="310">
        <f>+'원가이체, 판관비 배부현황(VND)'!K55/K$128</f>
        <v>0</v>
      </c>
      <c r="L55" s="310">
        <f>+'원가이체, 판관비 배부현황(VND)'!L55/L$128</f>
        <v>0</v>
      </c>
      <c r="M55" s="310">
        <f>+'원가이체, 판관비 배부현황(VND)'!M55/M$128</f>
        <v>0</v>
      </c>
      <c r="N55" s="310">
        <f>+'원가이체, 판관비 배부현황(VND)'!N55/N$128</f>
        <v>0</v>
      </c>
      <c r="O55" s="285">
        <f t="shared" si="13"/>
        <v>240.81420187864148</v>
      </c>
    </row>
    <row r="56" spans="1:15" ht="28.5" outlineLevel="1">
      <c r="A56" s="403"/>
      <c r="B56" s="203" t="s">
        <v>69</v>
      </c>
      <c r="C56" s="205">
        <f>+'원가이체, 판관비 배부현황(VND)'!C56/C$128</f>
        <v>-0.66619559112068638</v>
      </c>
      <c r="D56" s="205">
        <f>+'원가이체, 판관비 배부현황(VND)'!D56/D$128</f>
        <v>0</v>
      </c>
      <c r="E56" s="205">
        <f>+'원가이체, 판관비 배부현황(VND)'!E56/E$128</f>
        <v>0</v>
      </c>
      <c r="F56" s="205">
        <f>+'원가이체, 판관비 배부현황(VND)'!F56/F$128</f>
        <v>0</v>
      </c>
      <c r="G56" s="205">
        <f>+'원가이체, 판관비 배부현황(VND)'!G56/G$128</f>
        <v>0</v>
      </c>
      <c r="H56" s="205">
        <f>+'원가이체, 판관비 배부현황(VND)'!H56/H$128</f>
        <v>0</v>
      </c>
      <c r="I56" s="205">
        <f>+'원가이체, 판관비 배부현황(VND)'!I56/I$128</f>
        <v>0</v>
      </c>
      <c r="J56" s="205">
        <f>+'원가이체, 판관비 배부현황(VND)'!J56/J$128</f>
        <v>0</v>
      </c>
      <c r="K56" s="205">
        <f>+'원가이체, 판관비 배부현황(VND)'!K56/K$128</f>
        <v>0</v>
      </c>
      <c r="L56" s="205">
        <f>+'원가이체, 판관비 배부현황(VND)'!L56/L$128</f>
        <v>0</v>
      </c>
      <c r="M56" s="205">
        <f>+'원가이체, 판관비 배부현황(VND)'!M56/M$128</f>
        <v>0</v>
      </c>
      <c r="N56" s="205">
        <f>+'원가이체, 판관비 배부현황(VND)'!N56/N$128</f>
        <v>0</v>
      </c>
      <c r="O56" s="131">
        <f t="shared" si="13"/>
        <v>-0.66619559112068638</v>
      </c>
    </row>
    <row r="57" spans="1:15" ht="28.5" outlineLevel="1">
      <c r="A57" s="403"/>
      <c r="B57" s="204" t="s">
        <v>70</v>
      </c>
      <c r="C57" s="191">
        <f>+'원가이체, 판관비 배부현황(VND)'!C57/C$128</f>
        <v>0</v>
      </c>
      <c r="D57" s="191">
        <f>+'원가이체, 판관비 배부현황(VND)'!D57/D$128</f>
        <v>0</v>
      </c>
      <c r="E57" s="191">
        <f>+'원가이체, 판관비 배부현황(VND)'!E57/E$128</f>
        <v>0</v>
      </c>
      <c r="F57" s="191">
        <f>+'원가이체, 판관비 배부현황(VND)'!F57/F$128</f>
        <v>0</v>
      </c>
      <c r="G57" s="191">
        <f>+'원가이체, 판관비 배부현황(VND)'!G57/G$128</f>
        <v>0</v>
      </c>
      <c r="H57" s="191">
        <f>+'원가이체, 판관비 배부현황(VND)'!H57/H$128</f>
        <v>0</v>
      </c>
      <c r="I57" s="191">
        <f>+'원가이체, 판관비 배부현황(VND)'!I57/I$128</f>
        <v>0</v>
      </c>
      <c r="J57" s="191">
        <f>+'원가이체, 판관비 배부현황(VND)'!J57/J$128</f>
        <v>0</v>
      </c>
      <c r="K57" s="191">
        <f>+'원가이체, 판관비 배부현황(VND)'!K57/K$128</f>
        <v>0</v>
      </c>
      <c r="L57" s="191">
        <f>+'원가이체, 판관비 배부현황(VND)'!L57/L$128</f>
        <v>0</v>
      </c>
      <c r="M57" s="191">
        <f>+'원가이체, 판관비 배부현황(VND)'!M57/M$128</f>
        <v>0</v>
      </c>
      <c r="N57" s="191">
        <f>+'원가이체, 판관비 배부현황(VND)'!N57/N$128</f>
        <v>0</v>
      </c>
      <c r="O57" s="133">
        <f t="shared" si="13"/>
        <v>0</v>
      </c>
    </row>
    <row r="58" spans="1:15" ht="28.5" outlineLevel="1">
      <c r="A58" s="403"/>
      <c r="B58" s="204" t="s">
        <v>71</v>
      </c>
      <c r="C58" s="192">
        <f>'원가이체, 판관비 배부현황(VND)'!C58</f>
        <v>0</v>
      </c>
      <c r="D58" s="192">
        <f>'원가이체, 판관비 배부현황(VND)'!D58</f>
        <v>0</v>
      </c>
      <c r="E58" s="192">
        <f>'원가이체, 판관비 배부현황(VND)'!E58</f>
        <v>0</v>
      </c>
      <c r="F58" s="192">
        <f>'원가이체, 판관비 배부현황(VND)'!F58</f>
        <v>0</v>
      </c>
      <c r="G58" s="192">
        <f>'원가이체, 판관비 배부현황(VND)'!G58</f>
        <v>0</v>
      </c>
      <c r="H58" s="192">
        <f>'원가이체, 판관비 배부현황(VND)'!H58</f>
        <v>0</v>
      </c>
      <c r="I58" s="192">
        <f>'원가이체, 판관비 배부현황(VND)'!I58</f>
        <v>0</v>
      </c>
      <c r="J58" s="192">
        <f>'원가이체, 판관비 배부현황(VND)'!J58</f>
        <v>0</v>
      </c>
      <c r="K58" s="192">
        <f>'원가이체, 판관비 배부현황(VND)'!K58</f>
        <v>0</v>
      </c>
      <c r="L58" s="192">
        <f>'원가이체, 판관비 배부현황(VND)'!L58</f>
        <v>0</v>
      </c>
      <c r="M58" s="192">
        <f>'원가이체, 판관비 배부현황(VND)'!M58</f>
        <v>0</v>
      </c>
      <c r="N58" s="192">
        <f>'원가이체, 판관비 배부현황(VND)'!N58</f>
        <v>0</v>
      </c>
      <c r="O58" s="133">
        <f t="shared" ref="O58" si="14">SUM(C58:N58)</f>
        <v>0</v>
      </c>
    </row>
    <row r="59" spans="1:15" ht="28.5" outlineLevel="1">
      <c r="A59" s="382" t="s">
        <v>157</v>
      </c>
      <c r="B59" s="202" t="s">
        <v>66</v>
      </c>
      <c r="C59" s="193">
        <f>+'원가이체, 판관비 배부현황(VND)'!C59/C$128</f>
        <v>154.61372327165006</v>
      </c>
      <c r="D59" s="193">
        <f>+'원가이체, 판관비 배부현황(VND)'!D59/D$128</f>
        <v>3015.5887750862398</v>
      </c>
      <c r="E59" s="193">
        <f>+'원가이체, 판관비 배부현황(VND)'!E59/E$128</f>
        <v>1553.2474724266101</v>
      </c>
      <c r="F59" s="193">
        <f>+'원가이체, 판관비 배부현황(VND)'!F59/F$128</f>
        <v>3143.2012540308815</v>
      </c>
      <c r="G59" s="193">
        <f>+'원가이체, 판관비 배부현황(VND)'!G59/G$128</f>
        <v>4681.1903158594496</v>
      </c>
      <c r="H59" s="193">
        <f>+'원가이체, 판관비 배부현황(VND)'!H59/H$128</f>
        <v>3012.8632288918457</v>
      </c>
      <c r="I59" s="193">
        <f>+'원가이체, 판관비 배부현황(VND)'!I59/I$128</f>
        <v>0</v>
      </c>
      <c r="J59" s="193">
        <f>+'원가이체, 판관비 배부현황(VND)'!J59/J$128</f>
        <v>0</v>
      </c>
      <c r="K59" s="193">
        <f>+'원가이체, 판관비 배부현황(VND)'!K59/K$128</f>
        <v>0</v>
      </c>
      <c r="L59" s="193">
        <f>+'원가이체, 판관비 배부현황(VND)'!L59/L$128</f>
        <v>0</v>
      </c>
      <c r="M59" s="193">
        <f>+'원가이체, 판관비 배부현황(VND)'!M59/M$128</f>
        <v>0</v>
      </c>
      <c r="N59" s="193">
        <f>+'원가이체, 판관비 배부현황(VND)'!N59/N$128</f>
        <v>0</v>
      </c>
      <c r="O59" s="134">
        <f>SUM(C59:N59)</f>
        <v>15560.704769566677</v>
      </c>
    </row>
    <row r="60" spans="1:15" ht="28.5" outlineLevel="1">
      <c r="A60" s="382"/>
      <c r="B60" s="199" t="s">
        <v>67</v>
      </c>
      <c r="C60" s="193">
        <f>+'원가이체, 판관비 배부현황(VND)'!C60/C$128</f>
        <v>129.84460481668143</v>
      </c>
      <c r="D60" s="193">
        <f>+'원가이체, 판관비 배부현황(VND)'!D60/D$128</f>
        <v>2532.4914533154465</v>
      </c>
      <c r="E60" s="193">
        <f>+'원가이체, 판관비 배부현황(VND)'!E60/E$128</f>
        <v>1304.4172273382387</v>
      </c>
      <c r="F60" s="193">
        <f>+'원가이체, 판관비 배부현황(VND)'!F60/F$128</f>
        <v>2639.6604131416216</v>
      </c>
      <c r="G60" s="193">
        <f>+'원가이체, 판관비 배부현황(VND)'!G60/G$128</f>
        <v>3931.2636272744539</v>
      </c>
      <c r="H60" s="193">
        <f>+'원가이체, 판관비 배부현황(VND)'!H60/H$128</f>
        <v>2530.2025396312488</v>
      </c>
      <c r="I60" s="193">
        <f>+'원가이체, 판관비 배부현황(VND)'!I60/I$128</f>
        <v>0</v>
      </c>
      <c r="J60" s="193">
        <f>+'원가이체, 판관비 배부현황(VND)'!J60/J$128</f>
        <v>0</v>
      </c>
      <c r="K60" s="193">
        <f>+'원가이체, 판관비 배부현황(VND)'!K60/K$128</f>
        <v>0</v>
      </c>
      <c r="L60" s="193">
        <f>+'원가이체, 판관비 배부현황(VND)'!L60/L$128</f>
        <v>0</v>
      </c>
      <c r="M60" s="193">
        <f>+'원가이체, 판관비 배부현황(VND)'!M60/M$128</f>
        <v>0</v>
      </c>
      <c r="N60" s="193">
        <f>+'원가이체, 판관비 배부현황(VND)'!N60/N$128</f>
        <v>0</v>
      </c>
      <c r="O60" s="135">
        <f t="shared" ref="O60:O63" si="15">SUM(C60:N60)</f>
        <v>13067.879865517691</v>
      </c>
    </row>
    <row r="61" spans="1:15" ht="28.5" outlineLevel="1">
      <c r="A61" s="382"/>
      <c r="B61" s="202" t="s">
        <v>68</v>
      </c>
      <c r="C61" s="205">
        <f>+'원가이체, 판관비 배부현황(VND)'!C61/C$128</f>
        <v>121.30593059669911</v>
      </c>
      <c r="D61" s="205">
        <f>+'원가이체, 판관비 배부현황(VND)'!D61/D$128</f>
        <v>2503.4279633192796</v>
      </c>
      <c r="E61" s="205">
        <f>+'원가이체, 판관비 배부현황(VND)'!E61/E$128</f>
        <v>1278.1448606159447</v>
      </c>
      <c r="F61" s="205">
        <f>+'원가이체, 판관비 배부현황(VND)'!F61/F$128</f>
        <v>2612.0701640047041</v>
      </c>
      <c r="G61" s="205">
        <f>+'원가이체, 판관비 배부현황(VND)'!G61/G$128</f>
        <v>3885.0756066856602</v>
      </c>
      <c r="H61" s="205">
        <f>+'원가이체, 판관비 배부현황(VND)'!H61/H$128</f>
        <v>2508.0162786542483</v>
      </c>
      <c r="I61" s="205">
        <f>+'원가이체, 판관비 배부현황(VND)'!I61/I$128</f>
        <v>0</v>
      </c>
      <c r="J61" s="205">
        <f>+'원가이체, 판관비 배부현황(VND)'!J61/J$128</f>
        <v>0</v>
      </c>
      <c r="K61" s="205">
        <f>+'원가이체, 판관비 배부현황(VND)'!K61/K$128</f>
        <v>0</v>
      </c>
      <c r="L61" s="205">
        <f>+'원가이체, 판관비 배부현황(VND)'!L61/L$128</f>
        <v>0</v>
      </c>
      <c r="M61" s="205">
        <f>+'원가이체, 판관비 배부현황(VND)'!M61/M$128</f>
        <v>0</v>
      </c>
      <c r="N61" s="205">
        <f>+'원가이체, 판관비 배부현황(VND)'!N61/N$128</f>
        <v>0</v>
      </c>
      <c r="O61" s="129">
        <f t="shared" si="15"/>
        <v>12908.040803876536</v>
      </c>
    </row>
    <row r="62" spans="1:15" ht="28.5" outlineLevel="1">
      <c r="A62" s="382"/>
      <c r="B62" s="203" t="s">
        <v>69</v>
      </c>
      <c r="C62" s="205">
        <f>+'원가이체, 판관비 배부현황(VND)'!C62/C$128</f>
        <v>8.5386742199823029</v>
      </c>
      <c r="D62" s="205">
        <f>+'원가이체, 판관비 배부현황(VND)'!D62/D$128</f>
        <v>29.063489996167114</v>
      </c>
      <c r="E62" s="205">
        <f>+'원가이체, 판관비 배부현황(VND)'!E62/E$128</f>
        <v>26.272366722293864</v>
      </c>
      <c r="F62" s="205">
        <f>+'원가이체, 판관비 배부현황(VND)'!F62/F$128</f>
        <v>27.590249136917183</v>
      </c>
      <c r="G62" s="205">
        <f>+'원가이체, 판관비 배부현황(VND)'!G62/G$128</f>
        <v>46.188020588793925</v>
      </c>
      <c r="H62" s="205">
        <f>+'원가이체, 판관비 배부현황(VND)'!H62/H$128</f>
        <v>22.186260977000572</v>
      </c>
      <c r="I62" s="205">
        <f>+'원가이체, 판관비 배부현황(VND)'!I62/I$128</f>
        <v>0</v>
      </c>
      <c r="J62" s="205">
        <f>+'원가이체, 판관비 배부현황(VND)'!J62/J$128</f>
        <v>0</v>
      </c>
      <c r="K62" s="205">
        <f>+'원가이체, 판관비 배부현황(VND)'!K62/K$128</f>
        <v>0</v>
      </c>
      <c r="L62" s="205">
        <f>+'원가이체, 판관비 배부현황(VND)'!L62/L$128</f>
        <v>0</v>
      </c>
      <c r="M62" s="205">
        <f>+'원가이체, 판관비 배부현황(VND)'!M62/M$128</f>
        <v>0</v>
      </c>
      <c r="N62" s="205">
        <f>+'원가이체, 판관비 배부현황(VND)'!N62/N$128</f>
        <v>0</v>
      </c>
      <c r="O62" s="131">
        <f t="shared" si="15"/>
        <v>159.83906164115496</v>
      </c>
    </row>
    <row r="63" spans="1:15" ht="28.5" outlineLevel="1">
      <c r="A63" s="382"/>
      <c r="B63" s="204" t="s">
        <v>70</v>
      </c>
      <c r="C63" s="191">
        <f>+'원가이체, 판관비 배부현황(VND)'!C63/C$128</f>
        <v>68.180307005732317</v>
      </c>
      <c r="D63" s="191">
        <f>+'원가이체, 판관비 배부현황(VND)'!D63/D$128</f>
        <v>80.435925642008428</v>
      </c>
      <c r="E63" s="191">
        <f>+'원가이체, 판관비 배부현황(VND)'!E63/E$128</f>
        <v>75.218434992035199</v>
      </c>
      <c r="F63" s="191">
        <f>+'원가이체, 판관비 배부현황(VND)'!F63/F$128</f>
        <v>80.222470503433357</v>
      </c>
      <c r="G63" s="191">
        <f>+'원가이체, 판관비 배부현황(VND)'!G63/G$128</f>
        <v>113.46230681861348</v>
      </c>
      <c r="H63" s="191">
        <f>+'원가이체, 판관비 배부현황(VND)'!H63/H$128</f>
        <v>71.105147006272574</v>
      </c>
      <c r="I63" s="191" t="e">
        <f>+'원가이체, 판관비 배부현황(VND)'!I63/I$128</f>
        <v>#DIV/0!</v>
      </c>
      <c r="J63" s="191" t="e">
        <f>+'원가이체, 판관비 배부현황(VND)'!J63/J$128</f>
        <v>#DIV/0!</v>
      </c>
      <c r="K63" s="191" t="e">
        <f>+'원가이체, 판관비 배부현황(VND)'!K63/K$128</f>
        <v>#DIV/0!</v>
      </c>
      <c r="L63" s="191" t="e">
        <f>+'원가이체, 판관비 배부현황(VND)'!L63/L$128</f>
        <v>#DIV/0!</v>
      </c>
      <c r="M63" s="191" t="e">
        <f>+'원가이체, 판관비 배부현황(VND)'!M63/M$128</f>
        <v>#DIV/0!</v>
      </c>
      <c r="N63" s="191" t="e">
        <f>+'원가이체, 판관비 배부현황(VND)'!N63/N$128</f>
        <v>#DIV/0!</v>
      </c>
      <c r="O63" s="133" t="e">
        <f t="shared" si="15"/>
        <v>#DIV/0!</v>
      </c>
    </row>
    <row r="64" spans="1:15" ht="28.5" outlineLevel="1">
      <c r="A64" s="382"/>
      <c r="B64" s="204" t="s">
        <v>71</v>
      </c>
      <c r="C64" s="192">
        <f>+'원가이체, 판관비 배부현황(VND)'!C64</f>
        <v>4</v>
      </c>
      <c r="D64" s="192">
        <f>+'원가이체, 판관비 배부현황(VND)'!D64</f>
        <v>4</v>
      </c>
      <c r="E64" s="192">
        <f>+'원가이체, 판관비 배부현황(VND)'!E64</f>
        <v>4</v>
      </c>
      <c r="F64" s="192">
        <f>+'원가이체, 판관비 배부현황(VND)'!F64</f>
        <v>4</v>
      </c>
      <c r="G64" s="192">
        <f>+'원가이체, 판관비 배부현황(VND)'!G64</f>
        <v>4</v>
      </c>
      <c r="H64" s="192">
        <f>+'원가이체, 판관비 배부현황(VND)'!H64</f>
        <v>4</v>
      </c>
      <c r="I64" s="192">
        <f>+'원가이체, 판관비 배부현황(VND)'!I64</f>
        <v>4</v>
      </c>
      <c r="J64" s="192">
        <f>+'원가이체, 판관비 배부현황(VND)'!J64</f>
        <v>4</v>
      </c>
      <c r="K64" s="192">
        <f>+'원가이체, 판관비 배부현황(VND)'!K64</f>
        <v>4</v>
      </c>
      <c r="L64" s="192">
        <f>+'원가이체, 판관비 배부현황(VND)'!L64</f>
        <v>4</v>
      </c>
      <c r="M64" s="192">
        <f>+'원가이체, 판관비 배부현황(VND)'!M64</f>
        <v>4</v>
      </c>
      <c r="N64" s="192">
        <f>+'원가이체, 판관비 배부현황(VND)'!N64</f>
        <v>4</v>
      </c>
      <c r="O64" s="133">
        <f>SUM(C64:N64)/12</f>
        <v>4</v>
      </c>
    </row>
    <row r="65" spans="1:15" ht="28.5" outlineLevel="1">
      <c r="A65" s="382" t="s">
        <v>169</v>
      </c>
      <c r="B65" s="202" t="s">
        <v>66</v>
      </c>
      <c r="C65" s="193">
        <f>+'원가이체, 판관비 배부현황(VND)'!C71/C$128</f>
        <v>0</v>
      </c>
      <c r="D65" s="193">
        <f>+'원가이체, 판관비 배부현황(VND)'!D71/D$128</f>
        <v>0</v>
      </c>
      <c r="E65" s="193">
        <f>+'원가이체, 판관비 배부현황(VND)'!E71/E$128</f>
        <v>0</v>
      </c>
      <c r="F65" s="193">
        <f>+'원가이체, 판관비 배부현황(VND)'!F71/F$128</f>
        <v>119.61050468530672</v>
      </c>
      <c r="G65" s="193">
        <f>+'원가이체, 판관비 배부현황(VND)'!G71/G$128</f>
        <v>0</v>
      </c>
      <c r="H65" s="193">
        <f>+'원가이체, 판관비 배부현황(VND)'!H71/H$128</f>
        <v>0</v>
      </c>
      <c r="I65" s="193">
        <f>+'원가이체, 판관비 배부현황(VND)'!I71/I$128</f>
        <v>0</v>
      </c>
      <c r="J65" s="193">
        <f>+'원가이체, 판관비 배부현황(VND)'!J71/J$128</f>
        <v>0</v>
      </c>
      <c r="K65" s="193">
        <f>+'원가이체, 판관비 배부현황(VND)'!K71/K$128</f>
        <v>0</v>
      </c>
      <c r="L65" s="193">
        <f>+'원가이체, 판관비 배부현황(VND)'!L71/L$128</f>
        <v>0</v>
      </c>
      <c r="M65" s="193">
        <f>+'원가이체, 판관비 배부현황(VND)'!M71/M$128</f>
        <v>0</v>
      </c>
      <c r="N65" s="193">
        <f>+'원가이체, 판관비 배부현황(VND)'!N71/N$128</f>
        <v>0</v>
      </c>
      <c r="O65" s="133">
        <f>SUM(C65:N65)</f>
        <v>119.61050468530672</v>
      </c>
    </row>
    <row r="66" spans="1:15" ht="28.5" outlineLevel="1">
      <c r="A66" s="382"/>
      <c r="B66" s="199" t="s">
        <v>67</v>
      </c>
      <c r="C66" s="193">
        <f>+'원가이체, 판관비 배부현황(VND)'!C72/C$128</f>
        <v>0</v>
      </c>
      <c r="D66" s="193">
        <f>+'원가이체, 판관비 배부현황(VND)'!D72/D$128</f>
        <v>0</v>
      </c>
      <c r="E66" s="193">
        <f>+'원가이체, 판관비 배부현황(VND)'!E72/E$128</f>
        <v>0</v>
      </c>
      <c r="F66" s="193">
        <f>+'원가이체, 판관비 배부현황(VND)'!F72/F$128</f>
        <v>102.32263071436701</v>
      </c>
      <c r="G66" s="193">
        <f>+'원가이체, 판관비 배부현황(VND)'!G72/G$128</f>
        <v>0</v>
      </c>
      <c r="H66" s="193">
        <f>+'원가이체, 판관비 배부현황(VND)'!H72/H$128</f>
        <v>0</v>
      </c>
      <c r="I66" s="193">
        <f>+'원가이체, 판관비 배부현황(VND)'!I72/I$128</f>
        <v>0</v>
      </c>
      <c r="J66" s="193">
        <f>+'원가이체, 판관비 배부현황(VND)'!J72/J$128</f>
        <v>0</v>
      </c>
      <c r="K66" s="193">
        <f>+'원가이체, 판관비 배부현황(VND)'!K72/K$128</f>
        <v>0</v>
      </c>
      <c r="L66" s="193">
        <f>+'원가이체, 판관비 배부현황(VND)'!L72/L$128</f>
        <v>0</v>
      </c>
      <c r="M66" s="193">
        <f>+'원가이체, 판관비 배부현황(VND)'!M72/M$128</f>
        <v>0</v>
      </c>
      <c r="N66" s="193">
        <f>+'원가이체, 판관비 배부현황(VND)'!N72/N$128</f>
        <v>0</v>
      </c>
      <c r="O66" s="135">
        <f t="shared" ref="O66:O70" si="16">SUM(C66:N66)</f>
        <v>102.32263071436701</v>
      </c>
    </row>
    <row r="67" spans="1:15" ht="28.5" outlineLevel="1">
      <c r="A67" s="382"/>
      <c r="B67" s="202" t="s">
        <v>68</v>
      </c>
      <c r="C67" s="205">
        <f>+'원가이체, 판관비 배부현황(VND)'!C73/C$128</f>
        <v>0</v>
      </c>
      <c r="D67" s="205">
        <f>+'원가이체, 판관비 배부현황(VND)'!D73/D$128</f>
        <v>0</v>
      </c>
      <c r="E67" s="205">
        <f>+'원가이체, 판관비 배부현황(VND)'!E73/E$128</f>
        <v>0</v>
      </c>
      <c r="F67" s="205">
        <f>+'원가이체, 판관비 배부현황(VND)'!F73/F$128</f>
        <v>101.23837167570849</v>
      </c>
      <c r="G67" s="205">
        <f>+'원가이체, 판관비 배부현황(VND)'!G73/G$128</f>
        <v>0</v>
      </c>
      <c r="H67" s="205">
        <f>+'원가이체, 판관비 배부현황(VND)'!H73/H$128</f>
        <v>0</v>
      </c>
      <c r="I67" s="205">
        <f>+'원가이체, 판관비 배부현황(VND)'!I73/I$128</f>
        <v>0</v>
      </c>
      <c r="J67" s="205">
        <f>+'원가이체, 판관비 배부현황(VND)'!J73/J$128</f>
        <v>0</v>
      </c>
      <c r="K67" s="205">
        <f>+'원가이체, 판관비 배부현황(VND)'!K73/K$128</f>
        <v>0</v>
      </c>
      <c r="L67" s="205">
        <f>+'원가이체, 판관비 배부현황(VND)'!L73/L$128</f>
        <v>0</v>
      </c>
      <c r="M67" s="205">
        <f>+'원가이체, 판관비 배부현황(VND)'!M73/M$128</f>
        <v>0</v>
      </c>
      <c r="N67" s="205">
        <f>+'원가이체, 판관비 배부현황(VND)'!N73/N$128</f>
        <v>0</v>
      </c>
      <c r="O67" s="129">
        <f t="shared" si="16"/>
        <v>101.23837167570849</v>
      </c>
    </row>
    <row r="68" spans="1:15" ht="28.5" outlineLevel="1">
      <c r="A68" s="382"/>
      <c r="B68" s="203" t="s">
        <v>69</v>
      </c>
      <c r="C68" s="205">
        <f>+'원가이체, 판관비 배부현황(VND)'!C74/C$128</f>
        <v>0</v>
      </c>
      <c r="D68" s="205">
        <f>+'원가이체, 판관비 배부현황(VND)'!D74/D$128</f>
        <v>0</v>
      </c>
      <c r="E68" s="205">
        <f>+'원가이체, 판관비 배부현황(VND)'!E74/E$128</f>
        <v>0</v>
      </c>
      <c r="F68" s="205">
        <f>+'원가이체, 판관비 배부현황(VND)'!F74/F$128</f>
        <v>1.0842590386585227</v>
      </c>
      <c r="G68" s="205">
        <f>+'원가이체, 판관비 배부현황(VND)'!G74/G$128</f>
        <v>0</v>
      </c>
      <c r="H68" s="205">
        <f>+'원가이체, 판관비 배부현황(VND)'!H74/H$128</f>
        <v>0</v>
      </c>
      <c r="I68" s="205">
        <f>+'원가이체, 판관비 배부현황(VND)'!I74/I$128</f>
        <v>0</v>
      </c>
      <c r="J68" s="205">
        <f>+'원가이체, 판관비 배부현황(VND)'!J74/J$128</f>
        <v>0</v>
      </c>
      <c r="K68" s="205">
        <f>+'원가이체, 판관비 배부현황(VND)'!K74/K$128</f>
        <v>0</v>
      </c>
      <c r="L68" s="205">
        <f>+'원가이체, 판관비 배부현황(VND)'!L74/L$128</f>
        <v>0</v>
      </c>
      <c r="M68" s="205">
        <f>+'원가이체, 판관비 배부현황(VND)'!M74/M$128</f>
        <v>0</v>
      </c>
      <c r="N68" s="205">
        <f>+'원가이체, 판관비 배부현황(VND)'!N74/N$128</f>
        <v>0</v>
      </c>
      <c r="O68" s="131">
        <f t="shared" si="16"/>
        <v>1.0842590386585227</v>
      </c>
    </row>
    <row r="69" spans="1:15" ht="28.5" outlineLevel="1">
      <c r="A69" s="382"/>
      <c r="B69" s="204" t="s">
        <v>70</v>
      </c>
      <c r="C69" s="191">
        <f>+'원가이체, 판관비 배부현황(VND)'!C75/C$128</f>
        <v>0</v>
      </c>
      <c r="D69" s="191">
        <f>+'원가이체, 판관비 배부현황(VND)'!D75/D$128</f>
        <v>0</v>
      </c>
      <c r="E69" s="191">
        <f>+'원가이체, 판관비 배부현황(VND)'!E75/E$128</f>
        <v>0</v>
      </c>
      <c r="F69" s="191">
        <f>+'원가이체, 판관비 배부현황(VND)'!F75/F$128</f>
        <v>1.873227664175424</v>
      </c>
      <c r="G69" s="191">
        <f>+'원가이체, 판관비 배부현황(VND)'!G75/G$128</f>
        <v>0</v>
      </c>
      <c r="H69" s="191">
        <f>+'원가이체, 판관비 배부현황(VND)'!H75/H$128</f>
        <v>0</v>
      </c>
      <c r="I69" s="191" t="e">
        <f>+'원가이체, 판관비 배부현황(VND)'!I75/I$128</f>
        <v>#DIV/0!</v>
      </c>
      <c r="J69" s="191" t="e">
        <f>+'원가이체, 판관비 배부현황(VND)'!J75/J$128</f>
        <v>#DIV/0!</v>
      </c>
      <c r="K69" s="191" t="e">
        <f>+'원가이체, 판관비 배부현황(VND)'!K75/K$128</f>
        <v>#DIV/0!</v>
      </c>
      <c r="L69" s="191" t="e">
        <f>+'원가이체, 판관비 배부현황(VND)'!L75/L$128</f>
        <v>#DIV/0!</v>
      </c>
      <c r="M69" s="191" t="e">
        <f>+'원가이체, 판관비 배부현황(VND)'!M75/M$128</f>
        <v>#DIV/0!</v>
      </c>
      <c r="N69" s="191" t="e">
        <f>+'원가이체, 판관비 배부현황(VND)'!N75/N$128</f>
        <v>#DIV/0!</v>
      </c>
      <c r="O69" s="133" t="e">
        <f t="shared" si="16"/>
        <v>#DIV/0!</v>
      </c>
    </row>
    <row r="70" spans="1:15" ht="28.5" outlineLevel="1">
      <c r="A70" s="382"/>
      <c r="B70" s="204" t="s">
        <v>71</v>
      </c>
      <c r="C70" s="192">
        <f>+'원가이체, 판관비 배부현황(VND)'!C76</f>
        <v>0</v>
      </c>
      <c r="D70" s="192">
        <f>+'원가이체, 판관비 배부현황(VND)'!D76</f>
        <v>0</v>
      </c>
      <c r="E70" s="192">
        <f>+'원가이체, 판관비 배부현황(VND)'!E76</f>
        <v>0</v>
      </c>
      <c r="F70" s="192">
        <f>+'원가이체, 판관비 배부현황(VND)'!F76</f>
        <v>0</v>
      </c>
      <c r="G70" s="192">
        <f>+'원가이체, 판관비 배부현황(VND)'!G76</f>
        <v>0</v>
      </c>
      <c r="H70" s="192">
        <f>+'원가이체, 판관비 배부현황(VND)'!H76</f>
        <v>0</v>
      </c>
      <c r="I70" s="192">
        <f>+'원가이체, 판관비 배부현황(VND)'!I76</f>
        <v>0</v>
      </c>
      <c r="J70" s="192">
        <f>+'원가이체, 판관비 배부현황(VND)'!J76</f>
        <v>0</v>
      </c>
      <c r="K70" s="192">
        <f>+'원가이체, 판관비 배부현황(VND)'!K76</f>
        <v>0</v>
      </c>
      <c r="L70" s="192">
        <f>+'원가이체, 판관비 배부현황(VND)'!L76</f>
        <v>0</v>
      </c>
      <c r="M70" s="192">
        <f>+'원가이체, 판관비 배부현황(VND)'!M76</f>
        <v>0</v>
      </c>
      <c r="N70" s="192">
        <f>+'원가이체, 판관비 배부현황(VND)'!N76</f>
        <v>0</v>
      </c>
      <c r="O70" s="133">
        <f t="shared" si="16"/>
        <v>0</v>
      </c>
    </row>
    <row r="71" spans="1:15" ht="28.5" outlineLevel="1">
      <c r="A71" s="382" t="s">
        <v>177</v>
      </c>
      <c r="B71" s="202" t="s">
        <v>66</v>
      </c>
      <c r="C71" s="193">
        <f>+'원가이체, 판관비 배부현황(VND)'!C77/C$128</f>
        <v>0</v>
      </c>
      <c r="D71" s="193">
        <f>+'원가이체, 판관비 배부현황(VND)'!D77/D$128</f>
        <v>0</v>
      </c>
      <c r="E71" s="193">
        <f>+'원가이체, 판관비 배부현황(VND)'!E77/E$128</f>
        <v>0</v>
      </c>
      <c r="F71" s="193">
        <f>+'원가이체, 판관비 배부현황(VND)'!F77/F$128</f>
        <v>0</v>
      </c>
      <c r="G71" s="193">
        <f>+'원가이체, 판관비 배부현황(VND)'!G77/G$128</f>
        <v>-68.935158898385566</v>
      </c>
      <c r="H71" s="193">
        <f>+'원가이체, 판관비 배부현황(VND)'!H77/H$128</f>
        <v>0</v>
      </c>
      <c r="I71" s="193">
        <f>+'원가이체, 판관비 배부현황(VND)'!I77/I$128</f>
        <v>0</v>
      </c>
      <c r="J71" s="193">
        <f>+'원가이체, 판관비 배부현황(VND)'!J77/J$128</f>
        <v>0</v>
      </c>
      <c r="K71" s="193">
        <f>+'원가이체, 판관비 배부현황(VND)'!K77/K$128</f>
        <v>0</v>
      </c>
      <c r="L71" s="193">
        <f>+'원가이체, 판관비 배부현황(VND)'!L77/L$128</f>
        <v>0</v>
      </c>
      <c r="M71" s="193">
        <f>+'원가이체, 판관비 배부현황(VND)'!M77/M$128</f>
        <v>0</v>
      </c>
      <c r="N71" s="193">
        <f>+'원가이체, 판관비 배부현황(VND)'!N77/N$128</f>
        <v>0</v>
      </c>
      <c r="O71" s="133">
        <f>SUM(C71:N71)</f>
        <v>-68.935158898385566</v>
      </c>
    </row>
    <row r="72" spans="1:15" ht="28.5" outlineLevel="1">
      <c r="A72" s="382"/>
      <c r="B72" s="297" t="s">
        <v>67</v>
      </c>
      <c r="C72" s="193">
        <f>+'원가이체, 판관비 배부현황(VND)'!C78/C$128</f>
        <v>0</v>
      </c>
      <c r="D72" s="193">
        <f>+'원가이체, 판관비 배부현황(VND)'!D78/D$128</f>
        <v>0</v>
      </c>
      <c r="E72" s="193">
        <f>+'원가이체, 판관비 배부현황(VND)'!E78/E$128</f>
        <v>0</v>
      </c>
      <c r="F72" s="193">
        <f>+'원가이체, 판관비 배부현황(VND)'!F78/F$128</f>
        <v>0</v>
      </c>
      <c r="G72" s="193">
        <f>+'원가이체, 판관비 배부현황(VND)'!G78/G$128</f>
        <v>-13.499733105413105</v>
      </c>
      <c r="H72" s="193">
        <f>+'원가이체, 판관비 배부현황(VND)'!H78/H$128</f>
        <v>11.022467173541152</v>
      </c>
      <c r="I72" s="193">
        <f>+'원가이체, 판관비 배부현황(VND)'!I78/I$128</f>
        <v>0</v>
      </c>
      <c r="J72" s="193">
        <f>+'원가이체, 판관비 배부현황(VND)'!J78/J$128</f>
        <v>0</v>
      </c>
      <c r="K72" s="193">
        <f>+'원가이체, 판관비 배부현황(VND)'!K78/K$128</f>
        <v>0</v>
      </c>
      <c r="L72" s="193">
        <f>+'원가이체, 판관비 배부현황(VND)'!L78/L$128</f>
        <v>0</v>
      </c>
      <c r="M72" s="193">
        <f>+'원가이체, 판관비 배부현황(VND)'!M78/M$128</f>
        <v>0</v>
      </c>
      <c r="N72" s="193">
        <f>+'원가이체, 판관비 배부현황(VND)'!N78/N$128</f>
        <v>0</v>
      </c>
      <c r="O72" s="135">
        <f t="shared" ref="O72:O76" si="17">SUM(C72:N72)</f>
        <v>-2.477265931871953</v>
      </c>
    </row>
    <row r="73" spans="1:15" ht="28.5" outlineLevel="1">
      <c r="A73" s="382"/>
      <c r="B73" s="298" t="s">
        <v>68</v>
      </c>
      <c r="C73" s="205">
        <f>+'원가이체, 판관비 배부현황(VND)'!C79/C$128</f>
        <v>0</v>
      </c>
      <c r="D73" s="205">
        <f>+'원가이체, 판관비 배부현황(VND)'!D79/D$128</f>
        <v>0</v>
      </c>
      <c r="E73" s="205">
        <f>+'원가이체, 판관비 배부현황(VND)'!E79/E$128</f>
        <v>0</v>
      </c>
      <c r="F73" s="205">
        <f>+'원가이체, 판관비 배부현황(VND)'!F79/F$128</f>
        <v>0</v>
      </c>
      <c r="G73" s="205">
        <f>+'원가이체, 판관비 배부현황(VND)'!G79/G$128</f>
        <v>-18.478130674264008</v>
      </c>
      <c r="H73" s="205">
        <f>+'원가이체, 판관비 배부현황(VND)'!H79/H$128</f>
        <v>11.022467173541152</v>
      </c>
      <c r="I73" s="205">
        <f>+'원가이체, 판관비 배부현황(VND)'!I79/I$128</f>
        <v>0</v>
      </c>
      <c r="J73" s="205">
        <f>+'원가이체, 판관비 배부현황(VND)'!J79/J$128</f>
        <v>0</v>
      </c>
      <c r="K73" s="205">
        <f>+'원가이체, 판관비 배부현황(VND)'!K79/K$128</f>
        <v>0</v>
      </c>
      <c r="L73" s="205">
        <f>+'원가이체, 판관비 배부현황(VND)'!L79/L$128</f>
        <v>0</v>
      </c>
      <c r="M73" s="205">
        <f>+'원가이체, 판관비 배부현황(VND)'!M79/M$128</f>
        <v>0</v>
      </c>
      <c r="N73" s="205">
        <f>+'원가이체, 판관비 배부현황(VND)'!N79/N$128</f>
        <v>0</v>
      </c>
      <c r="O73" s="129">
        <f t="shared" si="17"/>
        <v>-7.4556635007228564</v>
      </c>
    </row>
    <row r="74" spans="1:15" ht="28.5" outlineLevel="1">
      <c r="A74" s="382"/>
      <c r="B74" s="299" t="s">
        <v>69</v>
      </c>
      <c r="C74" s="205">
        <f>+'원가이체, 판관비 배부현황(VND)'!C80/C$128</f>
        <v>0</v>
      </c>
      <c r="D74" s="205">
        <f>+'원가이체, 판관비 배부현황(VND)'!D80/D$128</f>
        <v>0</v>
      </c>
      <c r="E74" s="205">
        <f>+'원가이체, 판관비 배부현황(VND)'!E80/E$128</f>
        <v>0</v>
      </c>
      <c r="F74" s="205">
        <f>+'원가이체, 판관비 배부현황(VND)'!F80/F$128</f>
        <v>0</v>
      </c>
      <c r="G74" s="205">
        <f>+'원가이체, 판관비 배부현황(VND)'!G80/G$128</f>
        <v>4.9783975688509026</v>
      </c>
      <c r="H74" s="205">
        <f>+'원가이체, 판관비 배부현황(VND)'!H80/H$128</f>
        <v>0</v>
      </c>
      <c r="I74" s="205">
        <f>+'원가이체, 판관비 배부현황(VND)'!I80/I$128</f>
        <v>0</v>
      </c>
      <c r="J74" s="205">
        <f>+'원가이체, 판관비 배부현황(VND)'!J80/J$128</f>
        <v>0</v>
      </c>
      <c r="K74" s="205">
        <f>+'원가이체, 판관비 배부현황(VND)'!K80/K$128</f>
        <v>0</v>
      </c>
      <c r="L74" s="205">
        <f>+'원가이체, 판관비 배부현황(VND)'!L80/L$128</f>
        <v>0</v>
      </c>
      <c r="M74" s="205">
        <f>+'원가이체, 판관비 배부현황(VND)'!M80/M$128</f>
        <v>0</v>
      </c>
      <c r="N74" s="205">
        <f>+'원가이체, 판관비 배부현황(VND)'!N80/N$128</f>
        <v>0</v>
      </c>
      <c r="O74" s="131">
        <f t="shared" si="17"/>
        <v>4.9783975688509026</v>
      </c>
    </row>
    <row r="75" spans="1:15" ht="28.5" outlineLevel="1">
      <c r="A75" s="382"/>
      <c r="B75" s="204" t="s">
        <v>70</v>
      </c>
      <c r="C75" s="191">
        <f>+'원가이체, 판관비 배부현황(VND)'!C81/C$128</f>
        <v>0</v>
      </c>
      <c r="D75" s="191">
        <f>+'원가이체, 판관비 배부현황(VND)'!D81/D$128</f>
        <v>0</v>
      </c>
      <c r="E75" s="191">
        <f>+'원가이체, 판관비 배부현황(VND)'!E81/E$128</f>
        <v>0</v>
      </c>
      <c r="F75" s="191">
        <f>+'원가이체, 판관비 배부현황(VND)'!F81/F$128</f>
        <v>0</v>
      </c>
      <c r="G75" s="191">
        <f>+'원가이체, 판관비 배부현황(VND)'!G81/G$128</f>
        <v>-0.23156668566001901</v>
      </c>
      <c r="H75" s="191">
        <f>+'원가이체, 판관비 배부현황(VND)'!H81/H$128</f>
        <v>0.15493465120699487</v>
      </c>
      <c r="I75" s="191" t="e">
        <f>+'원가이체, 판관비 배부현황(VND)'!I81/I$128</f>
        <v>#DIV/0!</v>
      </c>
      <c r="J75" s="191" t="e">
        <f>+'원가이체, 판관비 배부현황(VND)'!J81/J$128</f>
        <v>#DIV/0!</v>
      </c>
      <c r="K75" s="191" t="e">
        <f>+'원가이체, 판관비 배부현황(VND)'!K81/K$128</f>
        <v>#DIV/0!</v>
      </c>
      <c r="L75" s="191" t="e">
        <f>+'원가이체, 판관비 배부현황(VND)'!L81/L$128</f>
        <v>#DIV/0!</v>
      </c>
      <c r="M75" s="191" t="e">
        <f>+'원가이체, 판관비 배부현황(VND)'!M81/M$128</f>
        <v>#DIV/0!</v>
      </c>
      <c r="N75" s="191" t="e">
        <f>+'원가이체, 판관비 배부현황(VND)'!N81/N$128</f>
        <v>#DIV/0!</v>
      </c>
      <c r="O75" s="133" t="e">
        <f t="shared" si="17"/>
        <v>#DIV/0!</v>
      </c>
    </row>
    <row r="76" spans="1:15" ht="28.5" outlineLevel="1">
      <c r="A76" s="382"/>
      <c r="B76" s="204" t="s">
        <v>174</v>
      </c>
      <c r="C76" s="192">
        <f>+'원가이체, 판관비 배부현황(VND)'!C82</f>
        <v>0</v>
      </c>
      <c r="D76" s="192">
        <f>+'원가이체, 판관비 배부현황(VND)'!D82</f>
        <v>0</v>
      </c>
      <c r="E76" s="192">
        <f>+'원가이체, 판관비 배부현황(VND)'!E82</f>
        <v>0</v>
      </c>
      <c r="F76" s="192">
        <f>+'원가이체, 판관비 배부현황(VND)'!F82</f>
        <v>0</v>
      </c>
      <c r="G76" s="192">
        <f>+'원가이체, 판관비 배부현황(VND)'!G82</f>
        <v>0</v>
      </c>
      <c r="H76" s="192">
        <f>+'원가이체, 판관비 배부현황(VND)'!H82</f>
        <v>0</v>
      </c>
      <c r="I76" s="192">
        <f>+'원가이체, 판관비 배부현황(VND)'!I82</f>
        <v>0</v>
      </c>
      <c r="J76" s="192">
        <f>+'원가이체, 판관비 배부현황(VND)'!J82</f>
        <v>0</v>
      </c>
      <c r="K76" s="192">
        <f>+'원가이체, 판관비 배부현황(VND)'!K82</f>
        <v>0</v>
      </c>
      <c r="L76" s="192">
        <f>+'원가이체, 판관비 배부현황(VND)'!L82</f>
        <v>0</v>
      </c>
      <c r="M76" s="192">
        <f>+'원가이체, 판관비 배부현황(VND)'!M82</f>
        <v>0</v>
      </c>
      <c r="N76" s="192">
        <f>+'원가이체, 판관비 배부현황(VND)'!N82</f>
        <v>0</v>
      </c>
      <c r="O76" s="133">
        <f t="shared" si="17"/>
        <v>0</v>
      </c>
    </row>
    <row r="77" spans="1:15" ht="30" customHeight="1" outlineLevel="1">
      <c r="A77" s="386" t="s">
        <v>194</v>
      </c>
      <c r="B77" s="202" t="s">
        <v>66</v>
      </c>
      <c r="C77" s="193">
        <f>+'원가이체, 판관비 배부현황(VND)'!C83/C$128</f>
        <v>1006.4893191243797</v>
      </c>
      <c r="D77" s="193">
        <f>+'원가이체, 판관비 배부현황(VND)'!D83/D$128</f>
        <v>711.36514200843237</v>
      </c>
      <c r="E77" s="193">
        <f>+'원가이체, 판관비 배부현황(VND)'!E83/E$128</f>
        <v>174.90352726996889</v>
      </c>
      <c r="F77" s="193">
        <f>+'원가이체, 판관비 배부현황(VND)'!F83/F$128</f>
        <v>0</v>
      </c>
      <c r="G77" s="193">
        <f>+'원가이체, 판관비 배부현황(VND)'!G83/G$128</f>
        <v>97.006520835707505</v>
      </c>
      <c r="H77" s="193">
        <f>+'원가이체, 판관비 배부현황(VND)'!H83/H$128</f>
        <v>0</v>
      </c>
      <c r="I77" s="193">
        <f>+'원가이체, 판관비 배부현황(VND)'!I83/I$128</f>
        <v>0</v>
      </c>
      <c r="J77" s="193">
        <f>+'원가이체, 판관비 배부현황(VND)'!J83/J$128</f>
        <v>0</v>
      </c>
      <c r="K77" s="193">
        <f>+'원가이체, 판관비 배부현황(VND)'!K83/K$128</f>
        <v>0</v>
      </c>
      <c r="L77" s="193">
        <f>+'원가이체, 판관비 배부현황(VND)'!L83/L$128</f>
        <v>0</v>
      </c>
      <c r="M77" s="193">
        <f>+'원가이체, 판관비 배부현황(VND)'!M83/M$128</f>
        <v>0</v>
      </c>
      <c r="N77" s="193">
        <f>+'원가이체, 판관비 배부현황(VND)'!N83/N$128</f>
        <v>0</v>
      </c>
      <c r="O77" s="133">
        <f>SUM(C77:N77)</f>
        <v>1989.7645092384885</v>
      </c>
    </row>
    <row r="78" spans="1:15" ht="28.5" outlineLevel="1">
      <c r="A78" s="386"/>
      <c r="B78" s="297" t="s">
        <v>67</v>
      </c>
      <c r="C78" s="193">
        <f>+'원가이체, 판관비 배부현황(VND)'!C84/C$128</f>
        <v>230.29736221290347</v>
      </c>
      <c r="D78" s="193">
        <f>+'원가이체, 판관비 배부현황(VND)'!D84/D$128</f>
        <v>76.341116289766191</v>
      </c>
      <c r="E78" s="193">
        <f>+'원가이체, 판관비 배부현황(VND)'!E84/E$128</f>
        <v>61.192211029355988</v>
      </c>
      <c r="F78" s="193">
        <f>+'원가이체, 판관비 배부현황(VND)'!F84/F$128</f>
        <v>0</v>
      </c>
      <c r="G78" s="193">
        <f>+'원가이체, 판관비 배부현황(VND)'!G84/G$128</f>
        <v>72.681489572649568</v>
      </c>
      <c r="H78" s="193">
        <f>+'원가이체, 판관비 배부현황(VND)'!H84/H$128</f>
        <v>0</v>
      </c>
      <c r="I78" s="193">
        <f>+'원가이체, 판관비 배부현황(VND)'!I84/I$128</f>
        <v>0</v>
      </c>
      <c r="J78" s="193">
        <f>+'원가이체, 판관비 배부현황(VND)'!J84/J$128</f>
        <v>0</v>
      </c>
      <c r="K78" s="193">
        <f>+'원가이체, 판관비 배부현황(VND)'!K84/K$128</f>
        <v>0</v>
      </c>
      <c r="L78" s="193">
        <f>+'원가이체, 판관비 배부현황(VND)'!L84/L$128</f>
        <v>0</v>
      </c>
      <c r="M78" s="193">
        <f>+'원가이체, 판관비 배부현황(VND)'!M84/M$128</f>
        <v>0</v>
      </c>
      <c r="N78" s="193">
        <f>+'원가이체, 판관비 배부현황(VND)'!N84/N$128</f>
        <v>0</v>
      </c>
      <c r="O78" s="135">
        <f t="shared" ref="O78:O106" si="18">SUM(C78:N78)</f>
        <v>440.51217910467523</v>
      </c>
    </row>
    <row r="79" spans="1:15" ht="28.5" outlineLevel="1">
      <c r="A79" s="386"/>
      <c r="B79" s="298" t="s">
        <v>68</v>
      </c>
      <c r="C79" s="205">
        <f>+'원가이체, 판관비 배부현황(VND)'!C85/C$128</f>
        <v>235.62692701881275</v>
      </c>
      <c r="D79" s="205">
        <f>+'원가이체, 판관비 배부현황(VND)'!D85/D$128</f>
        <v>76.341116289766191</v>
      </c>
      <c r="E79" s="205">
        <f>+'원가이체, 판관비 배부현황(VND)'!E85/E$128</f>
        <v>61.192211029355988</v>
      </c>
      <c r="F79" s="205">
        <f>+'원가이체, 판관비 배부현황(VND)'!F85/F$128</f>
        <v>0</v>
      </c>
      <c r="G79" s="205">
        <f>+'원가이체, 판관비 배부현황(VND)'!G85/G$128</f>
        <v>72.681489572649568</v>
      </c>
      <c r="H79" s="205">
        <f>+'원가이체, 판관비 배부현황(VND)'!H85/H$128</f>
        <v>0</v>
      </c>
      <c r="I79" s="205">
        <f>+'원가이체, 판관비 배부현황(VND)'!I85/I$128</f>
        <v>0</v>
      </c>
      <c r="J79" s="205">
        <f>+'원가이체, 판관비 배부현황(VND)'!J85/J$128</f>
        <v>0</v>
      </c>
      <c r="K79" s="205">
        <f>+'원가이체, 판관비 배부현황(VND)'!K85/K$128</f>
        <v>0</v>
      </c>
      <c r="L79" s="205">
        <f>+'원가이체, 판관비 배부현황(VND)'!L85/L$128</f>
        <v>0</v>
      </c>
      <c r="M79" s="205">
        <f>+'원가이체, 판관비 배부현황(VND)'!M85/M$128</f>
        <v>0</v>
      </c>
      <c r="N79" s="205">
        <f>+'원가이체, 판관비 배부현황(VND)'!N85/N$128</f>
        <v>0</v>
      </c>
      <c r="O79" s="129">
        <f t="shared" si="18"/>
        <v>445.84174391058451</v>
      </c>
    </row>
    <row r="80" spans="1:15" ht="28.5" outlineLevel="1">
      <c r="A80" s="386"/>
      <c r="B80" s="299" t="s">
        <v>69</v>
      </c>
      <c r="C80" s="205">
        <f>+'원가이체, 판관비 배부현황(VND)'!C86/C$128</f>
        <v>-5.3295648059092828</v>
      </c>
      <c r="D80" s="205">
        <f>+'원가이체, 판관비 배부현황(VND)'!D86/D$128</f>
        <v>0</v>
      </c>
      <c r="E80" s="205">
        <f>+'원가이체, 판관비 배부현황(VND)'!E86/E$128</f>
        <v>0</v>
      </c>
      <c r="F80" s="205">
        <f>+'원가이체, 판관비 배부현황(VND)'!F86/F$128</f>
        <v>0</v>
      </c>
      <c r="G80" s="205">
        <f>+'원가이체, 판관비 배부현황(VND)'!G86/G$128</f>
        <v>0</v>
      </c>
      <c r="H80" s="205">
        <f>+'원가이체, 판관비 배부현황(VND)'!H86/H$128</f>
        <v>0</v>
      </c>
      <c r="I80" s="205">
        <f>+'원가이체, 판관비 배부현황(VND)'!I86/I$128</f>
        <v>0</v>
      </c>
      <c r="J80" s="205">
        <f>+'원가이체, 판관비 배부현황(VND)'!J86/J$128</f>
        <v>0</v>
      </c>
      <c r="K80" s="205">
        <f>+'원가이체, 판관비 배부현황(VND)'!K86/K$128</f>
        <v>0</v>
      </c>
      <c r="L80" s="205">
        <f>+'원가이체, 판관비 배부현황(VND)'!L86/L$128</f>
        <v>0</v>
      </c>
      <c r="M80" s="205">
        <f>+'원가이체, 판관비 배부현황(VND)'!M86/M$128</f>
        <v>0</v>
      </c>
      <c r="N80" s="205">
        <f>+'원가이체, 판관비 배부현황(VND)'!N86/N$128</f>
        <v>0</v>
      </c>
      <c r="O80" s="131">
        <f t="shared" si="18"/>
        <v>-5.3295648059092828</v>
      </c>
    </row>
    <row r="81" spans="1:15" ht="28.5" outlineLevel="1">
      <c r="A81" s="386"/>
      <c r="B81" s="204" t="s">
        <v>70</v>
      </c>
      <c r="C81" s="191">
        <f>+'원가이체, 판관비 배부현황(VND)'!C87/C$128</f>
        <v>0</v>
      </c>
      <c r="D81" s="191">
        <f>+'원가이체, 판관비 배부현황(VND)'!D87/D$128</f>
        <v>0</v>
      </c>
      <c r="E81" s="191">
        <f>+'원가이체, 판관비 배부현황(VND)'!E87/E$128</f>
        <v>0</v>
      </c>
      <c r="F81" s="191">
        <f>+'원가이체, 판관비 배부현황(VND)'!F87/F$128</f>
        <v>0</v>
      </c>
      <c r="G81" s="191">
        <f>+'원가이체, 판관비 배부현황(VND)'!G87/G$128</f>
        <v>0</v>
      </c>
      <c r="H81" s="191">
        <f>+'원가이체, 판관비 배부현황(VND)'!H87/H$128</f>
        <v>0</v>
      </c>
      <c r="I81" s="191">
        <f>+'원가이체, 판관비 배부현황(VND)'!I87/I$128</f>
        <v>0</v>
      </c>
      <c r="J81" s="191">
        <f>+'원가이체, 판관비 배부현황(VND)'!J87/J$128</f>
        <v>0</v>
      </c>
      <c r="K81" s="191">
        <f>+'원가이체, 판관비 배부현황(VND)'!K87/K$128</f>
        <v>0</v>
      </c>
      <c r="L81" s="191">
        <f>+'원가이체, 판관비 배부현황(VND)'!L87/L$128</f>
        <v>0</v>
      </c>
      <c r="M81" s="191">
        <f>+'원가이체, 판관비 배부현황(VND)'!M87/M$128</f>
        <v>0</v>
      </c>
      <c r="N81" s="191">
        <f>+'원가이체, 판관비 배부현황(VND)'!N87/N$128</f>
        <v>0</v>
      </c>
      <c r="O81" s="133">
        <f t="shared" si="18"/>
        <v>0</v>
      </c>
    </row>
    <row r="82" spans="1:15" ht="28.5" outlineLevel="1">
      <c r="A82" s="386"/>
      <c r="B82" s="204" t="s">
        <v>174</v>
      </c>
      <c r="C82" s="192">
        <f>+'원가이체, 판관비 배부현황(VND)'!C88</f>
        <v>0</v>
      </c>
      <c r="D82" s="192">
        <f>+'원가이체, 판관비 배부현황(VND)'!D88</f>
        <v>0</v>
      </c>
      <c r="E82" s="192">
        <f>+'원가이체, 판관비 배부현황(VND)'!E88</f>
        <v>0</v>
      </c>
      <c r="F82" s="192">
        <f>+'원가이체, 판관비 배부현황(VND)'!F88</f>
        <v>0</v>
      </c>
      <c r="G82" s="192">
        <f>+'원가이체, 판관비 배부현황(VND)'!G88</f>
        <v>0</v>
      </c>
      <c r="H82" s="192">
        <f>+'원가이체, 판관비 배부현황(VND)'!H88</f>
        <v>0</v>
      </c>
      <c r="I82" s="192">
        <f>+'원가이체, 판관비 배부현황(VND)'!I88</f>
        <v>0</v>
      </c>
      <c r="J82" s="192">
        <f>+'원가이체, 판관비 배부현황(VND)'!J88</f>
        <v>0</v>
      </c>
      <c r="K82" s="192">
        <f>+'원가이체, 판관비 배부현황(VND)'!K88</f>
        <v>0</v>
      </c>
      <c r="L82" s="192">
        <f>+'원가이체, 판관비 배부현황(VND)'!L88</f>
        <v>0</v>
      </c>
      <c r="M82" s="192">
        <f>+'원가이체, 판관비 배부현황(VND)'!M88</f>
        <v>0</v>
      </c>
      <c r="N82" s="192">
        <f>+'원가이체, 판관비 배부현황(VND)'!N88</f>
        <v>0</v>
      </c>
      <c r="O82" s="133">
        <f t="shared" si="18"/>
        <v>0</v>
      </c>
    </row>
    <row r="83" spans="1:15" ht="28.5" outlineLevel="1">
      <c r="A83" s="386" t="s">
        <v>195</v>
      </c>
      <c r="B83" s="202" t="s">
        <v>66</v>
      </c>
      <c r="C83" s="192"/>
      <c r="D83" s="192"/>
      <c r="E83" s="193">
        <f>+'원가이체, 판관비 배부현황(VND)'!E89/E$128</f>
        <v>0</v>
      </c>
      <c r="F83" s="193">
        <f>+'원가이체, 판관비 배부현황(VND)'!F89/F$128</f>
        <v>0</v>
      </c>
      <c r="G83" s="193">
        <f>+'원가이체, 판관비 배부현황(VND)'!G89/G$128</f>
        <v>0</v>
      </c>
      <c r="H83" s="193">
        <f>+'원가이체, 판관비 배부현황(VND)'!H89/H$128</f>
        <v>0</v>
      </c>
      <c r="I83" s="193">
        <f>+'원가이체, 판관비 배부현황(VND)'!I89/I$128</f>
        <v>0</v>
      </c>
      <c r="J83" s="193">
        <f>+'원가이체, 판관비 배부현황(VND)'!J89/J$128</f>
        <v>0</v>
      </c>
      <c r="K83" s="193">
        <f>+'원가이체, 판관비 배부현황(VND)'!K89/K$128</f>
        <v>0</v>
      </c>
      <c r="L83" s="193">
        <f>+'원가이체, 판관비 배부현황(VND)'!L89/L$128</f>
        <v>0</v>
      </c>
      <c r="M83" s="193">
        <f>+'원가이체, 판관비 배부현황(VND)'!M89/M$128</f>
        <v>0</v>
      </c>
      <c r="N83" s="193">
        <f>+'원가이체, 판관비 배부현황(VND)'!N89/N$128</f>
        <v>0</v>
      </c>
      <c r="O83" s="133">
        <f t="shared" si="18"/>
        <v>0</v>
      </c>
    </row>
    <row r="84" spans="1:15" ht="28.5" outlineLevel="1">
      <c r="A84" s="386"/>
      <c r="B84" s="297" t="s">
        <v>67</v>
      </c>
      <c r="C84" s="201">
        <f>+'원가이체, 판관비 배부현황(VND)'!C90/C$128</f>
        <v>0</v>
      </c>
      <c r="D84" s="201">
        <f>+'원가이체, 판관비 배부현황(VND)'!D90/D$128</f>
        <v>0</v>
      </c>
      <c r="E84" s="201">
        <f>+'원가이체, 판관비 배부현황(VND)'!E90/E$128</f>
        <v>0</v>
      </c>
      <c r="F84" s="201">
        <f>+'원가이체, 판관비 배부현황(VND)'!F90/F$128</f>
        <v>0</v>
      </c>
      <c r="G84" s="201">
        <f>+'원가이체, 판관비 배부현황(VND)'!G90/G$128</f>
        <v>0</v>
      </c>
      <c r="H84" s="201">
        <f>+'원가이체, 판관비 배부현황(VND)'!H90/H$128</f>
        <v>0</v>
      </c>
      <c r="I84" s="201">
        <f>+'원가이체, 판관비 배부현황(VND)'!I90/I$128</f>
        <v>0</v>
      </c>
      <c r="J84" s="201">
        <f>+'원가이체, 판관비 배부현황(VND)'!J90/J$128</f>
        <v>0</v>
      </c>
      <c r="K84" s="201">
        <f>+'원가이체, 판관비 배부현황(VND)'!K90/K$128</f>
        <v>0</v>
      </c>
      <c r="L84" s="201">
        <f>+'원가이체, 판관비 배부현황(VND)'!L90/L$128</f>
        <v>0</v>
      </c>
      <c r="M84" s="201">
        <f>+'원가이체, 판관비 배부현황(VND)'!M90/M$128</f>
        <v>0</v>
      </c>
      <c r="N84" s="201">
        <f>+'원가이체, 판관비 배부현황(VND)'!N90/N$128</f>
        <v>0</v>
      </c>
      <c r="O84" s="135">
        <f t="shared" si="18"/>
        <v>0</v>
      </c>
    </row>
    <row r="85" spans="1:15" ht="28.5" outlineLevel="1">
      <c r="A85" s="386"/>
      <c r="B85" s="298" t="s">
        <v>68</v>
      </c>
      <c r="C85" s="205">
        <f>+'원가이체, 판관비 배부현황(VND)'!C91/C$128</f>
        <v>0</v>
      </c>
      <c r="D85" s="205">
        <f>+'원가이체, 판관비 배부현황(VND)'!D91/D$128</f>
        <v>0</v>
      </c>
      <c r="E85" s="205">
        <f>+'원가이체, 판관비 배부현황(VND)'!E91/E$128</f>
        <v>0</v>
      </c>
      <c r="F85" s="205">
        <f>+'원가이체, 판관비 배부현황(VND)'!F91/F$128</f>
        <v>0</v>
      </c>
      <c r="G85" s="205">
        <f>+'원가이체, 판관비 배부현황(VND)'!G91/G$128</f>
        <v>0</v>
      </c>
      <c r="H85" s="205">
        <f>+'원가이체, 판관비 배부현황(VND)'!H91/H$128</f>
        <v>0</v>
      </c>
      <c r="I85" s="205">
        <f>+'원가이체, 판관비 배부현황(VND)'!I91/I$128</f>
        <v>0</v>
      </c>
      <c r="J85" s="205">
        <f>+'원가이체, 판관비 배부현황(VND)'!J91/J$128</f>
        <v>0</v>
      </c>
      <c r="K85" s="205">
        <f>+'원가이체, 판관비 배부현황(VND)'!K91/K$128</f>
        <v>0</v>
      </c>
      <c r="L85" s="205">
        <f>+'원가이체, 판관비 배부현황(VND)'!L91/L$128</f>
        <v>0</v>
      </c>
      <c r="M85" s="205">
        <f>+'원가이체, 판관비 배부현황(VND)'!M91/M$128</f>
        <v>0</v>
      </c>
      <c r="N85" s="205">
        <f>+'원가이체, 판관비 배부현황(VND)'!N91/N$128</f>
        <v>0</v>
      </c>
      <c r="O85" s="129">
        <f t="shared" si="18"/>
        <v>0</v>
      </c>
    </row>
    <row r="86" spans="1:15" ht="28.5" outlineLevel="1">
      <c r="A86" s="386"/>
      <c r="B86" s="299" t="s">
        <v>69</v>
      </c>
      <c r="C86" s="206">
        <f>+'원가이체, 판관비 배부현황(VND)'!C92/C$128</f>
        <v>0</v>
      </c>
      <c r="D86" s="206">
        <f>+'원가이체, 판관비 배부현황(VND)'!D92/D$128</f>
        <v>0</v>
      </c>
      <c r="E86" s="206">
        <f>+'원가이체, 판관비 배부현황(VND)'!E92/E$128</f>
        <v>0</v>
      </c>
      <c r="F86" s="206">
        <f>+'원가이체, 판관비 배부현황(VND)'!F92/F$128</f>
        <v>0</v>
      </c>
      <c r="G86" s="206">
        <f>+'원가이체, 판관비 배부현황(VND)'!G92/G$128</f>
        <v>0</v>
      </c>
      <c r="H86" s="206">
        <f>+'원가이체, 판관비 배부현황(VND)'!H92/H$128</f>
        <v>0</v>
      </c>
      <c r="I86" s="206">
        <f>+'원가이체, 판관비 배부현황(VND)'!I92/I$128</f>
        <v>0</v>
      </c>
      <c r="J86" s="206">
        <f>+'원가이체, 판관비 배부현황(VND)'!J92/J$128</f>
        <v>0</v>
      </c>
      <c r="K86" s="206">
        <f>+'원가이체, 판관비 배부현황(VND)'!K92/K$128</f>
        <v>0</v>
      </c>
      <c r="L86" s="206">
        <f>+'원가이체, 판관비 배부현황(VND)'!L92/L$128</f>
        <v>0</v>
      </c>
      <c r="M86" s="206">
        <f>+'원가이체, 판관비 배부현황(VND)'!M92/M$128</f>
        <v>0</v>
      </c>
      <c r="N86" s="206">
        <f>+'원가이체, 판관비 배부현황(VND)'!N92/N$128</f>
        <v>0</v>
      </c>
      <c r="O86" s="131">
        <f t="shared" si="18"/>
        <v>0</v>
      </c>
    </row>
    <row r="87" spans="1:15" ht="28.5" outlineLevel="1">
      <c r="A87" s="386"/>
      <c r="B87" s="204" t="s">
        <v>70</v>
      </c>
      <c r="C87" s="191">
        <f>+'원가이체, 판관비 배부현황(VND)'!C93/C$128</f>
        <v>0</v>
      </c>
      <c r="D87" s="191">
        <f>+'원가이체, 판관비 배부현황(VND)'!D93/D$128</f>
        <v>0</v>
      </c>
      <c r="E87" s="191">
        <f>+'원가이체, 판관비 배부현황(VND)'!E93/E$128</f>
        <v>0</v>
      </c>
      <c r="F87" s="191">
        <f>+'원가이체, 판관비 배부현황(VND)'!F93/F$128</f>
        <v>0</v>
      </c>
      <c r="G87" s="191">
        <f>+'원가이체, 판관비 배부현황(VND)'!G93/G$128</f>
        <v>0</v>
      </c>
      <c r="H87" s="191">
        <f>+'원가이체, 판관비 배부현황(VND)'!H93/H$128</f>
        <v>0</v>
      </c>
      <c r="I87" s="191">
        <f>+'원가이체, 판관비 배부현황(VND)'!I93/I$128</f>
        <v>0</v>
      </c>
      <c r="J87" s="191">
        <f>+'원가이체, 판관비 배부현황(VND)'!J93/J$128</f>
        <v>0</v>
      </c>
      <c r="K87" s="191">
        <f>+'원가이체, 판관비 배부현황(VND)'!K93/K$128</f>
        <v>0</v>
      </c>
      <c r="L87" s="191">
        <f>+'원가이체, 판관비 배부현황(VND)'!L93/L$128</f>
        <v>0</v>
      </c>
      <c r="M87" s="191">
        <f>+'원가이체, 판관비 배부현황(VND)'!M93/M$128</f>
        <v>0</v>
      </c>
      <c r="N87" s="191">
        <f>+'원가이체, 판관비 배부현황(VND)'!N93/N$128</f>
        <v>0</v>
      </c>
      <c r="O87" s="133">
        <f t="shared" si="18"/>
        <v>0</v>
      </c>
    </row>
    <row r="88" spans="1:15" ht="28.5" outlineLevel="1">
      <c r="A88" s="386"/>
      <c r="B88" s="204" t="s">
        <v>174</v>
      </c>
      <c r="C88" s="192">
        <f>+'원가이체, 판관비 배부현황(VND)'!C94</f>
        <v>0</v>
      </c>
      <c r="D88" s="192">
        <f>+'원가이체, 판관비 배부현황(VND)'!D94</f>
        <v>0</v>
      </c>
      <c r="E88" s="192">
        <f>+'원가이체, 판관비 배부현황(VND)'!E94</f>
        <v>0</v>
      </c>
      <c r="F88" s="192">
        <f>+'원가이체, 판관비 배부현황(VND)'!F94</f>
        <v>0</v>
      </c>
      <c r="G88" s="192">
        <f>+'원가이체, 판관비 배부현황(VND)'!G94</f>
        <v>0</v>
      </c>
      <c r="H88" s="192">
        <f>+'원가이체, 판관비 배부현황(VND)'!H94</f>
        <v>0</v>
      </c>
      <c r="I88" s="192">
        <f>+'원가이체, 판관비 배부현황(VND)'!I94</f>
        <v>0</v>
      </c>
      <c r="J88" s="192">
        <f>+'원가이체, 판관비 배부현황(VND)'!J94</f>
        <v>0</v>
      </c>
      <c r="K88" s="192">
        <f>+'원가이체, 판관비 배부현황(VND)'!K94</f>
        <v>0</v>
      </c>
      <c r="L88" s="192">
        <f>+'원가이체, 판관비 배부현황(VND)'!L94</f>
        <v>0</v>
      </c>
      <c r="M88" s="192">
        <f>+'원가이체, 판관비 배부현황(VND)'!M94</f>
        <v>0</v>
      </c>
      <c r="N88" s="192">
        <f>+'원가이체, 판관비 배부현황(VND)'!N94</f>
        <v>0</v>
      </c>
      <c r="O88" s="133">
        <f t="shared" si="18"/>
        <v>0</v>
      </c>
    </row>
    <row r="89" spans="1:15" ht="28.5" outlineLevel="1">
      <c r="A89" s="382" t="s">
        <v>196</v>
      </c>
      <c r="B89" s="202" t="s">
        <v>66</v>
      </c>
      <c r="C89" s="193">
        <f>+'원가이체, 판관비 배부현황(VND)'!C95/C$128</f>
        <v>6.7481697764782824</v>
      </c>
      <c r="D89" s="193">
        <f>+'원가이체, 판관비 배부현황(VND)'!D95/D$128</f>
        <v>8.1192795707167491</v>
      </c>
      <c r="E89" s="193">
        <f>+'원가이체, 판관비 배부현황(VND)'!E95/E$128</f>
        <v>52.747582378821207</v>
      </c>
      <c r="F89" s="193">
        <f>+'원가이체, 판관비 배부현황(VND)'!F95/F$128</f>
        <v>78.814431048218822</v>
      </c>
      <c r="G89" s="193">
        <f>+'원가이체, 판관비 배부현황(VND)'!G95/G$128</f>
        <v>2.9020494966761632</v>
      </c>
      <c r="H89" s="193">
        <f>+'원가이체, 판관비 배부현황(VND)'!H95/H$128</f>
        <v>-23.184895343090666</v>
      </c>
      <c r="I89" s="193">
        <f>+'원가이체, 판관비 배부현황(VND)'!I95/I$128</f>
        <v>0</v>
      </c>
      <c r="J89" s="193">
        <f>+'원가이체, 판관비 배부현황(VND)'!J95/J$128</f>
        <v>0</v>
      </c>
      <c r="K89" s="193">
        <f>+'원가이체, 판관비 배부현황(VND)'!K95/K$128</f>
        <v>0</v>
      </c>
      <c r="L89" s="193">
        <f>+'원가이체, 판관비 배부현황(VND)'!L95/L$128</f>
        <v>0</v>
      </c>
      <c r="M89" s="193">
        <f>+'원가이체, 판관비 배부현황(VND)'!M95/M$128</f>
        <v>0</v>
      </c>
      <c r="N89" s="193">
        <f>+'원가이체, 판관비 배부현황(VND)'!N95/N$128</f>
        <v>0</v>
      </c>
      <c r="O89" s="133">
        <f t="shared" si="18"/>
        <v>126.14661692782056</v>
      </c>
    </row>
    <row r="90" spans="1:15" ht="28.5" outlineLevel="1">
      <c r="A90" s="382"/>
      <c r="B90" s="297" t="s">
        <v>67</v>
      </c>
      <c r="C90" s="201">
        <f>+'원가이체, 판관비 배부현황(VND)'!C96/C$128</f>
        <v>5.5888342245989309</v>
      </c>
      <c r="D90" s="201">
        <f>+'원가이체, 판관비 배부현황(VND)'!D96/D$128</f>
        <v>6.7243873514756611</v>
      </c>
      <c r="E90" s="201">
        <f>+'원가이체, 판관비 배부현황(VND)'!E96/E$128</f>
        <v>43.685547712963668</v>
      </c>
      <c r="F90" s="201">
        <f>+'원가이체, 판관비 배부현황(VND)'!F96/F$128</f>
        <v>65.274111802420421</v>
      </c>
      <c r="G90" s="201">
        <f>+'원가이체, 판관비 배부현황(VND)'!G96/G$128</f>
        <v>2.4034773789173789</v>
      </c>
      <c r="H90" s="201">
        <f>+'원가이체, 판관비 배부현황(VND)'!H96/H$128</f>
        <v>5.2927606538680863</v>
      </c>
      <c r="I90" s="201">
        <f>+'원가이체, 판관비 배부현황(VND)'!I96/I$128</f>
        <v>0</v>
      </c>
      <c r="J90" s="201">
        <f>+'원가이체, 판관비 배부현황(VND)'!J96/J$128</f>
        <v>0</v>
      </c>
      <c r="K90" s="201">
        <f>+'원가이체, 판관비 배부현황(VND)'!K96/K$128</f>
        <v>0</v>
      </c>
      <c r="L90" s="201">
        <f>+'원가이체, 판관비 배부현황(VND)'!L96/L$128</f>
        <v>0</v>
      </c>
      <c r="M90" s="201">
        <f>+'원가이체, 판관비 배부현황(VND)'!M96/M$128</f>
        <v>0</v>
      </c>
      <c r="N90" s="201">
        <f>+'원가이체, 판관비 배부현황(VND)'!N96/N$128</f>
        <v>0</v>
      </c>
      <c r="O90" s="135">
        <f t="shared" si="18"/>
        <v>128.96911912424414</v>
      </c>
    </row>
    <row r="91" spans="1:15" ht="28.5" outlineLevel="1">
      <c r="A91" s="382"/>
      <c r="B91" s="298" t="s">
        <v>68</v>
      </c>
      <c r="C91" s="205">
        <f>+'원가이체, 판관비 배부현황(VND)'!C97/C$128</f>
        <v>5.9736379025122153</v>
      </c>
      <c r="D91" s="205">
        <f>+'원가이체, 판관비 배부현황(VND)'!D97/D$128</f>
        <v>6.6444877347642777</v>
      </c>
      <c r="E91" s="205">
        <f>+'원가이체, 판관비 배부현황(VND)'!E97/E$128</f>
        <v>42.809802245315936</v>
      </c>
      <c r="F91" s="205">
        <f>+'원가이체, 판관비 배부현황(VND)'!F97/F$128</f>
        <v>64.597176258583403</v>
      </c>
      <c r="G91" s="205">
        <f>+'원가이체, 판관비 배부현황(VND)'!G97/G$128</f>
        <v>0.81489363722697061</v>
      </c>
      <c r="H91" s="205">
        <f>+'원가이체, 판관비 배부현황(VND)'!H97/H$128</f>
        <v>5.2461509218779696</v>
      </c>
      <c r="I91" s="205">
        <f>+'원가이체, 판관비 배부현황(VND)'!I97/I$128</f>
        <v>0</v>
      </c>
      <c r="J91" s="205">
        <f>+'원가이체, 판관비 배부현황(VND)'!J97/J$128</f>
        <v>0</v>
      </c>
      <c r="K91" s="205">
        <f>+'원가이체, 판관비 배부현황(VND)'!K97/K$128</f>
        <v>0</v>
      </c>
      <c r="L91" s="205">
        <f>+'원가이체, 판관비 배부현황(VND)'!L97/L$128</f>
        <v>0</v>
      </c>
      <c r="M91" s="205">
        <f>+'원가이체, 판관비 배부현황(VND)'!M97/M$128</f>
        <v>0</v>
      </c>
      <c r="N91" s="205">
        <f>+'원가이체, 판관비 배부현황(VND)'!N97/N$128</f>
        <v>0</v>
      </c>
      <c r="O91" s="129">
        <f t="shared" si="18"/>
        <v>126.08614870028077</v>
      </c>
    </row>
    <row r="92" spans="1:15" ht="28.5" outlineLevel="1">
      <c r="A92" s="382"/>
      <c r="B92" s="299" t="s">
        <v>69</v>
      </c>
      <c r="C92" s="206">
        <f>+'원가이체, 판관비 배부현황(VND)'!C98/C$128</f>
        <v>-0.38480367791328435</v>
      </c>
      <c r="D92" s="206">
        <f>+'원가이체, 판관비 배부현황(VND)'!D98/D$128</f>
        <v>7.9899616711383667E-2</v>
      </c>
      <c r="E92" s="206">
        <f>+'원가이체, 판관비 배부현황(VND)'!E98/E$128</f>
        <v>0.87574546764772809</v>
      </c>
      <c r="F92" s="206">
        <f>+'원가이체, 판관비 배부현황(VND)'!F98/F$128</f>
        <v>0.67693554383701959</v>
      </c>
      <c r="G92" s="206">
        <f>+'원가이체, 판관비 배부현황(VND)'!G98/G$128</f>
        <v>1.5885837416904083</v>
      </c>
      <c r="H92" s="206">
        <f>+'원가이체, 판관비 배부현황(VND)'!H98/H$128</f>
        <v>4.6609731990115949E-2</v>
      </c>
      <c r="I92" s="206">
        <f>+'원가이체, 판관비 배부현황(VND)'!I98/I$128</f>
        <v>0</v>
      </c>
      <c r="J92" s="206">
        <f>+'원가이체, 판관비 배부현황(VND)'!J98/J$128</f>
        <v>0</v>
      </c>
      <c r="K92" s="206">
        <f>+'원가이체, 판관비 배부현황(VND)'!K98/K$128</f>
        <v>0</v>
      </c>
      <c r="L92" s="206">
        <f>+'원가이체, 판관비 배부현황(VND)'!L98/L$128</f>
        <v>0</v>
      </c>
      <c r="M92" s="206">
        <f>+'원가이체, 판관비 배부현황(VND)'!M98/M$128</f>
        <v>0</v>
      </c>
      <c r="N92" s="206">
        <f>+'원가이체, 판관비 배부현황(VND)'!N98/N$128</f>
        <v>0</v>
      </c>
      <c r="O92" s="131">
        <f t="shared" si="18"/>
        <v>2.8829704239633713</v>
      </c>
    </row>
    <row r="93" spans="1:15" ht="28.5" outlineLevel="1">
      <c r="A93" s="382"/>
      <c r="B93" s="204" t="s">
        <v>70</v>
      </c>
      <c r="C93" s="191">
        <f>+'원가이체, 판관비 배부현황(VND)'!C99/C$128</f>
        <v>1.5700084638171816</v>
      </c>
      <c r="D93" s="191">
        <f>+'원가이체, 판관비 배부현황(VND)'!D99/D$128</f>
        <v>0.13163300114986584</v>
      </c>
      <c r="E93" s="191">
        <f>+'원가이체, 판관비 배부현황(VND)'!E99/E$128</f>
        <v>1.5301990442236213</v>
      </c>
      <c r="F93" s="191">
        <f>+'원가이체, 판관비 배부현황(VND)'!F99/F$128</f>
        <v>1.1949778064418226</v>
      </c>
      <c r="G93" s="191">
        <f>+'원가이체, 판관비 배부현황(VND)'!G99/G$128</f>
        <v>4.1227882241215576E-2</v>
      </c>
      <c r="H93" s="191">
        <f>+'원가이체, 판관비 배부현황(VND)'!H99/H$128</f>
        <v>7.4396426534879295E-2</v>
      </c>
      <c r="I93" s="191" t="e">
        <f>+'원가이체, 판관비 배부현황(VND)'!I99/I$128</f>
        <v>#DIV/0!</v>
      </c>
      <c r="J93" s="191" t="e">
        <f>+'원가이체, 판관비 배부현황(VND)'!J99/J$128</f>
        <v>#DIV/0!</v>
      </c>
      <c r="K93" s="191" t="e">
        <f>+'원가이체, 판관비 배부현황(VND)'!K99/K$128</f>
        <v>#DIV/0!</v>
      </c>
      <c r="L93" s="191" t="e">
        <f>+'원가이체, 판관비 배부현황(VND)'!L99/L$128</f>
        <v>#DIV/0!</v>
      </c>
      <c r="M93" s="191" t="e">
        <f>+'원가이체, 판관비 배부현황(VND)'!M99/M$128</f>
        <v>#DIV/0!</v>
      </c>
      <c r="N93" s="191" t="e">
        <f>+'원가이체, 판관비 배부현황(VND)'!N99/N$128</f>
        <v>#DIV/0!</v>
      </c>
      <c r="O93" s="133" t="e">
        <f t="shared" si="18"/>
        <v>#DIV/0!</v>
      </c>
    </row>
    <row r="94" spans="1:15" ht="28.5" outlineLevel="1">
      <c r="A94" s="382"/>
      <c r="B94" s="204" t="s">
        <v>174</v>
      </c>
      <c r="C94" s="192">
        <f>+'원가이체, 판관비 배부현황(VND)'!C100</f>
        <v>0</v>
      </c>
      <c r="D94" s="192">
        <f>+'원가이체, 판관비 배부현황(VND)'!D100</f>
        <v>0</v>
      </c>
      <c r="E94" s="192">
        <f>+'원가이체, 판관비 배부현황(VND)'!E100</f>
        <v>0</v>
      </c>
      <c r="F94" s="192">
        <f>+'원가이체, 판관비 배부현황(VND)'!F100</f>
        <v>0</v>
      </c>
      <c r="G94" s="192">
        <f>+'원가이체, 판관비 배부현황(VND)'!G100</f>
        <v>0</v>
      </c>
      <c r="H94" s="192">
        <f>+'원가이체, 판관비 배부현황(VND)'!H100</f>
        <v>0</v>
      </c>
      <c r="I94" s="192">
        <f>+'원가이체, 판관비 배부현황(VND)'!I100</f>
        <v>0</v>
      </c>
      <c r="J94" s="192">
        <f>+'원가이체, 판관비 배부현황(VND)'!J100</f>
        <v>0</v>
      </c>
      <c r="K94" s="192">
        <f>+'원가이체, 판관비 배부현황(VND)'!K100</f>
        <v>0</v>
      </c>
      <c r="L94" s="192">
        <f>+'원가이체, 판관비 배부현황(VND)'!L100</f>
        <v>0</v>
      </c>
      <c r="M94" s="192">
        <f>+'원가이체, 판관비 배부현황(VND)'!M100</f>
        <v>0</v>
      </c>
      <c r="N94" s="192">
        <f>+'원가이체, 판관비 배부현황(VND)'!N100</f>
        <v>0</v>
      </c>
      <c r="O94" s="133">
        <f t="shared" si="18"/>
        <v>0</v>
      </c>
    </row>
    <row r="95" spans="1:15" ht="30" customHeight="1" outlineLevel="1">
      <c r="A95" s="386" t="s">
        <v>212</v>
      </c>
      <c r="B95" s="202" t="s">
        <v>66</v>
      </c>
      <c r="C95" s="193">
        <f>+'원가이체, 판관비 배부현황(VND)'!C101/C$128</f>
        <v>0</v>
      </c>
      <c r="D95" s="193">
        <f>+'원가이체, 판관비 배부현황(VND)'!D101/D$128</f>
        <v>0</v>
      </c>
      <c r="E95" s="193">
        <f>+'원가이체, 판관비 배부현황(VND)'!E101/E$128</f>
        <v>0</v>
      </c>
      <c r="F95" s="193">
        <f>+'원가이체, 판관비 배부현황(VND)'!F101/F$128</f>
        <v>0</v>
      </c>
      <c r="G95" s="193">
        <f>+'원가이체, 판관비 배부현황(VND)'!G101/G$128</f>
        <v>0</v>
      </c>
      <c r="H95" s="193">
        <f>+'원가이체, 판관비 배부현황(VND)'!H101/H$128</f>
        <v>0</v>
      </c>
      <c r="I95" s="193">
        <f>+'원가이체, 판관비 배부현황(VND)'!I101/I$128</f>
        <v>0</v>
      </c>
      <c r="J95" s="193">
        <f>+'원가이체, 판관비 배부현황(VND)'!J101/J$128</f>
        <v>0</v>
      </c>
      <c r="K95" s="193">
        <f>+'원가이체, 판관비 배부현황(VND)'!K101/K$128</f>
        <v>0</v>
      </c>
      <c r="L95" s="193">
        <f>+'원가이체, 판관비 배부현황(VND)'!L101/L$128</f>
        <v>0</v>
      </c>
      <c r="M95" s="193">
        <f>+'원가이체, 판관비 배부현황(VND)'!M101/M$128</f>
        <v>0</v>
      </c>
      <c r="N95" s="193">
        <f>+'원가이체, 판관비 배부현황(VND)'!N101/N$128</f>
        <v>0</v>
      </c>
      <c r="O95" s="133">
        <f t="shared" si="18"/>
        <v>0</v>
      </c>
    </row>
    <row r="96" spans="1:15" ht="28.5" outlineLevel="1">
      <c r="A96" s="386"/>
      <c r="B96" s="297" t="s">
        <v>67</v>
      </c>
      <c r="C96" s="201">
        <f>+'원가이체, 판관비 배부현황(VND)'!C102/C$128</f>
        <v>0</v>
      </c>
      <c r="D96" s="201">
        <f>+'원가이체, 판관비 배부현황(VND)'!D102/D$128</f>
        <v>0</v>
      </c>
      <c r="E96" s="201">
        <f>+'원가이체, 판관비 배부현황(VND)'!E102/E$128</f>
        <v>0</v>
      </c>
      <c r="F96" s="201">
        <f>+'원가이체, 판관비 배부현황(VND)'!F102/F$128</f>
        <v>0</v>
      </c>
      <c r="G96" s="201">
        <f>+'원가이체, 판관비 배부현황(VND)'!G102/G$128</f>
        <v>0</v>
      </c>
      <c r="H96" s="201">
        <f>+'원가이체, 판관비 배부현황(VND)'!H102/H$128</f>
        <v>0</v>
      </c>
      <c r="I96" s="201">
        <f>+'원가이체, 판관비 배부현황(VND)'!I102/I$128</f>
        <v>0</v>
      </c>
      <c r="J96" s="201">
        <f>+'원가이체, 판관비 배부현황(VND)'!J102/J$128</f>
        <v>0</v>
      </c>
      <c r="K96" s="201">
        <f>+'원가이체, 판관비 배부현황(VND)'!K102/K$128</f>
        <v>0</v>
      </c>
      <c r="L96" s="201">
        <f>+'원가이체, 판관비 배부현황(VND)'!L102/L$128</f>
        <v>0</v>
      </c>
      <c r="M96" s="201">
        <f>+'원가이체, 판관비 배부현황(VND)'!M102/M$128</f>
        <v>0</v>
      </c>
      <c r="N96" s="201">
        <f>+'원가이체, 판관비 배부현황(VND)'!N102/N$128</f>
        <v>0</v>
      </c>
      <c r="O96" s="135">
        <f t="shared" si="18"/>
        <v>0</v>
      </c>
    </row>
    <row r="97" spans="1:15" ht="28.5" outlineLevel="1">
      <c r="A97" s="386"/>
      <c r="B97" s="298" t="s">
        <v>68</v>
      </c>
      <c r="C97" s="205">
        <f>+'원가이체, 판관비 배부현황(VND)'!C103/C$128</f>
        <v>0</v>
      </c>
      <c r="D97" s="205">
        <f>+'원가이체, 판관비 배부현황(VND)'!D103/D$128</f>
        <v>0</v>
      </c>
      <c r="E97" s="205">
        <f>+'원가이체, 판관비 배부현황(VND)'!E103/E$128</f>
        <v>0</v>
      </c>
      <c r="F97" s="205">
        <f>+'원가이체, 판관비 배부현황(VND)'!F103/F$128</f>
        <v>0</v>
      </c>
      <c r="G97" s="205">
        <f>+'원가이체, 판관비 배부현황(VND)'!G103/G$128</f>
        <v>0</v>
      </c>
      <c r="H97" s="205">
        <f>+'원가이체, 판관비 배부현황(VND)'!H103/H$128</f>
        <v>0</v>
      </c>
      <c r="I97" s="205">
        <f>+'원가이체, 판관비 배부현황(VND)'!I103/I$128</f>
        <v>0</v>
      </c>
      <c r="J97" s="205">
        <f>+'원가이체, 판관비 배부현황(VND)'!J103/J$128</f>
        <v>0</v>
      </c>
      <c r="K97" s="205">
        <f>+'원가이체, 판관비 배부현황(VND)'!K103/K$128</f>
        <v>0</v>
      </c>
      <c r="L97" s="205">
        <f>+'원가이체, 판관비 배부현황(VND)'!L103/L$128</f>
        <v>0</v>
      </c>
      <c r="M97" s="205">
        <f>+'원가이체, 판관비 배부현황(VND)'!M103/M$128</f>
        <v>0</v>
      </c>
      <c r="N97" s="205">
        <f>+'원가이체, 판관비 배부현황(VND)'!N103/N$128</f>
        <v>0</v>
      </c>
      <c r="O97" s="129">
        <f t="shared" si="18"/>
        <v>0</v>
      </c>
    </row>
    <row r="98" spans="1:15" ht="28.5" outlineLevel="1">
      <c r="A98" s="386"/>
      <c r="B98" s="299" t="s">
        <v>69</v>
      </c>
      <c r="C98" s="206">
        <f>+'원가이체, 판관비 배부현황(VND)'!C104/C$128</f>
        <v>0</v>
      </c>
      <c r="D98" s="206">
        <f>+'원가이체, 판관비 배부현황(VND)'!D104/D$128</f>
        <v>0</v>
      </c>
      <c r="E98" s="206">
        <f>+'원가이체, 판관비 배부현황(VND)'!E104/E$128</f>
        <v>0</v>
      </c>
      <c r="F98" s="206">
        <f>+'원가이체, 판관비 배부현황(VND)'!F104/F$128</f>
        <v>0</v>
      </c>
      <c r="G98" s="206">
        <f>+'원가이체, 판관비 배부현황(VND)'!G104/G$128</f>
        <v>0</v>
      </c>
      <c r="H98" s="206">
        <f>+'원가이체, 판관비 배부현황(VND)'!H104/H$128</f>
        <v>0</v>
      </c>
      <c r="I98" s="206">
        <f>+'원가이체, 판관비 배부현황(VND)'!I104/I$128</f>
        <v>0</v>
      </c>
      <c r="J98" s="206">
        <f>+'원가이체, 판관비 배부현황(VND)'!J104/J$128</f>
        <v>0</v>
      </c>
      <c r="K98" s="206">
        <f>+'원가이체, 판관비 배부현황(VND)'!K104/K$128</f>
        <v>0</v>
      </c>
      <c r="L98" s="206">
        <f>+'원가이체, 판관비 배부현황(VND)'!L104/L$128</f>
        <v>0</v>
      </c>
      <c r="M98" s="206">
        <f>+'원가이체, 판관비 배부현황(VND)'!M104/M$128</f>
        <v>0</v>
      </c>
      <c r="N98" s="206">
        <f>+'원가이체, 판관비 배부현황(VND)'!N104/N$128</f>
        <v>0</v>
      </c>
      <c r="O98" s="131">
        <f t="shared" si="18"/>
        <v>0</v>
      </c>
    </row>
    <row r="99" spans="1:15" ht="28.5" outlineLevel="1">
      <c r="A99" s="386"/>
      <c r="B99" s="204" t="s">
        <v>70</v>
      </c>
      <c r="C99" s="191">
        <f>+'원가이체, 판관비 배부현황(VND)'!C105/C$128</f>
        <v>0</v>
      </c>
      <c r="D99" s="191">
        <f>+'원가이체, 판관비 배부현황(VND)'!D105/D$128</f>
        <v>0</v>
      </c>
      <c r="E99" s="191">
        <f>+'원가이체, 판관비 배부현황(VND)'!E105/E$128</f>
        <v>0</v>
      </c>
      <c r="F99" s="191">
        <f>+'원가이체, 판관비 배부현황(VND)'!F105/F$128</f>
        <v>0</v>
      </c>
      <c r="G99" s="191">
        <f>+'원가이체, 판관비 배부현황(VND)'!G105/G$128</f>
        <v>0</v>
      </c>
      <c r="H99" s="191">
        <f>+'원가이체, 판관비 배부현황(VND)'!H105/H$128</f>
        <v>0</v>
      </c>
      <c r="I99" s="191">
        <f>+'원가이체, 판관비 배부현황(VND)'!I105/I$128</f>
        <v>0</v>
      </c>
      <c r="J99" s="191">
        <f>+'원가이체, 판관비 배부현황(VND)'!J105/J$128</f>
        <v>0</v>
      </c>
      <c r="K99" s="191">
        <f>+'원가이체, 판관비 배부현황(VND)'!K105/K$128</f>
        <v>0</v>
      </c>
      <c r="L99" s="191">
        <f>+'원가이체, 판관비 배부현황(VND)'!L105/L$128</f>
        <v>0</v>
      </c>
      <c r="M99" s="191">
        <f>+'원가이체, 판관비 배부현황(VND)'!M105/M$128</f>
        <v>0</v>
      </c>
      <c r="N99" s="191">
        <f>+'원가이체, 판관비 배부현황(VND)'!N105/N$128</f>
        <v>0</v>
      </c>
      <c r="O99" s="133">
        <f t="shared" si="18"/>
        <v>0</v>
      </c>
    </row>
    <row r="100" spans="1:15" ht="28.5" outlineLevel="1">
      <c r="A100" s="386"/>
      <c r="B100" s="204" t="s">
        <v>174</v>
      </c>
      <c r="C100" s="192">
        <f>+'원가이체, 판관비 배부현황(VND)'!C106</f>
        <v>0</v>
      </c>
      <c r="D100" s="192">
        <f>+'원가이체, 판관비 배부현황(VND)'!D106</f>
        <v>0</v>
      </c>
      <c r="E100" s="192">
        <f>+'원가이체, 판관비 배부현황(VND)'!E106</f>
        <v>0</v>
      </c>
      <c r="F100" s="192">
        <f>+'원가이체, 판관비 배부현황(VND)'!F106</f>
        <v>0</v>
      </c>
      <c r="G100" s="192">
        <f>+'원가이체, 판관비 배부현황(VND)'!G106</f>
        <v>0</v>
      </c>
      <c r="H100" s="192">
        <f>+'원가이체, 판관비 배부현황(VND)'!H106</f>
        <v>0</v>
      </c>
      <c r="I100" s="192">
        <f>+'원가이체, 판관비 배부현황(VND)'!I106</f>
        <v>0</v>
      </c>
      <c r="J100" s="192">
        <f>+'원가이체, 판관비 배부현황(VND)'!J106</f>
        <v>0</v>
      </c>
      <c r="K100" s="192">
        <f>+'원가이체, 판관비 배부현황(VND)'!K106</f>
        <v>0</v>
      </c>
      <c r="L100" s="192">
        <f>+'원가이체, 판관비 배부현황(VND)'!L106</f>
        <v>0</v>
      </c>
      <c r="M100" s="192">
        <f>+'원가이체, 판관비 배부현황(VND)'!M106</f>
        <v>0</v>
      </c>
      <c r="N100" s="192">
        <f>+'원가이체, 판관비 배부현황(VND)'!N106</f>
        <v>0</v>
      </c>
      <c r="O100" s="133">
        <f t="shared" si="18"/>
        <v>0</v>
      </c>
    </row>
    <row r="101" spans="1:15" ht="30" customHeight="1" outlineLevel="1">
      <c r="A101" s="386" t="s">
        <v>217</v>
      </c>
      <c r="B101" s="202" t="s">
        <v>66</v>
      </c>
      <c r="C101" s="193">
        <f>+'원가이체, 판관비 배부현황(VND)'!C107/C$128</f>
        <v>0</v>
      </c>
      <c r="D101" s="193">
        <f>+'원가이체, 판관비 배부현황(VND)'!D107/D$128</f>
        <v>71.966078957454968</v>
      </c>
      <c r="E101" s="193">
        <f>+'원가이체, 판관비 배부현황(VND)'!E107/E$128</f>
        <v>0</v>
      </c>
      <c r="F101" s="193">
        <f>+'원가이체, 판관비 배부현황(VND)'!F107/F$128</f>
        <v>0</v>
      </c>
      <c r="G101" s="193">
        <f>+'원가이체, 판관비 배부현황(VND)'!G107/G$128</f>
        <v>0</v>
      </c>
      <c r="H101" s="193">
        <f>+'원가이체, 판관비 배부현황(VND)'!H107/H$128</f>
        <v>0</v>
      </c>
      <c r="I101" s="193">
        <f>+'원가이체, 판관비 배부현황(VND)'!I107/I$128</f>
        <v>0</v>
      </c>
      <c r="J101" s="193">
        <f>+'원가이체, 판관비 배부현황(VND)'!J107/J$128</f>
        <v>0</v>
      </c>
      <c r="K101" s="193">
        <f>+'원가이체, 판관비 배부현황(VND)'!K107/K$128</f>
        <v>0</v>
      </c>
      <c r="L101" s="193">
        <f>+'원가이체, 판관비 배부현황(VND)'!L107/L$128</f>
        <v>0</v>
      </c>
      <c r="M101" s="193">
        <f>+'원가이체, 판관비 배부현황(VND)'!M107/M$128</f>
        <v>0</v>
      </c>
      <c r="N101" s="193">
        <f>+'원가이체, 판관비 배부현황(VND)'!N107/N$128</f>
        <v>0</v>
      </c>
      <c r="O101" s="133">
        <f t="shared" si="18"/>
        <v>71.966078957454968</v>
      </c>
    </row>
    <row r="102" spans="1:15" ht="28.5" outlineLevel="1">
      <c r="A102" s="386"/>
      <c r="B102" s="297" t="s">
        <v>67</v>
      </c>
      <c r="C102" s="201">
        <f>+'원가이체, 판관비 배부현황(VND)'!C108/C$128</f>
        <v>0</v>
      </c>
      <c r="D102" s="201">
        <f>+'원가이체, 판관비 배부현황(VND)'!D108/D$128</f>
        <v>134.91504108853968</v>
      </c>
      <c r="E102" s="201">
        <f>+'원가이체, 판관비 배부현황(VND)'!E108/E$128</f>
        <v>0</v>
      </c>
      <c r="F102" s="201">
        <f>+'원가이체, 판관비 배부현황(VND)'!F108/F$128</f>
        <v>0</v>
      </c>
      <c r="G102" s="201">
        <f>+'원가이체, 판관비 배부현황(VND)'!G108/G$128</f>
        <v>0</v>
      </c>
      <c r="H102" s="201">
        <f>+'원가이체, 판관비 배부현황(VND)'!H108/H$128</f>
        <v>0</v>
      </c>
      <c r="I102" s="201">
        <f>+'원가이체, 판관비 배부현황(VND)'!I108/I$128</f>
        <v>0</v>
      </c>
      <c r="J102" s="201">
        <f>+'원가이체, 판관비 배부현황(VND)'!J108/J$128</f>
        <v>0</v>
      </c>
      <c r="K102" s="201">
        <f>+'원가이체, 판관비 배부현황(VND)'!K108/K$128</f>
        <v>0</v>
      </c>
      <c r="L102" s="201">
        <f>+'원가이체, 판관비 배부현황(VND)'!L108/L$128</f>
        <v>0</v>
      </c>
      <c r="M102" s="201">
        <f>+'원가이체, 판관비 배부현황(VND)'!M108/M$128</f>
        <v>0</v>
      </c>
      <c r="N102" s="201">
        <f>+'원가이체, 판관비 배부현황(VND)'!N108/N$128</f>
        <v>0</v>
      </c>
      <c r="O102" s="135">
        <f t="shared" si="18"/>
        <v>134.91504108853968</v>
      </c>
    </row>
    <row r="103" spans="1:15" ht="28.5" outlineLevel="1">
      <c r="A103" s="386"/>
      <c r="B103" s="298" t="s">
        <v>68</v>
      </c>
      <c r="C103" s="205">
        <f>+'원가이체, 판관비 배부현황(VND)'!C109/C$128</f>
        <v>0</v>
      </c>
      <c r="D103" s="205">
        <f>+'원가이체, 판관비 배부현황(VND)'!D109/D$128</f>
        <v>134.91504108853968</v>
      </c>
      <c r="E103" s="205">
        <f>+'원가이체, 판관비 배부현황(VND)'!E109/E$128</f>
        <v>0</v>
      </c>
      <c r="F103" s="205">
        <f>+'원가이체, 판관비 배부현황(VND)'!F109/F$128</f>
        <v>0</v>
      </c>
      <c r="G103" s="205">
        <f>+'원가이체, 판관비 배부현황(VND)'!G109/G$128</f>
        <v>0</v>
      </c>
      <c r="H103" s="205">
        <f>+'원가이체, 판관비 배부현황(VND)'!H109/H$128</f>
        <v>0</v>
      </c>
      <c r="I103" s="205">
        <f>+'원가이체, 판관비 배부현황(VND)'!I109/I$128</f>
        <v>0</v>
      </c>
      <c r="J103" s="205">
        <f>+'원가이체, 판관비 배부현황(VND)'!J109/J$128</f>
        <v>0</v>
      </c>
      <c r="K103" s="205">
        <f>+'원가이체, 판관비 배부현황(VND)'!K109/K$128</f>
        <v>0</v>
      </c>
      <c r="L103" s="205">
        <f>+'원가이체, 판관비 배부현황(VND)'!L109/L$128</f>
        <v>0</v>
      </c>
      <c r="M103" s="205">
        <f>+'원가이체, 판관비 배부현황(VND)'!M109/M$128</f>
        <v>0</v>
      </c>
      <c r="N103" s="205">
        <f>+'원가이체, 판관비 배부현황(VND)'!N109/N$128</f>
        <v>0</v>
      </c>
      <c r="O103" s="129">
        <f t="shared" si="18"/>
        <v>134.91504108853968</v>
      </c>
    </row>
    <row r="104" spans="1:15" ht="28.5" outlineLevel="1">
      <c r="A104" s="386"/>
      <c r="B104" s="299" t="s">
        <v>69</v>
      </c>
      <c r="C104" s="206">
        <f>+'원가이체, 판관비 배부현황(VND)'!C110/C$128</f>
        <v>0</v>
      </c>
      <c r="D104" s="206">
        <f>+'원가이체, 판관비 배부현황(VND)'!D110/D$128</f>
        <v>0</v>
      </c>
      <c r="E104" s="206">
        <f>+'원가이체, 판관비 배부현황(VND)'!E110/E$128</f>
        <v>0</v>
      </c>
      <c r="F104" s="206">
        <f>+'원가이체, 판관비 배부현황(VND)'!F110/F$128</f>
        <v>0</v>
      </c>
      <c r="G104" s="206">
        <f>+'원가이체, 판관비 배부현황(VND)'!G110/G$128</f>
        <v>0</v>
      </c>
      <c r="H104" s="206">
        <f>+'원가이체, 판관비 배부현황(VND)'!H110/H$128</f>
        <v>0</v>
      </c>
      <c r="I104" s="206">
        <f>+'원가이체, 판관비 배부현황(VND)'!I110/I$128</f>
        <v>0</v>
      </c>
      <c r="J104" s="206">
        <f>+'원가이체, 판관비 배부현황(VND)'!J110/J$128</f>
        <v>0</v>
      </c>
      <c r="K104" s="206">
        <f>+'원가이체, 판관비 배부현황(VND)'!K110/K$128</f>
        <v>0</v>
      </c>
      <c r="L104" s="206">
        <f>+'원가이체, 판관비 배부현황(VND)'!L110/L$128</f>
        <v>0</v>
      </c>
      <c r="M104" s="206">
        <f>+'원가이체, 판관비 배부현황(VND)'!M110/M$128</f>
        <v>0</v>
      </c>
      <c r="N104" s="206">
        <f>+'원가이체, 판관비 배부현황(VND)'!N110/N$128</f>
        <v>0</v>
      </c>
      <c r="O104" s="131">
        <f t="shared" si="18"/>
        <v>0</v>
      </c>
    </row>
    <row r="105" spans="1:15" ht="28.5" outlineLevel="1">
      <c r="A105" s="386"/>
      <c r="B105" s="204" t="s">
        <v>70</v>
      </c>
      <c r="C105" s="191">
        <f>+'원가이체, 판관비 배부현황(VND)'!C111/C$128</f>
        <v>0</v>
      </c>
      <c r="D105" s="191">
        <f>+'원가이체, 판관비 배부현황(VND)'!D111/D$128</f>
        <v>0</v>
      </c>
      <c r="E105" s="191">
        <f>+'원가이체, 판관비 배부현황(VND)'!E111/E$128</f>
        <v>0</v>
      </c>
      <c r="F105" s="191">
        <f>+'원가이체, 판관비 배부현황(VND)'!F111/F$128</f>
        <v>0</v>
      </c>
      <c r="G105" s="191">
        <f>+'원가이체, 판관비 배부현황(VND)'!G111/G$128</f>
        <v>0</v>
      </c>
      <c r="H105" s="191">
        <f>+'원가이체, 판관비 배부현황(VND)'!H111/H$128</f>
        <v>0</v>
      </c>
      <c r="I105" s="191">
        <f>+'원가이체, 판관비 배부현황(VND)'!I111/I$128</f>
        <v>0</v>
      </c>
      <c r="J105" s="191">
        <f>+'원가이체, 판관비 배부현황(VND)'!J111/J$128</f>
        <v>0</v>
      </c>
      <c r="K105" s="191">
        <f>+'원가이체, 판관비 배부현황(VND)'!K111/K$128</f>
        <v>0</v>
      </c>
      <c r="L105" s="191">
        <f>+'원가이체, 판관비 배부현황(VND)'!L111/L$128</f>
        <v>0</v>
      </c>
      <c r="M105" s="191">
        <f>+'원가이체, 판관비 배부현황(VND)'!M111/M$128</f>
        <v>0</v>
      </c>
      <c r="N105" s="191">
        <f>+'원가이체, 판관비 배부현황(VND)'!N111/N$128</f>
        <v>0</v>
      </c>
      <c r="O105" s="133">
        <f t="shared" si="18"/>
        <v>0</v>
      </c>
    </row>
    <row r="106" spans="1:15" ht="28.5" outlineLevel="1">
      <c r="A106" s="386"/>
      <c r="B106" s="204" t="s">
        <v>174</v>
      </c>
      <c r="C106" s="192">
        <f>+'원가이체, 판관비 배부현황(VND)'!C112</f>
        <v>0</v>
      </c>
      <c r="D106" s="192">
        <f>+'원가이체, 판관비 배부현황(VND)'!D112</f>
        <v>0</v>
      </c>
      <c r="E106" s="192">
        <f>+'원가이체, 판관비 배부현황(VND)'!E112</f>
        <v>0</v>
      </c>
      <c r="F106" s="192">
        <f>+'원가이체, 판관비 배부현황(VND)'!F112</f>
        <v>0</v>
      </c>
      <c r="G106" s="192">
        <f>+'원가이체, 판관비 배부현황(VND)'!G112</f>
        <v>0</v>
      </c>
      <c r="H106" s="192">
        <f>+'원가이체, 판관비 배부현황(VND)'!H112</f>
        <v>0</v>
      </c>
      <c r="I106" s="192">
        <f>+'원가이체, 판관비 배부현황(VND)'!I112</f>
        <v>0</v>
      </c>
      <c r="J106" s="192">
        <f>+'원가이체, 판관비 배부현황(VND)'!J112</f>
        <v>0</v>
      </c>
      <c r="K106" s="192">
        <f>+'원가이체, 판관비 배부현황(VND)'!K112</f>
        <v>0</v>
      </c>
      <c r="L106" s="192">
        <f>+'원가이체, 판관비 배부현황(VND)'!L112</f>
        <v>0</v>
      </c>
      <c r="M106" s="192">
        <f>+'원가이체, 판관비 배부현황(VND)'!M112</f>
        <v>0</v>
      </c>
      <c r="N106" s="192">
        <f>+'원가이체, 판관비 배부현황(VND)'!N112</f>
        <v>0</v>
      </c>
      <c r="O106" s="133">
        <f t="shared" si="18"/>
        <v>0</v>
      </c>
    </row>
    <row r="107" spans="1:15" ht="30" customHeight="1" outlineLevel="1">
      <c r="A107" s="386" t="s">
        <v>224</v>
      </c>
      <c r="B107" s="202" t="s">
        <v>66</v>
      </c>
      <c r="C107" s="193">
        <f>+'원가이체, 판관비 배부현황(VND)'!C113/C$128</f>
        <v>0</v>
      </c>
      <c r="D107" s="193">
        <f>+'원가이체, 판관비 배부현황(VND)'!D113/D$128</f>
        <v>0</v>
      </c>
      <c r="E107" s="193">
        <f>+'원가이체, 판관비 배부현황(VND)'!E113/E$128</f>
        <v>244.02776302814232</v>
      </c>
      <c r="F107" s="193">
        <f>+'원가이체, 판관비 배부현황(VND)'!F113/F$128</f>
        <v>61.023142000834632</v>
      </c>
      <c r="G107" s="193">
        <f>+'원가이체, 판관비 배부현황(VND)'!G113/G$128</f>
        <v>0</v>
      </c>
      <c r="H107" s="193">
        <f>+'원가이체, 판관비 배부현황(VND)'!H113/H$128</f>
        <v>0</v>
      </c>
      <c r="I107" s="193">
        <f>+'원가이체, 판관비 배부현황(VND)'!I113/I$128</f>
        <v>0</v>
      </c>
      <c r="J107" s="193">
        <f>+'원가이체, 판관비 배부현황(VND)'!J113/J$128</f>
        <v>0</v>
      </c>
      <c r="K107" s="193">
        <f>+'원가이체, 판관비 배부현황(VND)'!K113/K$128</f>
        <v>0</v>
      </c>
      <c r="L107" s="193">
        <f>+'원가이체, 판관비 배부현황(VND)'!L113/L$128</f>
        <v>0</v>
      </c>
      <c r="M107" s="193">
        <f>+'원가이체, 판관비 배부현황(VND)'!M113/M$128</f>
        <v>0</v>
      </c>
      <c r="N107" s="193">
        <f>+'원가이체, 판관비 배부현황(VND)'!N113/N$128</f>
        <v>0</v>
      </c>
      <c r="O107" s="133">
        <f t="shared" ref="O107:O118" si="19">SUM(C107:N107)</f>
        <v>305.05090502897696</v>
      </c>
    </row>
    <row r="108" spans="1:15" ht="28.5" outlineLevel="1">
      <c r="A108" s="386"/>
      <c r="B108" s="297" t="s">
        <v>67</v>
      </c>
      <c r="C108" s="201">
        <f>+'원가이체, 판관비 배부현황(VND)'!C114/C$128</f>
        <v>0</v>
      </c>
      <c r="D108" s="201">
        <f>+'원가이체, 판관비 배부현황(VND)'!D114/D$128</f>
        <v>0</v>
      </c>
      <c r="E108" s="201">
        <f>+'원가이체, 판관비 배부현황(VND)'!E114/E$128</f>
        <v>90.976038458620948</v>
      </c>
      <c r="F108" s="201">
        <f>+'원가이체, 판관비 배부현황(VND)'!F114/F$128</f>
        <v>128.21006980537956</v>
      </c>
      <c r="G108" s="201">
        <f>+'원가이체, 판관비 배부현황(VND)'!G114/G$128</f>
        <v>0</v>
      </c>
      <c r="H108" s="201">
        <f>+'원가이체, 판관비 배부현황(VND)'!H114/H$128</f>
        <v>0</v>
      </c>
      <c r="I108" s="201">
        <f>+'원가이체, 판관비 배부현황(VND)'!I114/I$128</f>
        <v>0</v>
      </c>
      <c r="J108" s="201">
        <f>+'원가이체, 판관비 배부현황(VND)'!J114/J$128</f>
        <v>0</v>
      </c>
      <c r="K108" s="201">
        <f>+'원가이체, 판관비 배부현황(VND)'!K114/K$128</f>
        <v>0</v>
      </c>
      <c r="L108" s="201">
        <f>+'원가이체, 판관비 배부현황(VND)'!L114/L$128</f>
        <v>0</v>
      </c>
      <c r="M108" s="201">
        <f>+'원가이체, 판관비 배부현황(VND)'!M114/M$128</f>
        <v>0</v>
      </c>
      <c r="N108" s="201">
        <f>+'원가이체, 판관비 배부현황(VND)'!N114/N$128</f>
        <v>0</v>
      </c>
      <c r="O108" s="135">
        <f t="shared" si="19"/>
        <v>219.1861082640005</v>
      </c>
    </row>
    <row r="109" spans="1:15" ht="28.5" outlineLevel="1">
      <c r="A109" s="386"/>
      <c r="B109" s="298" t="s">
        <v>68</v>
      </c>
      <c r="C109" s="205">
        <f>+'원가이체, 판관비 배부현황(VND)'!C115/C$128</f>
        <v>0</v>
      </c>
      <c r="D109" s="205">
        <f>+'원가이체, 판관비 배부현황(VND)'!D115/D$128</f>
        <v>0</v>
      </c>
      <c r="E109" s="205">
        <f>+'원가이체, 판관비 배부현황(VND)'!E115/E$128</f>
        <v>90.976038458620948</v>
      </c>
      <c r="F109" s="205">
        <f>+'원가이체, 판관비 배부현황(VND)'!F115/F$128</f>
        <v>128.21006980537956</v>
      </c>
      <c r="G109" s="205">
        <f>+'원가이체, 판관비 배부현황(VND)'!G115/G$128</f>
        <v>0</v>
      </c>
      <c r="H109" s="205">
        <f>+'원가이체, 판관비 배부현황(VND)'!H115/H$128</f>
        <v>0</v>
      </c>
      <c r="I109" s="205">
        <f>+'원가이체, 판관비 배부현황(VND)'!I115/I$128</f>
        <v>0</v>
      </c>
      <c r="J109" s="205">
        <f>+'원가이체, 판관비 배부현황(VND)'!J115/J$128</f>
        <v>0</v>
      </c>
      <c r="K109" s="205">
        <f>+'원가이체, 판관비 배부현황(VND)'!K115/K$128</f>
        <v>0</v>
      </c>
      <c r="L109" s="205">
        <f>+'원가이체, 판관비 배부현황(VND)'!L115/L$128</f>
        <v>0</v>
      </c>
      <c r="M109" s="205">
        <f>+'원가이체, 판관비 배부현황(VND)'!M115/M$128</f>
        <v>0</v>
      </c>
      <c r="N109" s="205">
        <f>+'원가이체, 판관비 배부현황(VND)'!N115/N$128</f>
        <v>0</v>
      </c>
      <c r="O109" s="129">
        <f t="shared" si="19"/>
        <v>219.1861082640005</v>
      </c>
    </row>
    <row r="110" spans="1:15" ht="28.5" outlineLevel="1">
      <c r="A110" s="386"/>
      <c r="B110" s="299" t="s">
        <v>69</v>
      </c>
      <c r="C110" s="206">
        <f>+'원가이체, 판관비 배부현황(VND)'!C116/C$128</f>
        <v>0</v>
      </c>
      <c r="D110" s="206">
        <f>+'원가이체, 판관비 배부현황(VND)'!D116/D$128</f>
        <v>0</v>
      </c>
      <c r="E110" s="206">
        <f>+'원가이체, 판관비 배부현황(VND)'!E116/E$128</f>
        <v>0</v>
      </c>
      <c r="F110" s="206">
        <f>+'원가이체, 판관비 배부현황(VND)'!F116/F$128</f>
        <v>0</v>
      </c>
      <c r="G110" s="206">
        <f>+'원가이체, 판관비 배부현황(VND)'!G116/G$128</f>
        <v>0</v>
      </c>
      <c r="H110" s="206">
        <f>+'원가이체, 판관비 배부현황(VND)'!H116/H$128</f>
        <v>0</v>
      </c>
      <c r="I110" s="206">
        <f>+'원가이체, 판관비 배부현황(VND)'!I116/I$128</f>
        <v>0</v>
      </c>
      <c r="J110" s="206">
        <f>+'원가이체, 판관비 배부현황(VND)'!J116/J$128</f>
        <v>0</v>
      </c>
      <c r="K110" s="206">
        <f>+'원가이체, 판관비 배부현황(VND)'!K116/K$128</f>
        <v>0</v>
      </c>
      <c r="L110" s="206">
        <f>+'원가이체, 판관비 배부현황(VND)'!L116/L$128</f>
        <v>0</v>
      </c>
      <c r="M110" s="206">
        <f>+'원가이체, 판관비 배부현황(VND)'!M116/M$128</f>
        <v>0</v>
      </c>
      <c r="N110" s="206">
        <f>+'원가이체, 판관비 배부현황(VND)'!N116/N$128</f>
        <v>0</v>
      </c>
      <c r="O110" s="131">
        <f t="shared" si="19"/>
        <v>0</v>
      </c>
    </row>
    <row r="111" spans="1:15" ht="28.5" outlineLevel="1">
      <c r="A111" s="386"/>
      <c r="B111" s="204" t="s">
        <v>70</v>
      </c>
      <c r="C111" s="191">
        <f>+'원가이체, 판관비 배부현황(VND)'!C117/C$128</f>
        <v>0</v>
      </c>
      <c r="D111" s="191">
        <f>+'원가이체, 판관비 배부현황(VND)'!D117/D$128</f>
        <v>0</v>
      </c>
      <c r="E111" s="191">
        <f>+'원가이체, 판관비 배부현황(VND)'!E117/E$128</f>
        <v>0</v>
      </c>
      <c r="F111" s="191">
        <f>+'원가이체, 판관비 배부현황(VND)'!F117/F$128</f>
        <v>0</v>
      </c>
      <c r="G111" s="191">
        <f>+'원가이체, 판관비 배부현황(VND)'!G117/G$128</f>
        <v>0</v>
      </c>
      <c r="H111" s="191">
        <f>+'원가이체, 판관비 배부현황(VND)'!H117/H$128</f>
        <v>0</v>
      </c>
      <c r="I111" s="191">
        <f>+'원가이체, 판관비 배부현황(VND)'!I117/I$128</f>
        <v>0</v>
      </c>
      <c r="J111" s="191">
        <f>+'원가이체, 판관비 배부현황(VND)'!J117/J$128</f>
        <v>0</v>
      </c>
      <c r="K111" s="191">
        <f>+'원가이체, 판관비 배부현황(VND)'!K117/K$128</f>
        <v>0</v>
      </c>
      <c r="L111" s="191">
        <f>+'원가이체, 판관비 배부현황(VND)'!L117/L$128</f>
        <v>0</v>
      </c>
      <c r="M111" s="191">
        <f>+'원가이체, 판관비 배부현황(VND)'!M117/M$128</f>
        <v>0</v>
      </c>
      <c r="N111" s="191">
        <f>+'원가이체, 판관비 배부현황(VND)'!N117/N$128</f>
        <v>0</v>
      </c>
      <c r="O111" s="133">
        <f t="shared" si="19"/>
        <v>0</v>
      </c>
    </row>
    <row r="112" spans="1:15" ht="28.5" outlineLevel="1">
      <c r="A112" s="386"/>
      <c r="B112" s="204" t="s">
        <v>174</v>
      </c>
      <c r="C112" s="192">
        <f>+'원가이체, 판관비 배부현황(VND)'!C118</f>
        <v>0</v>
      </c>
      <c r="D112" s="192">
        <f>+'원가이체, 판관비 배부현황(VND)'!D118</f>
        <v>0</v>
      </c>
      <c r="E112" s="192">
        <f>+'원가이체, 판관비 배부현황(VND)'!E118</f>
        <v>0</v>
      </c>
      <c r="F112" s="192">
        <f>+'원가이체, 판관비 배부현황(VND)'!F118</f>
        <v>0</v>
      </c>
      <c r="G112" s="192">
        <f>+'원가이체, 판관비 배부현황(VND)'!G118</f>
        <v>0</v>
      </c>
      <c r="H112" s="192">
        <f>+'원가이체, 판관비 배부현황(VND)'!H118</f>
        <v>0</v>
      </c>
      <c r="I112" s="192">
        <f>+'원가이체, 판관비 배부현황(VND)'!I118</f>
        <v>0</v>
      </c>
      <c r="J112" s="192">
        <f>+'원가이체, 판관비 배부현황(VND)'!J118</f>
        <v>0</v>
      </c>
      <c r="K112" s="192">
        <f>+'원가이체, 판관비 배부현황(VND)'!K118</f>
        <v>0</v>
      </c>
      <c r="L112" s="192">
        <f>+'원가이체, 판관비 배부현황(VND)'!L118</f>
        <v>0</v>
      </c>
      <c r="M112" s="192">
        <f>+'원가이체, 판관비 배부현황(VND)'!M118</f>
        <v>0</v>
      </c>
      <c r="N112" s="192">
        <f>+'원가이체, 판관비 배부현황(VND)'!N118</f>
        <v>0</v>
      </c>
      <c r="O112" s="133">
        <f t="shared" si="19"/>
        <v>0</v>
      </c>
    </row>
    <row r="113" spans="1:15" ht="30" customHeight="1" outlineLevel="1">
      <c r="A113" s="386" t="s">
        <v>225</v>
      </c>
      <c r="B113" s="202" t="s">
        <v>66</v>
      </c>
      <c r="C113" s="193">
        <f>+'원가이체, 판관비 배부현황(VND)'!C119/C$128</f>
        <v>0</v>
      </c>
      <c r="D113" s="193">
        <f>+'원가이체, 판관비 배부현황(VND)'!D119/D$128</f>
        <v>0</v>
      </c>
      <c r="E113" s="193">
        <f>+'원가이체, 판관비 배부현황(VND)'!E119/E$128</f>
        <v>0</v>
      </c>
      <c r="F113" s="193">
        <f>+'원가이체, 판관비 배부현황(VND)'!F119/F$128</f>
        <v>0</v>
      </c>
      <c r="G113" s="193">
        <f>+'원가이체, 판관비 배부현황(VND)'!G119/G$128</f>
        <v>0</v>
      </c>
      <c r="H113" s="193">
        <f>+'원가이체, 판관비 배부현황(VND)'!H119/H$128</f>
        <v>0</v>
      </c>
      <c r="I113" s="193">
        <f>+'원가이체, 판관비 배부현황(VND)'!I119/I$128</f>
        <v>0</v>
      </c>
      <c r="J113" s="193">
        <f>+'원가이체, 판관비 배부현황(VND)'!J119/J$128</f>
        <v>0</v>
      </c>
      <c r="K113" s="193">
        <f>+'원가이체, 판관비 배부현황(VND)'!K119/K$128</f>
        <v>0</v>
      </c>
      <c r="L113" s="193">
        <f>+'원가이체, 판관비 배부현황(VND)'!L119/L$128</f>
        <v>0</v>
      </c>
      <c r="M113" s="193">
        <f>+'원가이체, 판관비 배부현황(VND)'!M119/M$128</f>
        <v>0</v>
      </c>
      <c r="N113" s="193">
        <f>+'원가이체, 판관비 배부현황(VND)'!N119/N$128</f>
        <v>0</v>
      </c>
      <c r="O113" s="133">
        <f t="shared" si="19"/>
        <v>0</v>
      </c>
    </row>
    <row r="114" spans="1:15" ht="28.5" outlineLevel="1">
      <c r="A114" s="386"/>
      <c r="B114" s="297" t="s">
        <v>67</v>
      </c>
      <c r="C114" s="201">
        <f>+'원가이체, 판관비 배부현황(VND)'!C120/C$128</f>
        <v>0</v>
      </c>
      <c r="D114" s="201">
        <f>+'원가이체, 판관비 배부현황(VND)'!D120/D$128</f>
        <v>0</v>
      </c>
      <c r="E114" s="201">
        <f>+'원가이체, 판관비 배부현황(VND)'!E120/E$128</f>
        <v>0</v>
      </c>
      <c r="F114" s="201">
        <f>+'원가이체, 판관비 배부현황(VND)'!F120/F$128</f>
        <v>0</v>
      </c>
      <c r="G114" s="201">
        <f>+'원가이체, 판관비 배부현황(VND)'!G120/G$128</f>
        <v>0</v>
      </c>
      <c r="H114" s="201">
        <f>+'원가이체, 판관비 배부현황(VND)'!H120/H$128</f>
        <v>0</v>
      </c>
      <c r="I114" s="201">
        <f>+'원가이체, 판관비 배부현황(VND)'!I120/I$128</f>
        <v>0</v>
      </c>
      <c r="J114" s="201">
        <f>+'원가이체, 판관비 배부현황(VND)'!J120/J$128</f>
        <v>0</v>
      </c>
      <c r="K114" s="201">
        <f>+'원가이체, 판관비 배부현황(VND)'!K120/K$128</f>
        <v>0</v>
      </c>
      <c r="L114" s="201">
        <f>+'원가이체, 판관비 배부현황(VND)'!L120/L$128</f>
        <v>0</v>
      </c>
      <c r="M114" s="201">
        <f>+'원가이체, 판관비 배부현황(VND)'!M120/M$128</f>
        <v>0</v>
      </c>
      <c r="N114" s="201">
        <f>+'원가이체, 판관비 배부현황(VND)'!N120/N$128</f>
        <v>0</v>
      </c>
      <c r="O114" s="135">
        <f t="shared" si="19"/>
        <v>0</v>
      </c>
    </row>
    <row r="115" spans="1:15" ht="28.5" outlineLevel="1">
      <c r="A115" s="386"/>
      <c r="B115" s="298" t="s">
        <v>68</v>
      </c>
      <c r="C115" s="205">
        <f>+'원가이체, 판관비 배부현황(VND)'!C121/C$128</f>
        <v>0</v>
      </c>
      <c r="D115" s="205">
        <f>+'원가이체, 판관비 배부현황(VND)'!D121/D$128</f>
        <v>0</v>
      </c>
      <c r="E115" s="205">
        <f>+'원가이체, 판관비 배부현황(VND)'!E121/E$128</f>
        <v>0</v>
      </c>
      <c r="F115" s="205">
        <f>+'원가이체, 판관비 배부현황(VND)'!F121/F$128</f>
        <v>0</v>
      </c>
      <c r="G115" s="205">
        <f>+'원가이체, 판관비 배부현황(VND)'!G121/G$128</f>
        <v>0</v>
      </c>
      <c r="H115" s="205">
        <f>+'원가이체, 판관비 배부현황(VND)'!H121/H$128</f>
        <v>0</v>
      </c>
      <c r="I115" s="205">
        <f>+'원가이체, 판관비 배부현황(VND)'!I121/I$128</f>
        <v>0</v>
      </c>
      <c r="J115" s="205">
        <f>+'원가이체, 판관비 배부현황(VND)'!J121/J$128</f>
        <v>0</v>
      </c>
      <c r="K115" s="205">
        <f>+'원가이체, 판관비 배부현황(VND)'!K121/K$128</f>
        <v>0</v>
      </c>
      <c r="L115" s="205">
        <f>+'원가이체, 판관비 배부현황(VND)'!L121/L$128</f>
        <v>0</v>
      </c>
      <c r="M115" s="205">
        <f>+'원가이체, 판관비 배부현황(VND)'!M121/M$128</f>
        <v>0</v>
      </c>
      <c r="N115" s="205">
        <f>+'원가이체, 판관비 배부현황(VND)'!N121/N$128</f>
        <v>0</v>
      </c>
      <c r="O115" s="129">
        <f t="shared" si="19"/>
        <v>0</v>
      </c>
    </row>
    <row r="116" spans="1:15" ht="28.5" outlineLevel="1">
      <c r="A116" s="386"/>
      <c r="B116" s="299" t="s">
        <v>69</v>
      </c>
      <c r="C116" s="206">
        <f>+'원가이체, 판관비 배부현황(VND)'!C122/C$128</f>
        <v>0</v>
      </c>
      <c r="D116" s="206">
        <f>+'원가이체, 판관비 배부현황(VND)'!D122/D$128</f>
        <v>0</v>
      </c>
      <c r="E116" s="206">
        <f>+'원가이체, 판관비 배부현황(VND)'!E122/E$128</f>
        <v>0</v>
      </c>
      <c r="F116" s="206">
        <f>+'원가이체, 판관비 배부현황(VND)'!F122/F$128</f>
        <v>0</v>
      </c>
      <c r="G116" s="206">
        <f>+'원가이체, 판관비 배부현황(VND)'!G122/G$128</f>
        <v>0</v>
      </c>
      <c r="H116" s="206">
        <f>+'원가이체, 판관비 배부현황(VND)'!H122/H$128</f>
        <v>0</v>
      </c>
      <c r="I116" s="206">
        <f>+'원가이체, 판관비 배부현황(VND)'!I122/I$128</f>
        <v>0</v>
      </c>
      <c r="J116" s="206">
        <f>+'원가이체, 판관비 배부현황(VND)'!J122/J$128</f>
        <v>0</v>
      </c>
      <c r="K116" s="206">
        <f>+'원가이체, 판관비 배부현황(VND)'!K122/K$128</f>
        <v>0</v>
      </c>
      <c r="L116" s="206">
        <f>+'원가이체, 판관비 배부현황(VND)'!L122/L$128</f>
        <v>0</v>
      </c>
      <c r="M116" s="206">
        <f>+'원가이체, 판관비 배부현황(VND)'!M122/M$128</f>
        <v>0</v>
      </c>
      <c r="N116" s="206">
        <f>+'원가이체, 판관비 배부현황(VND)'!N122/N$128</f>
        <v>0</v>
      </c>
      <c r="O116" s="131">
        <f t="shared" si="19"/>
        <v>0</v>
      </c>
    </row>
    <row r="117" spans="1:15" ht="28.5" outlineLevel="1">
      <c r="A117" s="386"/>
      <c r="B117" s="204" t="s">
        <v>70</v>
      </c>
      <c r="C117" s="191">
        <f>+'원가이체, 판관비 배부현황(VND)'!C123/C$128</f>
        <v>0</v>
      </c>
      <c r="D117" s="191">
        <f>+'원가이체, 판관비 배부현황(VND)'!D123/D$128</f>
        <v>0</v>
      </c>
      <c r="E117" s="191">
        <f>+'원가이체, 판관비 배부현황(VND)'!E123/E$128</f>
        <v>0</v>
      </c>
      <c r="F117" s="191">
        <f>+'원가이체, 판관비 배부현황(VND)'!F123/F$128</f>
        <v>0</v>
      </c>
      <c r="G117" s="191">
        <f>+'원가이체, 판관비 배부현황(VND)'!G123/G$128</f>
        <v>0</v>
      </c>
      <c r="H117" s="191">
        <f>+'원가이체, 판관비 배부현황(VND)'!H123/H$128</f>
        <v>0</v>
      </c>
      <c r="I117" s="191">
        <f>+'원가이체, 판관비 배부현황(VND)'!I123/I$128</f>
        <v>0</v>
      </c>
      <c r="J117" s="191">
        <f>+'원가이체, 판관비 배부현황(VND)'!J123/J$128</f>
        <v>0</v>
      </c>
      <c r="K117" s="191">
        <f>+'원가이체, 판관비 배부현황(VND)'!K123/K$128</f>
        <v>0</v>
      </c>
      <c r="L117" s="191">
        <f>+'원가이체, 판관비 배부현황(VND)'!L123/L$128</f>
        <v>0</v>
      </c>
      <c r="M117" s="191">
        <f>+'원가이체, 판관비 배부현황(VND)'!M123/M$128</f>
        <v>0</v>
      </c>
      <c r="N117" s="191">
        <f>+'원가이체, 판관비 배부현황(VND)'!N123/N$128</f>
        <v>0</v>
      </c>
      <c r="O117" s="133">
        <f t="shared" si="19"/>
        <v>0</v>
      </c>
    </row>
    <row r="118" spans="1:15" ht="28.5" outlineLevel="1">
      <c r="A118" s="386"/>
      <c r="B118" s="204" t="s">
        <v>174</v>
      </c>
      <c r="C118" s="192">
        <f>+'원가이체, 판관비 배부현황(VND)'!C124</f>
        <v>0</v>
      </c>
      <c r="D118" s="192">
        <f>+'원가이체, 판관비 배부현황(VND)'!D124</f>
        <v>0</v>
      </c>
      <c r="E118" s="192">
        <f>+'원가이체, 판관비 배부현황(VND)'!E124</f>
        <v>0</v>
      </c>
      <c r="F118" s="192">
        <f>+'원가이체, 판관비 배부현황(VND)'!F124</f>
        <v>0</v>
      </c>
      <c r="G118" s="192">
        <f>+'원가이체, 판관비 배부현황(VND)'!G124</f>
        <v>0</v>
      </c>
      <c r="H118" s="192">
        <f>+'원가이체, 판관비 배부현황(VND)'!H124</f>
        <v>0</v>
      </c>
      <c r="I118" s="192">
        <f>+'원가이체, 판관비 배부현황(VND)'!I124</f>
        <v>0</v>
      </c>
      <c r="J118" s="192">
        <f>+'원가이체, 판관비 배부현황(VND)'!J124</f>
        <v>0</v>
      </c>
      <c r="K118" s="192">
        <f>+'원가이체, 판관비 배부현황(VND)'!K124</f>
        <v>0</v>
      </c>
      <c r="L118" s="192">
        <f>+'원가이체, 판관비 배부현황(VND)'!L124</f>
        <v>0</v>
      </c>
      <c r="M118" s="192">
        <f>+'원가이체, 판관비 배부현황(VND)'!M124</f>
        <v>0</v>
      </c>
      <c r="N118" s="192">
        <f>+'원가이체, 판관비 배부현황(VND)'!N124</f>
        <v>0</v>
      </c>
      <c r="O118" s="133">
        <f t="shared" si="19"/>
        <v>0</v>
      </c>
    </row>
    <row r="119" spans="1:15" ht="28.5" outlineLevel="1">
      <c r="A119" s="382" t="s">
        <v>249</v>
      </c>
      <c r="B119" s="202" t="s">
        <v>66</v>
      </c>
      <c r="C119" s="192"/>
      <c r="D119" s="192"/>
      <c r="E119" s="192"/>
      <c r="F119" s="192"/>
      <c r="G119" s="191">
        <f>+'원가이체, 판관비 배부현황(VND)'!G125/G$128</f>
        <v>55.427627958214622</v>
      </c>
      <c r="H119" s="191">
        <f>+'원가이체, 판관비 배부현황(VND)'!H125/H$128</f>
        <v>67.069224215928529</v>
      </c>
      <c r="I119" s="192"/>
      <c r="J119" s="192"/>
      <c r="K119" s="192"/>
      <c r="L119" s="192"/>
      <c r="M119" s="192"/>
      <c r="N119" s="192"/>
      <c r="O119" s="133"/>
    </row>
    <row r="120" spans="1:15" ht="28.5" outlineLevel="1">
      <c r="A120" s="382"/>
      <c r="B120" s="297" t="s">
        <v>67</v>
      </c>
      <c r="C120" s="192"/>
      <c r="D120" s="192"/>
      <c r="E120" s="192"/>
      <c r="F120" s="192"/>
      <c r="G120" s="191">
        <f>+'원가이체, 판관비 배부현황(VND)'!G126/G$128</f>
        <v>45.905161481481478</v>
      </c>
      <c r="H120" s="191">
        <f>+'원가이체, 판관비 배부현황(VND)'!H126/H$128</f>
        <v>55.546731495913328</v>
      </c>
      <c r="I120" s="192"/>
      <c r="J120" s="192"/>
      <c r="K120" s="192"/>
      <c r="L120" s="192"/>
      <c r="M120" s="192"/>
      <c r="N120" s="192"/>
      <c r="O120" s="133"/>
    </row>
    <row r="121" spans="1:15" ht="28.5" outlineLevel="1">
      <c r="A121" s="382"/>
      <c r="B121" s="298" t="s">
        <v>68</v>
      </c>
      <c r="C121" s="192"/>
      <c r="D121" s="192"/>
      <c r="E121" s="192"/>
      <c r="F121" s="192"/>
      <c r="G121" s="191">
        <f>+'원가이체, 판관비 배부현황(VND)'!G127/G$128</f>
        <v>45.633387426400759</v>
      </c>
      <c r="H121" s="191">
        <f>+'원가이체, 판관비 배부현황(VND)'!H127/H$128</f>
        <v>55.057328644744345</v>
      </c>
      <c r="I121" s="192"/>
      <c r="J121" s="192"/>
      <c r="K121" s="192"/>
      <c r="L121" s="192"/>
      <c r="M121" s="192"/>
      <c r="N121" s="192"/>
      <c r="O121" s="133"/>
    </row>
    <row r="122" spans="1:15" ht="28.5" outlineLevel="1">
      <c r="A122" s="382"/>
      <c r="B122" s="299" t="s">
        <v>69</v>
      </c>
      <c r="C122" s="192"/>
      <c r="D122" s="192"/>
      <c r="E122" s="192"/>
      <c r="F122" s="192"/>
      <c r="G122" s="191">
        <f>+'원가이체, 판관비 배부현황(VND)'!G128/G$128</f>
        <v>0.27177405508072172</v>
      </c>
      <c r="H122" s="191">
        <f>+'원가이체, 판관비 배부현황(VND)'!H128/H$128</f>
        <v>0.4894028511689793</v>
      </c>
      <c r="I122" s="192"/>
      <c r="J122" s="192"/>
      <c r="K122" s="192"/>
      <c r="L122" s="192"/>
      <c r="M122" s="192"/>
      <c r="N122" s="192"/>
      <c r="O122" s="133"/>
    </row>
    <row r="123" spans="1:15" ht="28.5" outlineLevel="1">
      <c r="A123" s="382"/>
      <c r="B123" s="204" t="s">
        <v>70</v>
      </c>
      <c r="C123" s="192"/>
      <c r="D123" s="192"/>
      <c r="E123" s="192"/>
      <c r="F123" s="192"/>
      <c r="G123" s="191">
        <f>+'원가이체, 판관비 배부현황(VND)'!G129/G$128</f>
        <v>0.78743088319088317</v>
      </c>
      <c r="H123" s="191">
        <f>+'원가이체, 판관비 배부현황(VND)'!H129/H$128</f>
        <v>0.7807792054742444</v>
      </c>
      <c r="I123" s="192"/>
      <c r="J123" s="192"/>
      <c r="K123" s="192"/>
      <c r="L123" s="192"/>
      <c r="M123" s="192"/>
      <c r="N123" s="192"/>
      <c r="O123" s="133"/>
    </row>
    <row r="124" spans="1:15" ht="28.5" outlineLevel="1">
      <c r="A124" s="382"/>
      <c r="B124" s="204" t="s">
        <v>174</v>
      </c>
      <c r="C124" s="192"/>
      <c r="D124" s="192"/>
      <c r="E124" s="192"/>
      <c r="F124" s="192"/>
      <c r="G124" s="192">
        <f>+'원가이체, 판관비 배부현황(VND)'!G130</f>
        <v>0</v>
      </c>
      <c r="H124" s="192">
        <f>+'원가이체, 판관비 배부현황(VND)'!H130</f>
        <v>0</v>
      </c>
      <c r="I124" s="192"/>
      <c r="J124" s="192"/>
      <c r="K124" s="192"/>
      <c r="L124" s="192"/>
      <c r="M124" s="192"/>
      <c r="N124" s="192"/>
      <c r="O124" s="133"/>
    </row>
    <row r="125" spans="1:15" ht="28.5">
      <c r="A125" s="137" t="s">
        <v>70</v>
      </c>
      <c r="B125" s="138"/>
      <c r="C125" s="197">
        <f>+'원가이체, 판관비 배부현황(VND)'!C131/C$128</f>
        <v>142.67033843727157</v>
      </c>
      <c r="D125" s="197">
        <f>+'원가이체, 판관비 배부현황(VND)'!D131/D$128</f>
        <v>154.30615776159448</v>
      </c>
      <c r="E125" s="197">
        <f>+'원가이체, 판관비 배부현황(VND)'!E131/E$128</f>
        <v>147.63927903360388</v>
      </c>
      <c r="F125" s="197">
        <f>+'원가이체, 판관비 배부현황(VND)'!F131/F$128</f>
        <v>159.49010087636103</v>
      </c>
      <c r="G125" s="197">
        <f>+'원가이체, 판관비 배부현황(VND)'!G131/G$128</f>
        <v>230.13830039886039</v>
      </c>
      <c r="H125" s="197">
        <f>+'원가이체, 판관비 배부현황(VND)'!H131/H$128</f>
        <v>177.69983067857822</v>
      </c>
      <c r="I125" s="197">
        <f>+'원가이체, 판관비 배부현황(VND)'!I131/I$128</f>
        <v>0</v>
      </c>
      <c r="J125" s="197">
        <f>+'원가이체, 판관비 배부현황(VND)'!J131/J$128</f>
        <v>0</v>
      </c>
      <c r="K125" s="197">
        <f>+'원가이체, 판관비 배부현황(VND)'!K131/K$128</f>
        <v>0</v>
      </c>
      <c r="L125" s="197">
        <f>+'원가이체, 판관비 배부현황(VND)'!L131/L$128</f>
        <v>0</v>
      </c>
      <c r="M125" s="197">
        <f>+'원가이체, 판관비 배부현황(VND)'!M131/M$128</f>
        <v>0</v>
      </c>
      <c r="N125" s="197">
        <f>+'원가이체, 판관비 배부현황(VND)'!N131/N$128</f>
        <v>0</v>
      </c>
      <c r="O125" s="214">
        <f>SUM(C125:N125)</f>
        <v>1011.9440071862695</v>
      </c>
    </row>
    <row r="126" spans="1:15" ht="30.75" customHeight="1">
      <c r="A126" s="137" t="s">
        <v>75</v>
      </c>
      <c r="B126" s="138"/>
      <c r="C126" s="197">
        <f>+C6+C36+C54+C60+C66+C72+C90</f>
        <v>788.22197599353672</v>
      </c>
      <c r="D126" s="197">
        <f t="shared" ref="D126:N126" si="20">+D6+D36+D54+D60+D66+D72+D90</f>
        <v>2658.1884889996168</v>
      </c>
      <c r="E126" s="197">
        <f t="shared" si="20"/>
        <v>1521.8314898733217</v>
      </c>
      <c r="F126" s="197">
        <f t="shared" si="20"/>
        <v>2824.3115897795819</v>
      </c>
      <c r="G126" s="197">
        <f>+G6+G36+G54+G60+G66+G72+G90+G120</f>
        <v>3966.0725330294395</v>
      </c>
      <c r="H126" s="197">
        <f t="shared" si="20"/>
        <v>2546.5177674586585</v>
      </c>
      <c r="I126" s="197">
        <f t="shared" si="20"/>
        <v>0</v>
      </c>
      <c r="J126" s="197">
        <f t="shared" si="20"/>
        <v>0</v>
      </c>
      <c r="K126" s="197">
        <f t="shared" si="20"/>
        <v>0</v>
      </c>
      <c r="L126" s="197">
        <f t="shared" si="20"/>
        <v>0</v>
      </c>
      <c r="M126" s="197">
        <f t="shared" si="20"/>
        <v>0</v>
      </c>
      <c r="N126" s="197">
        <f t="shared" si="20"/>
        <v>0</v>
      </c>
      <c r="O126" s="214">
        <f>SUM(C126:N126)</f>
        <v>14305.143845134153</v>
      </c>
    </row>
    <row r="127" spans="1:15" ht="42.75">
      <c r="A127" s="137" t="s">
        <v>76</v>
      </c>
      <c r="B127" s="138"/>
      <c r="C127" s="197">
        <f>+C16+C46+C64+C70+C76+C94</f>
        <v>9</v>
      </c>
      <c r="D127" s="197">
        <f t="shared" ref="D127:N127" si="21">+D16+D46+D64+D70+D76+D94</f>
        <v>10</v>
      </c>
      <c r="E127" s="197">
        <f t="shared" si="21"/>
        <v>10</v>
      </c>
      <c r="F127" s="197">
        <f t="shared" si="21"/>
        <v>10</v>
      </c>
      <c r="G127" s="197">
        <f t="shared" si="21"/>
        <v>10</v>
      </c>
      <c r="H127" s="197">
        <f t="shared" si="21"/>
        <v>10</v>
      </c>
      <c r="I127" s="197">
        <f t="shared" si="21"/>
        <v>10</v>
      </c>
      <c r="J127" s="197">
        <f t="shared" si="21"/>
        <v>10</v>
      </c>
      <c r="K127" s="197">
        <f t="shared" si="21"/>
        <v>10</v>
      </c>
      <c r="L127" s="197">
        <f t="shared" si="21"/>
        <v>10</v>
      </c>
      <c r="M127" s="197">
        <f t="shared" si="21"/>
        <v>10</v>
      </c>
      <c r="N127" s="197">
        <f t="shared" si="21"/>
        <v>10</v>
      </c>
      <c r="O127" s="214">
        <f>+SUM(C127:N127)/12</f>
        <v>9.9166666666666661</v>
      </c>
    </row>
    <row r="128" spans="1:15" ht="42.75">
      <c r="A128" s="137" t="s">
        <v>143</v>
      </c>
      <c r="B128" s="138"/>
      <c r="C128" s="198">
        <f>+'원가이체, 판관비 배부현황(VND)'!C134</f>
        <v>25993000</v>
      </c>
      <c r="D128" s="198">
        <f>+'원가이체, 판관비 배부현황(VND)'!D134</f>
        <v>26090000</v>
      </c>
      <c r="E128" s="198">
        <f>+'원가이체, 판관비 배부현황(VND)'!E134</f>
        <v>26366000</v>
      </c>
      <c r="F128" s="198">
        <f>+'원가이체, 판관비 배부현황(VND)'!F134</f>
        <v>26359000</v>
      </c>
      <c r="G128" s="198">
        <f>+'원가이체, 판관비 배부현황(VND)'!G134</f>
        <v>26325000</v>
      </c>
      <c r="H128" s="198">
        <f>+'원가이체, 판관비 배부현황(VND)'!H134</f>
        <v>26305000</v>
      </c>
      <c r="I128" s="198">
        <f>+'원가이체, 판관비 배부현황(VND)'!I134</f>
        <v>26090005</v>
      </c>
      <c r="J128" s="198">
        <f>+'원가이체, 판관비 배부현황(VND)'!J134</f>
        <v>26090006</v>
      </c>
      <c r="K128" s="198">
        <f>+'원가이체, 판관비 배부현황(VND)'!K134</f>
        <v>26090007</v>
      </c>
      <c r="L128" s="198">
        <f>+'원가이체, 판관비 배부현황(VND)'!L134</f>
        <v>26090008</v>
      </c>
      <c r="M128" s="198">
        <f>+'원가이체, 판관비 배부현황(VND)'!M134</f>
        <v>26090009</v>
      </c>
      <c r="N128" s="198">
        <f>+'원가이체, 판관비 배부현황(VND)'!N134</f>
        <v>26090010</v>
      </c>
      <c r="O128" s="139"/>
    </row>
    <row r="130" spans="2:15" s="140" customFormat="1" ht="10.5">
      <c r="C130" s="140">
        <f>+C15-C125+C63+C69+C75+C93+C45</f>
        <v>0</v>
      </c>
      <c r="D130" s="140">
        <f t="shared" ref="D130:E130" si="22">+D15-D125+D63+D69+D75+D93+D45</f>
        <v>0</v>
      </c>
      <c r="E130" s="140">
        <f t="shared" si="22"/>
        <v>0</v>
      </c>
      <c r="F130" s="140">
        <f t="shared" ref="F130" si="23">+F15-F125+F63+F69+F75+F93+F45</f>
        <v>3.7937688546207937E-8</v>
      </c>
      <c r="G130" s="140">
        <f>+G15-G125+G63+G69+G75+G93+G45+G123</f>
        <v>3.7986712886350915E-8</v>
      </c>
      <c r="H130" s="140">
        <f>+H15-H125+H63+H69+H75+H93+H45+H123</f>
        <v>-1.9984014443252818E-15</v>
      </c>
      <c r="I130" s="140" t="e">
        <f t="shared" ref="I130:N130" si="24">+I15-I125+I63+I69+I75+I93+I45</f>
        <v>#DIV/0!</v>
      </c>
      <c r="J130" s="140" t="e">
        <f t="shared" si="24"/>
        <v>#DIV/0!</v>
      </c>
      <c r="K130" s="140" t="e">
        <f t="shared" si="24"/>
        <v>#DIV/0!</v>
      </c>
      <c r="L130" s="140" t="e">
        <f t="shared" si="24"/>
        <v>#DIV/0!</v>
      </c>
      <c r="M130" s="140" t="e">
        <f t="shared" si="24"/>
        <v>#DIV/0!</v>
      </c>
      <c r="N130" s="140" t="e">
        <f t="shared" si="24"/>
        <v>#DIV/0!</v>
      </c>
      <c r="O130" s="140" t="e">
        <f t="shared" ref="O130" si="25">+O15-O125+O63+O69+O75+O93+O45</f>
        <v>#DIV/0!</v>
      </c>
    </row>
    <row r="131" spans="2:15">
      <c r="C131" s="122"/>
      <c r="D131" s="122"/>
      <c r="E131" s="122"/>
      <c r="F131" s="122"/>
      <c r="G131" s="122"/>
      <c r="H131" s="122"/>
      <c r="I131" s="122"/>
      <c r="J131" s="122"/>
      <c r="K131" s="122"/>
      <c r="L131" s="122"/>
      <c r="M131" s="122"/>
      <c r="N131" s="122"/>
      <c r="O131" s="122"/>
    </row>
    <row r="132" spans="2:15">
      <c r="B132" s="144" t="s">
        <v>80</v>
      </c>
      <c r="C132" s="141">
        <f>+C12+C6+C18+C24+C30+C36+C42+C48+C54+C60+C66+C72+C78+C84+C90+C96+C102+C108+C114</f>
        <v>1204.8188051398454</v>
      </c>
      <c r="D132" s="141">
        <f t="shared" ref="D132:E132" si="26">+D12+D6+D18+D24+D30+D36+D42+D48+D54+D60+D66+D72+D78+D84+D90+D96+D102+D108+D114</f>
        <v>4271.5443581832114</v>
      </c>
      <c r="E132" s="141">
        <f t="shared" si="26"/>
        <v>2433.3688161647578</v>
      </c>
      <c r="F132" s="141">
        <f t="shared" ref="F132" si="27">+F12+F6+F18+F24+F30+F36+F42+F48+F54+F60+F66+F72+F78+F84+F90+F96+F102+F108+F114</f>
        <v>4501.2344388254478</v>
      </c>
      <c r="G132" s="141">
        <f>+G12+G6+G18+G24+G30+G36+G42+G48+G54+G60+G66+G72+G78+G84+G90+G96+G102+G108+G114+G120</f>
        <v>6780.9121505792973</v>
      </c>
      <c r="H132" s="141">
        <f t="shared" ref="H132:N132" si="28">+H12+H6+H18+H24+H30+H36+H42+H48+H54+H60+H66+H72+H78+H84+H90+H96+H102+H108+H114+H120</f>
        <v>6321.0217415320285</v>
      </c>
      <c r="I132" s="141">
        <f t="shared" si="28"/>
        <v>0</v>
      </c>
      <c r="J132" s="141">
        <f t="shared" si="28"/>
        <v>0</v>
      </c>
      <c r="K132" s="141">
        <f t="shared" si="28"/>
        <v>0</v>
      </c>
      <c r="L132" s="141">
        <f t="shared" si="28"/>
        <v>0</v>
      </c>
      <c r="M132" s="141">
        <f t="shared" si="28"/>
        <v>0</v>
      </c>
      <c r="N132" s="141">
        <f t="shared" si="28"/>
        <v>0</v>
      </c>
      <c r="O132" s="141">
        <f t="shared" ref="O132" si="29">+O12+O6+O18+O24+O30+O36+O42+O48+O54+O60+O66+O72+O78+O84+O90+O96+O102+O108+O114+O120</f>
        <v>25411.448417447198</v>
      </c>
    </row>
    <row r="133" spans="2:15">
      <c r="B133" s="144" t="s">
        <v>132</v>
      </c>
      <c r="C133" s="141">
        <f>+C11+C5+C17+C23+C29+C35+C41+C47+C53+C59+C65+C71+C77+C83+C89+C95+C101+C107+C113</f>
        <v>2360.3286658715811</v>
      </c>
      <c r="D133" s="141">
        <f t="shared" ref="D133:E133" si="30">+D11+D5+D17+D23+D29+D35+D41+D47+D53+D59+D65+D71+D77+D83+D89+D95+D101+D107+D113</f>
        <v>5618.478343234955</v>
      </c>
      <c r="E133" s="141">
        <f t="shared" si="30"/>
        <v>3444.5062092846856</v>
      </c>
      <c r="F133" s="141">
        <f t="shared" ref="F133" si="31">+F11+F5+F17+F23+F29+F35+F41+F47+F53+F59+F65+F71+F77+F83+F89+F95+F101+F107+F113</f>
        <v>5235.6440852839632</v>
      </c>
      <c r="G133" s="141">
        <f>+G11+G5+G17+G23+G29+G35+G41+G47+G53+G59+G65+G71+G77+G83+G89+G95+G101+G107+G113+G119</f>
        <v>8024.5998983095924</v>
      </c>
      <c r="H133" s="141">
        <f t="shared" ref="H133:N133" si="32">+H11+H5+H17+H23+H29+H35+H41+H47+H53+H59+H65+H71+H77+H83+H89+H95+H101+H107+H113+H119</f>
        <v>7479.2477314959133</v>
      </c>
      <c r="I133" s="141">
        <f t="shared" si="32"/>
        <v>0</v>
      </c>
      <c r="J133" s="141">
        <f t="shared" si="32"/>
        <v>0</v>
      </c>
      <c r="K133" s="141">
        <f t="shared" si="32"/>
        <v>0</v>
      </c>
      <c r="L133" s="141">
        <f t="shared" si="32"/>
        <v>0</v>
      </c>
      <c r="M133" s="141">
        <f t="shared" si="32"/>
        <v>0</v>
      </c>
      <c r="N133" s="141">
        <f t="shared" si="32"/>
        <v>0</v>
      </c>
      <c r="O133" s="141">
        <f t="shared" ref="O133" si="33">+O11+O5+O17+O23+O29+O35+O41+O47+O53+O59+O65+O71+O77+O83+O89+O95+O101+O107+O113+O119</f>
        <v>32040.308081306554</v>
      </c>
    </row>
    <row r="134" spans="2:15">
      <c r="C134" s="142"/>
      <c r="D134" s="142"/>
      <c r="E134" s="142"/>
      <c r="F134" s="142"/>
      <c r="G134" s="142"/>
      <c r="H134" s="142"/>
      <c r="I134" s="142"/>
      <c r="J134" s="142"/>
      <c r="K134" s="142"/>
      <c r="L134" s="142"/>
      <c r="M134" s="142"/>
      <c r="N134" s="142"/>
      <c r="O134" s="142"/>
    </row>
    <row r="135" spans="2:15">
      <c r="C135" s="142">
        <f>+C13+C7+C19+C25+C31+C37+C43+C49+C55+C61+C67+C73+C79+C85+C91+C97+C103+C109+C115</f>
        <v>1186.2214785519179</v>
      </c>
      <c r="D135" s="142">
        <f t="shared" ref="D135:E135" si="34">+D13+D7+D19+D25+D31+D37+D43+D49+D55+D61+D67+D73+D79+D85+D91+D97+D103+D109+D115</f>
        <v>4226.3011934074357</v>
      </c>
      <c r="E135" s="142">
        <f t="shared" si="34"/>
        <v>2390.9332324584693</v>
      </c>
      <c r="F135" s="142">
        <f t="shared" ref="F135" si="35">+F13+F7+F19+F25+F31+F37+F43+F49+F55+F61+F67+F73+F79+F85+F91+F97+F103+F109+F115</f>
        <v>4455.6980831973888</v>
      </c>
      <c r="G135" s="142">
        <f>+G13+G7+G19+G25+G31+G37+G43+G49+G55+G61+G67+G73+G79+G85+G91+G97+G103+G109+G115+G121</f>
        <v>6681.4816900284904</v>
      </c>
      <c r="H135" s="142">
        <f t="shared" ref="H135:N135" si="36">+H13+H7+H19+H25+H31+H37+H43+H49+H55+H61+H67+H73+H79+H85+H91+H97+H103+H109+H115+H121</f>
        <v>6265.6726137236274</v>
      </c>
      <c r="I135" s="142">
        <f t="shared" si="36"/>
        <v>0</v>
      </c>
      <c r="J135" s="142">
        <f t="shared" si="36"/>
        <v>0</v>
      </c>
      <c r="K135" s="142">
        <f t="shared" si="36"/>
        <v>0</v>
      </c>
      <c r="L135" s="142">
        <f t="shared" si="36"/>
        <v>0</v>
      </c>
      <c r="M135" s="142">
        <f t="shared" si="36"/>
        <v>0</v>
      </c>
      <c r="N135" s="142">
        <f t="shared" si="36"/>
        <v>0</v>
      </c>
      <c r="O135" s="142">
        <f t="shared" ref="O135" si="37">+O13+O7+O19+O25+O31+O37+O43+O49+O55+O61+O67+O73+O79+O85+O91+O97+O103+O109+O115+O121</f>
        <v>25105.617575296186</v>
      </c>
    </row>
    <row r="136" spans="2:15">
      <c r="C136" s="142">
        <f>C125+C14+C8+C44+C62+C68+C74+C56+C20+C26+C32+C38+C50+C80+C86+C92+C98+C104+C110+C116</f>
        <v>161.26766502519905</v>
      </c>
      <c r="D136" s="142">
        <f t="shared" ref="D136:E136" si="38">D125+D14+D8+D44+D62+D68+D74+D56+D20+D26+D32+D38+D50+D80+D86+D92+D98+D104+D110+D116</f>
        <v>199.54932253737061</v>
      </c>
      <c r="E136" s="142">
        <f t="shared" si="38"/>
        <v>190.0748627398923</v>
      </c>
      <c r="F136" s="142">
        <f t="shared" ref="F136" si="39">F125+F14+F8+F44+F62+F68+F74+F56+F20+F26+F32+F38+F50+F80+F86+F92+F98+F104+F110+F116</f>
        <v>205.02645650441977</v>
      </c>
      <c r="G136" s="142">
        <f>G125+G14+G8+G44+G62+G68+G74+G56+G20+G26+G32+G38+G50+G80+G86+G92+G98+G104+G110+G116+G122</f>
        <v>329.56876094966753</v>
      </c>
      <c r="H136" s="142">
        <f t="shared" ref="H136:N136" si="40">H125+H14+H8+H44+H62+H68+H74+H56+H20+H26+H32+H38+H50+H80+H86+H92+H98+H104+H110+H116+H122</f>
        <v>233.04895848697964</v>
      </c>
      <c r="I136" s="142">
        <f t="shared" si="40"/>
        <v>0</v>
      </c>
      <c r="J136" s="142">
        <f t="shared" si="40"/>
        <v>0</v>
      </c>
      <c r="K136" s="142">
        <f t="shared" si="40"/>
        <v>0</v>
      </c>
      <c r="L136" s="142">
        <f t="shared" si="40"/>
        <v>0</v>
      </c>
      <c r="M136" s="142">
        <f t="shared" si="40"/>
        <v>0</v>
      </c>
      <c r="N136" s="142">
        <f t="shared" si="40"/>
        <v>0</v>
      </c>
      <c r="O136" s="142">
        <f t="shared" ref="O136" si="41">O125+O14+O8+O44+O62+O68+O74+O56+O20+O26+O32+O38+O50+O80+O86+O92+O98+O104+O110+O116+O122</f>
        <v>1317.774849337279</v>
      </c>
    </row>
    <row r="137" spans="2:15">
      <c r="C137" s="143">
        <f t="shared" ref="C137:E137" si="42">C125/C136</f>
        <v>0.88468037541796407</v>
      </c>
      <c r="D137" s="143">
        <f t="shared" si="42"/>
        <v>0.77327327299092574</v>
      </c>
      <c r="E137" s="143">
        <f t="shared" si="42"/>
        <v>0.77674278915903083</v>
      </c>
      <c r="F137" s="143">
        <f t="shared" ref="F137" si="43">F125/F136</f>
        <v>0.77790009931192894</v>
      </c>
      <c r="G137" s="143">
        <f>G125/G136</f>
        <v>0.69830131877701729</v>
      </c>
      <c r="H137" s="143">
        <f t="shared" ref="H137:O137" si="44">H125/H136</f>
        <v>0.76249999928022094</v>
      </c>
      <c r="I137" s="143" t="e">
        <f t="shared" si="44"/>
        <v>#DIV/0!</v>
      </c>
      <c r="J137" s="143" t="e">
        <f t="shared" si="44"/>
        <v>#DIV/0!</v>
      </c>
      <c r="K137" s="143" t="e">
        <f t="shared" si="44"/>
        <v>#DIV/0!</v>
      </c>
      <c r="L137" s="143" t="e">
        <f t="shared" si="44"/>
        <v>#DIV/0!</v>
      </c>
      <c r="M137" s="143" t="e">
        <f t="shared" si="44"/>
        <v>#DIV/0!</v>
      </c>
      <c r="N137" s="143" t="e">
        <f t="shared" si="44"/>
        <v>#DIV/0!</v>
      </c>
      <c r="O137" s="143">
        <f t="shared" si="44"/>
        <v>0.76791874400637206</v>
      </c>
    </row>
    <row r="138" spans="2:15">
      <c r="C138" s="218"/>
    </row>
  </sheetData>
  <mergeCells count="22">
    <mergeCell ref="A53:A58"/>
    <mergeCell ref="A5:A10"/>
    <mergeCell ref="A11:A16"/>
    <mergeCell ref="A47:A52"/>
    <mergeCell ref="A71:A76"/>
    <mergeCell ref="A65:A70"/>
    <mergeCell ref="A119:A124"/>
    <mergeCell ref="C3:O3"/>
    <mergeCell ref="A107:A112"/>
    <mergeCell ref="A113:A118"/>
    <mergeCell ref="A101:A106"/>
    <mergeCell ref="A83:A88"/>
    <mergeCell ref="A89:A94"/>
    <mergeCell ref="A95:A100"/>
    <mergeCell ref="A77:A82"/>
    <mergeCell ref="A59:A64"/>
    <mergeCell ref="A41:A46"/>
    <mergeCell ref="A17:A22"/>
    <mergeCell ref="A23:A28"/>
    <mergeCell ref="A35:A40"/>
    <mergeCell ref="A29:A34"/>
    <mergeCell ref="A3:B4"/>
  </mergeCells>
  <phoneticPr fontId="110" type="noConversion"/>
  <printOptions horizontalCentered="1"/>
  <pageMargins left="0.31496062992125984" right="0.31496062992125984" top="0.35433070866141736" bottom="0.15748031496062992" header="0.31496062992125984" footer="0.31496062992125984"/>
  <pageSetup paperSize="9" scale="31"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3:X23"/>
  <sheetViews>
    <sheetView topLeftCell="C1" zoomScale="80" workbookViewId="0">
      <selection activeCell="G24" sqref="G24"/>
    </sheetView>
  </sheetViews>
  <sheetFormatPr defaultColWidth="9.33203125" defaultRowHeight="12.4"/>
  <cols>
    <col min="1" max="1" width="7.33203125" style="172" customWidth="1"/>
    <col min="2" max="2" width="24" style="172" customWidth="1"/>
    <col min="3" max="3" width="17" style="172" customWidth="1"/>
    <col min="4" max="4" width="16.1640625" style="172" customWidth="1"/>
    <col min="5" max="5" width="20.33203125" style="172" customWidth="1"/>
    <col min="6" max="6" width="9.33203125" style="172"/>
    <col min="7" max="7" width="19.1640625" style="172" customWidth="1"/>
    <col min="8" max="8" width="19.83203125" style="172" bestFit="1" customWidth="1"/>
    <col min="9" max="9" width="14.83203125" style="172" customWidth="1"/>
    <col min="10" max="14" width="18.33203125" style="172" customWidth="1"/>
    <col min="15" max="20" width="18.33203125" style="172" hidden="1" customWidth="1"/>
    <col min="21" max="21" width="19.83203125" style="172" customWidth="1"/>
    <col min="22" max="22" width="19.83203125" style="172" hidden="1" customWidth="1"/>
    <col min="23" max="23" width="19.83203125" style="172" customWidth="1"/>
    <col min="24" max="24" width="38.33203125" style="172" customWidth="1"/>
    <col min="25" max="16384" width="9.33203125" style="172"/>
  </cols>
  <sheetData>
    <row r="3" spans="1:24" ht="15.4">
      <c r="A3" s="408" t="s">
        <v>99</v>
      </c>
      <c r="B3" s="408"/>
      <c r="C3" s="408"/>
      <c r="D3" s="408"/>
      <c r="E3" s="408"/>
      <c r="F3" s="408"/>
      <c r="G3" s="408"/>
      <c r="H3" s="408"/>
      <c r="I3" s="408"/>
      <c r="J3" s="408"/>
      <c r="K3" s="408"/>
      <c r="L3" s="408"/>
      <c r="M3" s="408"/>
      <c r="N3" s="408"/>
      <c r="O3" s="408"/>
      <c r="P3" s="408"/>
      <c r="Q3" s="408"/>
      <c r="R3" s="408"/>
      <c r="S3" s="408"/>
      <c r="T3" s="408"/>
      <c r="U3" s="408"/>
      <c r="V3" s="408"/>
      <c r="W3" s="408"/>
      <c r="X3" s="408"/>
    </row>
    <row r="4" spans="1:24">
      <c r="W4" s="49"/>
    </row>
    <row r="5" spans="1:24" s="168" customFormat="1" ht="21.75" customHeight="1">
      <c r="A5" s="409" t="s">
        <v>88</v>
      </c>
      <c r="B5" s="409" t="s">
        <v>89</v>
      </c>
      <c r="C5" s="411" t="s">
        <v>222</v>
      </c>
      <c r="D5" s="411" t="s">
        <v>244</v>
      </c>
      <c r="E5" s="411" t="s">
        <v>85</v>
      </c>
      <c r="F5" s="411" t="s">
        <v>83</v>
      </c>
      <c r="G5" s="411" t="s">
        <v>86</v>
      </c>
      <c r="H5" s="166">
        <v>2025</v>
      </c>
      <c r="I5" s="413">
        <v>2026</v>
      </c>
      <c r="J5" s="413"/>
      <c r="K5" s="413"/>
      <c r="L5" s="413"/>
      <c r="M5" s="413"/>
      <c r="N5" s="413"/>
      <c r="O5" s="413"/>
      <c r="P5" s="413"/>
      <c r="Q5" s="413"/>
      <c r="R5" s="413"/>
      <c r="S5" s="413"/>
      <c r="T5" s="413"/>
      <c r="U5" s="413"/>
      <c r="V5" s="413"/>
      <c r="W5" s="413"/>
      <c r="X5" s="411" t="s">
        <v>87</v>
      </c>
    </row>
    <row r="6" spans="1:24" s="168" customFormat="1" ht="36.75" customHeight="1">
      <c r="A6" s="410"/>
      <c r="B6" s="410"/>
      <c r="C6" s="412"/>
      <c r="D6" s="412"/>
      <c r="E6" s="410"/>
      <c r="F6" s="410"/>
      <c r="G6" s="410"/>
      <c r="H6" s="167" t="s">
        <v>96</v>
      </c>
      <c r="I6" s="358" t="s">
        <v>107</v>
      </c>
      <c r="J6" s="358" t="s">
        <v>186</v>
      </c>
      <c r="K6" s="358" t="s">
        <v>192</v>
      </c>
      <c r="L6" s="358" t="s">
        <v>202</v>
      </c>
      <c r="M6" s="358" t="s">
        <v>207</v>
      </c>
      <c r="N6" s="358" t="s">
        <v>208</v>
      </c>
      <c r="O6" s="358" t="s">
        <v>209</v>
      </c>
      <c r="P6" s="358" t="s">
        <v>210</v>
      </c>
      <c r="Q6" s="358" t="s">
        <v>211</v>
      </c>
      <c r="R6" s="358" t="s">
        <v>213</v>
      </c>
      <c r="S6" s="358" t="s">
        <v>218</v>
      </c>
      <c r="T6" s="358" t="s">
        <v>219</v>
      </c>
      <c r="U6" s="358" t="s">
        <v>95</v>
      </c>
      <c r="V6" s="359" t="s">
        <v>105</v>
      </c>
      <c r="W6" s="359" t="s">
        <v>96</v>
      </c>
      <c r="X6" s="410"/>
    </row>
    <row r="7" spans="1:24" s="168" customFormat="1">
      <c r="A7" s="166" t="s">
        <v>100</v>
      </c>
      <c r="B7" s="166" t="s">
        <v>101</v>
      </c>
      <c r="C7" s="166" t="s">
        <v>102</v>
      </c>
      <c r="D7" s="166"/>
      <c r="E7" s="167">
        <v>1</v>
      </c>
      <c r="F7" s="166">
        <v>2</v>
      </c>
      <c r="G7" s="167" t="s">
        <v>103</v>
      </c>
      <c r="H7" s="167" t="s">
        <v>104</v>
      </c>
      <c r="I7" s="166"/>
      <c r="J7" s="166"/>
      <c r="K7" s="166"/>
      <c r="L7" s="166"/>
      <c r="M7" s="166"/>
      <c r="N7" s="166"/>
      <c r="O7" s="166"/>
      <c r="P7" s="166"/>
      <c r="Q7" s="166"/>
      <c r="R7" s="166"/>
      <c r="S7" s="166"/>
      <c r="T7" s="166"/>
      <c r="U7" s="166"/>
      <c r="V7" s="166"/>
      <c r="W7" s="167"/>
      <c r="X7" s="166"/>
    </row>
    <row r="8" spans="1:24" s="171" customFormat="1" ht="27" hidden="1" customHeight="1">
      <c r="A8" s="169">
        <v>1</v>
      </c>
      <c r="B8" s="170" t="s">
        <v>90</v>
      </c>
      <c r="C8" s="170" t="s">
        <v>84</v>
      </c>
      <c r="D8" s="170"/>
      <c r="E8" s="173">
        <f>E9+E10</f>
        <v>1311159373245</v>
      </c>
      <c r="F8" s="174"/>
      <c r="G8" s="175">
        <f>G9+G10</f>
        <v>10724957525</v>
      </c>
      <c r="H8" s="173">
        <v>0</v>
      </c>
      <c r="I8" s="175">
        <f t="shared" ref="I8" si="0">I9+I10</f>
        <v>0</v>
      </c>
      <c r="J8" s="175"/>
      <c r="K8" s="175"/>
      <c r="L8" s="175"/>
      <c r="M8" s="175"/>
      <c r="N8" s="175"/>
      <c r="O8" s="175"/>
      <c r="P8" s="175"/>
      <c r="Q8" s="175"/>
      <c r="R8" s="175"/>
      <c r="S8" s="175"/>
      <c r="T8" s="175"/>
      <c r="U8" s="173">
        <f>SUM(H8:I8)</f>
        <v>0</v>
      </c>
      <c r="V8" s="173">
        <v>0</v>
      </c>
      <c r="W8" s="173">
        <v>0</v>
      </c>
      <c r="X8" s="173"/>
    </row>
    <row r="9" spans="1:24" s="184" customFormat="1" ht="27" hidden="1" customHeight="1">
      <c r="A9" s="179"/>
      <c r="B9" s="180" t="s">
        <v>97</v>
      </c>
      <c r="C9" s="180"/>
      <c r="D9" s="180"/>
      <c r="E9" s="181">
        <v>949521088397</v>
      </c>
      <c r="F9" s="182">
        <v>1.0800000000000001E-2</v>
      </c>
      <c r="G9" s="183">
        <f t="shared" ref="G9:G10" si="1">ROUND(F9*E9,0)</f>
        <v>10254827755</v>
      </c>
      <c r="H9" s="173">
        <v>0</v>
      </c>
      <c r="I9" s="181"/>
      <c r="J9" s="181"/>
      <c r="K9" s="181"/>
      <c r="L9" s="181"/>
      <c r="M9" s="181"/>
      <c r="N9" s="181"/>
      <c r="O9" s="181"/>
      <c r="P9" s="181"/>
      <c r="Q9" s="181"/>
      <c r="R9" s="181"/>
      <c r="S9" s="181"/>
      <c r="T9" s="181"/>
      <c r="U9" s="181">
        <f>SUM(H9:I9)</f>
        <v>0</v>
      </c>
      <c r="V9" s="181">
        <v>0</v>
      </c>
      <c r="W9" s="173">
        <v>0</v>
      </c>
      <c r="X9" s="181"/>
    </row>
    <row r="10" spans="1:24" s="184" customFormat="1" ht="27" hidden="1" customHeight="1">
      <c r="A10" s="179"/>
      <c r="B10" s="180" t="s">
        <v>98</v>
      </c>
      <c r="C10" s="180"/>
      <c r="D10" s="180"/>
      <c r="E10" s="181">
        <v>361638284848</v>
      </c>
      <c r="F10" s="182">
        <v>1.2999999999999999E-3</v>
      </c>
      <c r="G10" s="183">
        <f t="shared" si="1"/>
        <v>470129770</v>
      </c>
      <c r="H10" s="173">
        <v>0</v>
      </c>
      <c r="I10" s="181"/>
      <c r="J10" s="181"/>
      <c r="K10" s="181"/>
      <c r="L10" s="181"/>
      <c r="M10" s="181"/>
      <c r="N10" s="181"/>
      <c r="O10" s="181"/>
      <c r="P10" s="181"/>
      <c r="Q10" s="181"/>
      <c r="R10" s="181"/>
      <c r="S10" s="181"/>
      <c r="T10" s="181"/>
      <c r="U10" s="173">
        <f>SUM(H10:I10)</f>
        <v>0</v>
      </c>
      <c r="V10" s="181">
        <v>0</v>
      </c>
      <c r="W10" s="173">
        <v>0</v>
      </c>
      <c r="X10" s="181"/>
    </row>
    <row r="11" spans="1:24" s="171" customFormat="1" ht="27" hidden="1" customHeight="1">
      <c r="A11" s="188" t="s">
        <v>111</v>
      </c>
      <c r="B11" s="170" t="s">
        <v>91</v>
      </c>
      <c r="C11" s="170" t="s">
        <v>93</v>
      </c>
      <c r="D11" s="170"/>
      <c r="E11" s="173">
        <v>2166776114349</v>
      </c>
      <c r="F11" s="174">
        <v>9.5999999999999992E-3</v>
      </c>
      <c r="G11" s="175">
        <f>ROUND(F11*E11,0)</f>
        <v>20801050698</v>
      </c>
      <c r="H11" s="173">
        <v>0</v>
      </c>
      <c r="I11" s="173"/>
      <c r="J11" s="173"/>
      <c r="K11" s="173"/>
      <c r="L11" s="173"/>
      <c r="M11" s="173"/>
      <c r="N11" s="173"/>
      <c r="O11" s="173"/>
      <c r="P11" s="173"/>
      <c r="Q11" s="173"/>
      <c r="R11" s="173"/>
      <c r="S11" s="173"/>
      <c r="T11" s="173"/>
      <c r="U11" s="173">
        <f>SUM(I11:I11)</f>
        <v>0</v>
      </c>
      <c r="V11" s="173">
        <v>0</v>
      </c>
      <c r="W11" s="173">
        <v>0</v>
      </c>
      <c r="X11" s="173"/>
    </row>
    <row r="12" spans="1:24" s="171" customFormat="1" ht="27" hidden="1" customHeight="1">
      <c r="A12" s="188" t="s">
        <v>112</v>
      </c>
      <c r="B12" s="170" t="s">
        <v>92</v>
      </c>
      <c r="C12" s="170" t="s">
        <v>94</v>
      </c>
      <c r="D12" s="170"/>
      <c r="E12" s="173">
        <v>516092416153</v>
      </c>
      <c r="F12" s="174">
        <v>8.0000000000000002E-3</v>
      </c>
      <c r="G12" s="175">
        <f>ROUND(F12*E12,0)</f>
        <v>4128739329</v>
      </c>
      <c r="H12" s="173">
        <v>0</v>
      </c>
      <c r="I12" s="173"/>
      <c r="J12" s="173"/>
      <c r="K12" s="173"/>
      <c r="L12" s="173"/>
      <c r="M12" s="173"/>
      <c r="N12" s="173"/>
      <c r="O12" s="173"/>
      <c r="P12" s="173"/>
      <c r="Q12" s="173"/>
      <c r="R12" s="173"/>
      <c r="S12" s="173"/>
      <c r="T12" s="173"/>
      <c r="U12" s="173">
        <f>SUM(I12:I12)</f>
        <v>0</v>
      </c>
      <c r="V12" s="173">
        <v>0</v>
      </c>
      <c r="W12" s="173">
        <f>H12-U12-V12</f>
        <v>0</v>
      </c>
      <c r="X12" s="271"/>
    </row>
    <row r="13" spans="1:24" s="171" customFormat="1" ht="27" hidden="1" customHeight="1">
      <c r="A13" s="188">
        <v>10</v>
      </c>
      <c r="B13" s="170" t="s">
        <v>113</v>
      </c>
      <c r="C13" s="170" t="s">
        <v>114</v>
      </c>
      <c r="D13" s="170"/>
      <c r="E13" s="173">
        <v>531271745117</v>
      </c>
      <c r="F13" s="174">
        <v>1.15E-2</v>
      </c>
      <c r="G13" s="175">
        <f>ROUND(F13*E13,0)</f>
        <v>6109625069</v>
      </c>
      <c r="H13" s="173">
        <v>0</v>
      </c>
      <c r="I13" s="173"/>
      <c r="J13" s="173"/>
      <c r="K13" s="173"/>
      <c r="L13" s="173"/>
      <c r="M13" s="173"/>
      <c r="N13" s="173"/>
      <c r="O13" s="173"/>
      <c r="P13" s="173"/>
      <c r="Q13" s="173"/>
      <c r="R13" s="173"/>
      <c r="S13" s="173"/>
      <c r="T13" s="173"/>
      <c r="U13" s="173">
        <f>+SUM(I13:I13)</f>
        <v>0</v>
      </c>
      <c r="V13" s="173"/>
      <c r="W13" s="278">
        <f t="shared" ref="W13:W14" si="2">H13+U13+V13</f>
        <v>0</v>
      </c>
      <c r="X13" s="173"/>
    </row>
    <row r="14" spans="1:24" s="171" customFormat="1" ht="27" hidden="1" customHeight="1">
      <c r="A14" s="188">
        <v>24</v>
      </c>
      <c r="B14" s="291" t="s">
        <v>167</v>
      </c>
      <c r="C14" s="170" t="s">
        <v>166</v>
      </c>
      <c r="D14" s="170"/>
      <c r="E14" s="173">
        <v>8804407658</v>
      </c>
      <c r="F14" s="174">
        <v>3.2000000000000002E-3</v>
      </c>
      <c r="G14" s="175">
        <f>ROUND(F14*E14,0)</f>
        <v>28174105</v>
      </c>
      <c r="H14" s="173">
        <v>0</v>
      </c>
      <c r="I14" s="173"/>
      <c r="J14" s="173"/>
      <c r="K14" s="173"/>
      <c r="L14" s="173"/>
      <c r="M14" s="173"/>
      <c r="N14" s="173"/>
      <c r="O14" s="173"/>
      <c r="P14" s="173"/>
      <c r="Q14" s="173"/>
      <c r="R14" s="173"/>
      <c r="S14" s="173"/>
      <c r="T14" s="173"/>
      <c r="U14" s="173">
        <f>+SUM(I14:I14)</f>
        <v>0</v>
      </c>
      <c r="V14" s="173">
        <v>0</v>
      </c>
      <c r="W14" s="278">
        <f t="shared" si="2"/>
        <v>0</v>
      </c>
      <c r="X14" s="173"/>
    </row>
    <row r="15" spans="1:24" s="171" customFormat="1" ht="27" customHeight="1">
      <c r="A15" s="188">
        <v>18</v>
      </c>
      <c r="B15" s="291" t="s">
        <v>216</v>
      </c>
      <c r="C15" s="170"/>
      <c r="D15" s="170"/>
      <c r="E15" s="173"/>
      <c r="F15" s="301">
        <v>1.1599999999999999E-2</v>
      </c>
      <c r="G15" s="175"/>
      <c r="H15" s="173">
        <v>1609227132</v>
      </c>
      <c r="I15" s="173">
        <v>24043038</v>
      </c>
      <c r="J15" s="173">
        <v>388555008</v>
      </c>
      <c r="K15" s="173">
        <f>+'Summary 2026'!G51</f>
        <v>180533745</v>
      </c>
      <c r="L15" s="173">
        <v>446827079</v>
      </c>
      <c r="M15" s="173">
        <v>885361893</v>
      </c>
      <c r="N15" s="173">
        <v>1243643234</v>
      </c>
      <c r="O15" s="173"/>
      <c r="P15" s="173"/>
      <c r="Q15" s="173"/>
      <c r="R15" s="173"/>
      <c r="S15" s="173"/>
      <c r="T15" s="173"/>
      <c r="U15" s="173">
        <f>+SUM(I15:T15)</f>
        <v>3168963997</v>
      </c>
      <c r="V15" s="173"/>
      <c r="W15" s="278">
        <f>H15+U15+V15</f>
        <v>4778191129</v>
      </c>
      <c r="X15" s="173" t="s">
        <v>243</v>
      </c>
    </row>
    <row r="16" spans="1:24" s="171" customFormat="1" ht="27" customHeight="1">
      <c r="A16" s="188">
        <v>23</v>
      </c>
      <c r="B16" s="291" t="s">
        <v>181</v>
      </c>
      <c r="C16" s="170"/>
      <c r="D16" s="170"/>
      <c r="E16" s="173"/>
      <c r="F16" s="300">
        <v>6.3E-3</v>
      </c>
      <c r="G16" s="175">
        <v>0</v>
      </c>
      <c r="H16" s="173">
        <v>6226370228</v>
      </c>
      <c r="I16" s="173">
        <v>28534009</v>
      </c>
      <c r="J16" s="173">
        <v>558604649</v>
      </c>
      <c r="K16" s="173">
        <f>+'Summary 2026'!G52</f>
        <v>290765752</v>
      </c>
      <c r="L16" s="173">
        <v>588246657</v>
      </c>
      <c r="M16" s="173">
        <v>874949579</v>
      </c>
      <c r="N16" s="173">
        <v>562698907</v>
      </c>
      <c r="O16" s="173"/>
      <c r="P16" s="173"/>
      <c r="Q16" s="173"/>
      <c r="R16" s="173"/>
      <c r="S16" s="173"/>
      <c r="T16" s="173"/>
      <c r="U16" s="173">
        <f>+SUM(I16:T16)</f>
        <v>2903799553</v>
      </c>
      <c r="V16" s="173"/>
      <c r="W16" s="278">
        <f>H16+U16+V16</f>
        <v>9130169781</v>
      </c>
      <c r="X16" s="173" t="s">
        <v>243</v>
      </c>
    </row>
    <row r="17" spans="1:24" s="171" customFormat="1" ht="27" customHeight="1">
      <c r="A17" s="188">
        <v>27</v>
      </c>
      <c r="B17" s="291" t="s">
        <v>182</v>
      </c>
      <c r="C17" s="362">
        <v>46126</v>
      </c>
      <c r="D17" s="362" t="s">
        <v>245</v>
      </c>
      <c r="E17" s="173">
        <v>45888984025</v>
      </c>
      <c r="F17" s="174">
        <v>3.2000000000000002E-3</v>
      </c>
      <c r="G17" s="175">
        <f>+F17*E17</f>
        <v>146844748.88</v>
      </c>
      <c r="H17" s="173">
        <v>136755746</v>
      </c>
      <c r="I17" s="173"/>
      <c r="J17" s="173"/>
      <c r="K17" s="173">
        <f>+'Summary 2026'!G53</f>
        <v>0</v>
      </c>
      <c r="L17" s="173">
        <v>10089003</v>
      </c>
      <c r="M17" s="173"/>
      <c r="N17" s="173"/>
      <c r="O17" s="173"/>
      <c r="P17" s="173"/>
      <c r="Q17" s="173"/>
      <c r="R17" s="173"/>
      <c r="S17" s="173"/>
      <c r="T17" s="173"/>
      <c r="U17" s="173">
        <f>+SUM(I17:T17)</f>
        <v>10089003</v>
      </c>
      <c r="V17" s="173"/>
      <c r="W17" s="278">
        <f>H17+U17+V17</f>
        <v>146844749</v>
      </c>
      <c r="X17" s="173" t="s">
        <v>246</v>
      </c>
    </row>
    <row r="18" spans="1:24" s="171" customFormat="1" ht="27" customHeight="1">
      <c r="A18" s="188">
        <v>28</v>
      </c>
      <c r="B18" s="291" t="s">
        <v>183</v>
      </c>
      <c r="C18" s="170"/>
      <c r="D18" s="362" t="s">
        <v>245</v>
      </c>
      <c r="E18" s="173"/>
      <c r="F18" s="301">
        <v>1.4E-3</v>
      </c>
      <c r="G18" s="175">
        <v>0</v>
      </c>
      <c r="H18" s="173">
        <v>301880813</v>
      </c>
      <c r="I18" s="173"/>
      <c r="J18" s="173"/>
      <c r="K18" s="173">
        <f>+'Summary 2026'!G54</f>
        <v>0</v>
      </c>
      <c r="L18" s="173"/>
      <c r="M18" s="173">
        <v>-2540606</v>
      </c>
      <c r="N18" s="173"/>
      <c r="O18" s="173"/>
      <c r="P18" s="173"/>
      <c r="Q18" s="173"/>
      <c r="R18" s="173"/>
      <c r="S18" s="173"/>
      <c r="T18" s="173"/>
      <c r="U18" s="173">
        <f>+SUM(I18:T18)</f>
        <v>-2540606</v>
      </c>
      <c r="V18" s="173"/>
      <c r="W18" s="278">
        <f>H18+U18+V18</f>
        <v>299340207</v>
      </c>
      <c r="X18" s="173" t="s">
        <v>246</v>
      </c>
    </row>
    <row r="19" spans="1:24" s="177" customFormat="1" ht="29.25" customHeight="1">
      <c r="A19" s="407" t="s">
        <v>95</v>
      </c>
      <c r="B19" s="407"/>
      <c r="C19" s="407"/>
      <c r="D19" s="361"/>
      <c r="E19" s="176"/>
      <c r="F19" s="176"/>
      <c r="G19" s="178">
        <f>+SUM(G16:G18)</f>
        <v>146844748.88</v>
      </c>
      <c r="H19" s="178">
        <f>+SUM(H15:H18)</f>
        <v>8274233919</v>
      </c>
      <c r="I19" s="178">
        <f t="shared" ref="I19:V19" si="3">+SUM(I15:I18)</f>
        <v>52577047</v>
      </c>
      <c r="J19" s="178">
        <f>+SUM(J15:J18)</f>
        <v>947159657</v>
      </c>
      <c r="K19" s="178">
        <f>+SUM(K15:K18)</f>
        <v>471299497</v>
      </c>
      <c r="L19" s="178">
        <f>+SUM(L15:L18)</f>
        <v>1045162739</v>
      </c>
      <c r="M19" s="178">
        <f>+SUM(M15:M18)</f>
        <v>1757770866</v>
      </c>
      <c r="N19" s="178">
        <f t="shared" si="3"/>
        <v>1806342141</v>
      </c>
      <c r="O19" s="178">
        <f t="shared" si="3"/>
        <v>0</v>
      </c>
      <c r="P19" s="178">
        <f t="shared" si="3"/>
        <v>0</v>
      </c>
      <c r="Q19" s="178">
        <f t="shared" si="3"/>
        <v>0</v>
      </c>
      <c r="R19" s="178">
        <f t="shared" si="3"/>
        <v>0</v>
      </c>
      <c r="S19" s="178">
        <f t="shared" si="3"/>
        <v>0</v>
      </c>
      <c r="T19" s="178">
        <f t="shared" si="3"/>
        <v>0</v>
      </c>
      <c r="U19" s="178">
        <f>+SUM(U15:U18)</f>
        <v>6080311947</v>
      </c>
      <c r="V19" s="178">
        <f t="shared" si="3"/>
        <v>0</v>
      </c>
      <c r="W19" s="178">
        <f>+SUM(W15:W18)</f>
        <v>14354545866</v>
      </c>
      <c r="X19" s="178"/>
    </row>
    <row r="20" spans="1:24" s="171" customFormat="1">
      <c r="G20" s="208"/>
      <c r="W20" s="47"/>
    </row>
    <row r="21" spans="1:24" s="171" customFormat="1">
      <c r="G21" s="209"/>
    </row>
    <row r="22" spans="1:24" s="171" customFormat="1">
      <c r="G22" s="208"/>
    </row>
    <row r="23" spans="1:24">
      <c r="H23" s="189"/>
      <c r="I23" s="189"/>
      <c r="J23" s="189"/>
      <c r="K23" s="189"/>
      <c r="L23" s="189"/>
      <c r="M23" s="189"/>
      <c r="N23" s="189"/>
      <c r="O23" s="189"/>
      <c r="P23" s="189"/>
      <c r="Q23" s="189"/>
      <c r="R23" s="189"/>
      <c r="S23" s="189"/>
      <c r="T23" s="189"/>
      <c r="U23" s="189"/>
      <c r="V23" s="189"/>
      <c r="W23" s="189"/>
    </row>
  </sheetData>
  <mergeCells count="11">
    <mergeCell ref="A19:C19"/>
    <mergeCell ref="A3:X3"/>
    <mergeCell ref="A5:A6"/>
    <mergeCell ref="B5:B6"/>
    <mergeCell ref="C5:C6"/>
    <mergeCell ref="E5:E6"/>
    <mergeCell ref="F5:F6"/>
    <mergeCell ref="G5:G6"/>
    <mergeCell ref="X5:X6"/>
    <mergeCell ref="I5:W5"/>
    <mergeCell ref="D5:D6"/>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BZ180"/>
  <sheetViews>
    <sheetView tabSelected="1" topLeftCell="D1" zoomScale="109" workbookViewId="0">
      <selection activeCell="D20" sqref="D20"/>
    </sheetView>
  </sheetViews>
  <sheetFormatPr defaultRowHeight="10.5"/>
  <cols>
    <col min="1" max="2" width="9.33203125" hidden="1" customWidth="1"/>
    <col min="3" max="3" width="12.33203125" hidden="1" customWidth="1"/>
    <col min="4" max="4" width="70" customWidth="1"/>
    <col min="5" max="10" width="20.33203125" customWidth="1"/>
    <col min="11" max="16" width="20.33203125" hidden="1" customWidth="1"/>
    <col min="17" max="17" width="23.5" customWidth="1"/>
    <col min="18" max="18" width="24.1640625" customWidth="1"/>
    <col min="19" max="24" width="15.6640625" customWidth="1"/>
    <col min="25" max="30" width="15.6640625" hidden="1" customWidth="1"/>
    <col min="31" max="31" width="19.5" customWidth="1"/>
    <col min="32" max="32" width="8.6640625" customWidth="1"/>
    <col min="33" max="33" width="6.83203125" customWidth="1"/>
    <col min="34" max="46" width="9.33203125"/>
  </cols>
  <sheetData>
    <row r="1" spans="1:33" ht="15.4">
      <c r="D1" s="21" t="s">
        <v>16</v>
      </c>
      <c r="E1" s="6"/>
      <c r="F1" s="6"/>
      <c r="G1" s="6"/>
      <c r="H1" s="6"/>
      <c r="I1" s="6"/>
      <c r="J1" s="5"/>
      <c r="K1" s="5"/>
      <c r="L1" s="5"/>
      <c r="M1" s="5"/>
      <c r="N1" s="5"/>
      <c r="O1" s="5"/>
      <c r="P1" s="5"/>
      <c r="Q1" s="5"/>
      <c r="R1" s="38"/>
      <c r="S1" s="5"/>
      <c r="T1" s="5"/>
      <c r="U1" s="5"/>
      <c r="V1" s="5"/>
      <c r="W1" s="41"/>
      <c r="X1" s="5"/>
      <c r="Y1" s="5"/>
      <c r="Z1" s="5"/>
      <c r="AA1" s="5"/>
      <c r="AB1" s="5"/>
      <c r="AC1" s="5"/>
      <c r="AD1" s="5"/>
      <c r="AE1" s="5"/>
    </row>
    <row r="2" spans="1:33" ht="31.9">
      <c r="D2" s="153" t="s">
        <v>220</v>
      </c>
      <c r="E2" s="153"/>
      <c r="F2" s="153"/>
      <c r="G2" s="153"/>
      <c r="H2" s="153"/>
      <c r="I2" s="311"/>
      <c r="J2" s="153"/>
      <c r="K2" s="153"/>
      <c r="L2" s="264"/>
      <c r="M2" s="153"/>
      <c r="N2" s="153"/>
      <c r="O2" s="153"/>
      <c r="P2" s="264"/>
      <c r="Q2" s="337"/>
      <c r="R2" s="293"/>
      <c r="S2" s="153"/>
      <c r="T2" s="153"/>
      <c r="U2" s="153"/>
      <c r="V2" s="153"/>
      <c r="W2" s="153"/>
      <c r="X2" s="153"/>
      <c r="Y2" s="153"/>
      <c r="Z2" s="153"/>
      <c r="AA2" s="153"/>
      <c r="AB2" s="153"/>
      <c r="AC2" s="153"/>
      <c r="AD2" s="153"/>
      <c r="AE2" s="153"/>
    </row>
    <row r="3" spans="1:33" ht="14.25" hidden="1" customHeight="1">
      <c r="D3" s="5"/>
      <c r="E3" s="118">
        <f t="shared" ref="E3:L3" si="0">+SUBTOTAL(9,E9:E23)</f>
        <v>61352023012</v>
      </c>
      <c r="F3" s="118">
        <f>+SUBTOTAL(9,F9:F27)</f>
        <v>146586099975</v>
      </c>
      <c r="G3" s="118">
        <f>+SUBTOTAL(9,G9:G26)</f>
        <v>90817850714</v>
      </c>
      <c r="H3" s="118">
        <f>+SUBTOTAL(9,H9:H26)</f>
        <v>138006342444</v>
      </c>
      <c r="I3" s="118">
        <f t="shared" si="0"/>
        <v>209788460017</v>
      </c>
      <c r="J3" s="118">
        <f>+SUBTOTAL(9,J9:J28)</f>
        <v>196741611577</v>
      </c>
      <c r="K3" s="118">
        <f t="shared" si="0"/>
        <v>0</v>
      </c>
      <c r="L3" s="118">
        <f t="shared" si="0"/>
        <v>0</v>
      </c>
      <c r="M3" s="118">
        <f>+SUBTOTAL(9,M9:M24)</f>
        <v>0</v>
      </c>
      <c r="N3" s="118">
        <f>+SUBTOTAL(9,N9:N24)</f>
        <v>0</v>
      </c>
      <c r="O3" s="118">
        <f>+SUBTOTAL(9,O9:O24)</f>
        <v>0</v>
      </c>
      <c r="P3" s="118">
        <f>+SUBTOTAL(9,P9:P24)</f>
        <v>0</v>
      </c>
      <c r="Q3" s="118">
        <f>+SUBTOTAL(9,Q9:Q24)</f>
        <v>831607991796</v>
      </c>
      <c r="R3" s="118"/>
      <c r="S3" s="35"/>
      <c r="T3" s="35"/>
      <c r="U3" s="35"/>
      <c r="V3" s="35"/>
      <c r="W3" s="86"/>
      <c r="X3" s="35"/>
      <c r="Y3" s="35"/>
      <c r="Z3" s="35"/>
      <c r="AA3" s="35"/>
      <c r="AB3" s="35"/>
      <c r="AC3" s="35"/>
      <c r="AD3" s="85"/>
      <c r="AE3" s="35"/>
    </row>
    <row r="4" spans="1:33" ht="13.5" hidden="1" customHeight="1">
      <c r="D4" s="5"/>
      <c r="E4" s="118">
        <f>+SUBTOTAL(9,E30:E55)</f>
        <v>31422009296</v>
      </c>
      <c r="F4" s="118">
        <f>+SUBTOTAL(9,F30:F56)</f>
        <v>113338911619</v>
      </c>
      <c r="G4" s="118">
        <f>+SUBTOTAL(9,G30:G56)</f>
        <v>65100801201</v>
      </c>
      <c r="H4" s="118">
        <f t="shared" ref="H4:Q4" si="1">+SUBTOTAL(9,H30:H56)</f>
        <v>120738364051</v>
      </c>
      <c r="I4" s="118">
        <f t="shared" si="1"/>
        <v>182028135308</v>
      </c>
      <c r="J4" s="118">
        <f>+SUBTOTAL(9,J30:J56)</f>
        <v>169887161193</v>
      </c>
      <c r="K4" s="118">
        <f t="shared" si="1"/>
        <v>0</v>
      </c>
      <c r="L4" s="118">
        <f t="shared" si="1"/>
        <v>0</v>
      </c>
      <c r="M4" s="118">
        <f t="shared" si="1"/>
        <v>0</v>
      </c>
      <c r="N4" s="118">
        <f t="shared" si="1"/>
        <v>0</v>
      </c>
      <c r="O4" s="118">
        <f t="shared" si="1"/>
        <v>0</v>
      </c>
      <c r="P4" s="118">
        <f t="shared" si="1"/>
        <v>0</v>
      </c>
      <c r="Q4" s="118">
        <f t="shared" si="1"/>
        <v>682515382668</v>
      </c>
      <c r="R4" s="118"/>
      <c r="S4" s="118"/>
      <c r="T4" s="35"/>
      <c r="U4" s="35"/>
      <c r="V4" s="35"/>
      <c r="W4" s="86"/>
      <c r="X4" s="35"/>
      <c r="Y4" s="35"/>
      <c r="Z4" s="35"/>
      <c r="AA4" s="35"/>
      <c r="AB4" s="35"/>
      <c r="AC4" s="35"/>
      <c r="AD4" s="85"/>
      <c r="AE4" s="35"/>
    </row>
    <row r="5" spans="1:33" ht="12" customHeight="1">
      <c r="D5" s="370" t="s">
        <v>2</v>
      </c>
      <c r="E5" s="373">
        <v>2026</v>
      </c>
      <c r="F5" s="373"/>
      <c r="G5" s="373"/>
      <c r="H5" s="373"/>
      <c r="I5" s="374"/>
      <c r="J5" s="373"/>
      <c r="K5" s="373"/>
      <c r="L5" s="373"/>
      <c r="M5" s="373"/>
      <c r="N5" s="373"/>
      <c r="O5" s="373"/>
      <c r="P5" s="373"/>
      <c r="Q5" s="373"/>
      <c r="R5" s="374"/>
      <c r="S5" s="373"/>
      <c r="T5" s="373"/>
      <c r="U5" s="373"/>
      <c r="V5" s="373"/>
      <c r="W5" s="373"/>
      <c r="X5" s="373"/>
      <c r="Y5" s="373"/>
      <c r="Z5" s="373"/>
      <c r="AA5" s="373"/>
      <c r="AB5" s="373"/>
      <c r="AC5" s="373"/>
      <c r="AD5" s="373"/>
      <c r="AE5" s="373"/>
    </row>
    <row r="6" spans="1:33" ht="11.65">
      <c r="D6" s="371"/>
      <c r="E6" s="375" t="s">
        <v>5</v>
      </c>
      <c r="F6" s="376"/>
      <c r="G6" s="376"/>
      <c r="H6" s="376"/>
      <c r="I6" s="377"/>
      <c r="J6" s="376"/>
      <c r="K6" s="376"/>
      <c r="L6" s="376"/>
      <c r="M6" s="376"/>
      <c r="N6" s="376"/>
      <c r="O6" s="376"/>
      <c r="P6" s="376"/>
      <c r="Q6" s="378"/>
      <c r="R6" s="379" t="s">
        <v>221</v>
      </c>
      <c r="S6" s="375" t="s">
        <v>144</v>
      </c>
      <c r="T6" s="376"/>
      <c r="U6" s="376"/>
      <c r="V6" s="376"/>
      <c r="W6" s="376"/>
      <c r="X6" s="376"/>
      <c r="Y6" s="376"/>
      <c r="Z6" s="376"/>
      <c r="AA6" s="376"/>
      <c r="AB6" s="376"/>
      <c r="AC6" s="376"/>
      <c r="AD6" s="376"/>
      <c r="AE6" s="378"/>
    </row>
    <row r="7" spans="1:33" ht="11.65">
      <c r="D7" s="372"/>
      <c r="E7" s="319">
        <v>46023</v>
      </c>
      <c r="F7" s="319">
        <v>46054</v>
      </c>
      <c r="G7" s="319">
        <v>46082</v>
      </c>
      <c r="H7" s="319">
        <v>46113</v>
      </c>
      <c r="I7" s="319">
        <v>46143</v>
      </c>
      <c r="J7" s="319">
        <v>46174</v>
      </c>
      <c r="K7" s="319">
        <v>46204</v>
      </c>
      <c r="L7" s="319">
        <v>46235</v>
      </c>
      <c r="M7" s="319">
        <v>46266</v>
      </c>
      <c r="N7" s="319">
        <v>46296</v>
      </c>
      <c r="O7" s="319">
        <v>46327</v>
      </c>
      <c r="P7" s="319">
        <v>46357</v>
      </c>
      <c r="Q7" s="320" t="s">
        <v>8</v>
      </c>
      <c r="R7" s="380"/>
      <c r="S7" s="319">
        <v>46023</v>
      </c>
      <c r="T7" s="319">
        <v>46054</v>
      </c>
      <c r="U7" s="319">
        <v>46082</v>
      </c>
      <c r="V7" s="319">
        <v>46113</v>
      </c>
      <c r="W7" s="319">
        <v>46143</v>
      </c>
      <c r="X7" s="319">
        <v>46174</v>
      </c>
      <c r="Y7" s="319">
        <v>46204</v>
      </c>
      <c r="Z7" s="319">
        <v>46235</v>
      </c>
      <c r="AA7" s="319">
        <v>46266</v>
      </c>
      <c r="AB7" s="319">
        <v>46296</v>
      </c>
      <c r="AC7" s="319">
        <v>46327</v>
      </c>
      <c r="AD7" s="319">
        <v>46357</v>
      </c>
      <c r="AE7" s="336" t="s">
        <v>145</v>
      </c>
    </row>
    <row r="8" spans="1:33" ht="11.65">
      <c r="D8" s="321" t="s">
        <v>3</v>
      </c>
      <c r="E8" s="322">
        <f>SUM(E9:E27)</f>
        <v>61352023012</v>
      </c>
      <c r="F8" s="322">
        <f>SUM(F9:F27)</f>
        <v>146586099975</v>
      </c>
      <c r="G8" s="322">
        <f>SUM(G9:G27)</f>
        <v>90817850714</v>
      </c>
      <c r="H8" s="322">
        <f>SUM(H9:H27)</f>
        <v>138006342444</v>
      </c>
      <c r="I8" s="322">
        <f>SUM(I9:I28)</f>
        <v>211247592323</v>
      </c>
      <c r="J8" s="322">
        <f>SUM(J9:J28)</f>
        <v>196741611577</v>
      </c>
      <c r="K8" s="322">
        <f t="shared" ref="K8:AE8" si="2">SUM(K9:K28)</f>
        <v>0</v>
      </c>
      <c r="L8" s="322">
        <f t="shared" si="2"/>
        <v>0</v>
      </c>
      <c r="M8" s="322">
        <f t="shared" si="2"/>
        <v>0</v>
      </c>
      <c r="N8" s="322">
        <f t="shared" si="2"/>
        <v>0</v>
      </c>
      <c r="O8" s="322">
        <f t="shared" si="2"/>
        <v>0</v>
      </c>
      <c r="P8" s="322">
        <f t="shared" si="2"/>
        <v>0</v>
      </c>
      <c r="Q8" s="322">
        <f>SUM(Q9:Q28)</f>
        <v>844751520045</v>
      </c>
      <c r="R8" s="322">
        <f t="shared" si="2"/>
        <v>3818554922119.6025</v>
      </c>
      <c r="S8" s="365">
        <f t="shared" si="2"/>
        <v>2360.3286658715811</v>
      </c>
      <c r="T8" s="365">
        <f t="shared" si="2"/>
        <v>5618.478343234955</v>
      </c>
      <c r="U8" s="365">
        <f t="shared" si="2"/>
        <v>3444.5062092846856</v>
      </c>
      <c r="V8" s="365">
        <f t="shared" si="2"/>
        <v>5235.6440852839632</v>
      </c>
      <c r="W8" s="365">
        <f t="shared" si="2"/>
        <v>8024.5998983095924</v>
      </c>
      <c r="X8" s="322">
        <f t="shared" si="2"/>
        <v>7479.25</v>
      </c>
      <c r="Y8" s="322">
        <f t="shared" si="2"/>
        <v>0</v>
      </c>
      <c r="Z8" s="322">
        <f t="shared" si="2"/>
        <v>0</v>
      </c>
      <c r="AA8" s="322">
        <f t="shared" si="2"/>
        <v>0</v>
      </c>
      <c r="AB8" s="322">
        <f t="shared" si="2"/>
        <v>0</v>
      </c>
      <c r="AC8" s="322">
        <f t="shared" si="2"/>
        <v>0</v>
      </c>
      <c r="AD8" s="322">
        <f t="shared" si="2"/>
        <v>0</v>
      </c>
      <c r="AE8" s="322">
        <f t="shared" si="2"/>
        <v>32162.807201984779</v>
      </c>
      <c r="AF8" s="270">
        <f>+X8-'[1]IS (01)'!$F$6</f>
        <v>0</v>
      </c>
      <c r="AG8" s="270">
        <f>+AE8-'[1]IS (01)'!$G$6</f>
        <v>7.2019847757474054E-3</v>
      </c>
    </row>
    <row r="9" spans="1:33" ht="11.65">
      <c r="A9" t="s">
        <v>37</v>
      </c>
      <c r="B9" s="307"/>
      <c r="C9" s="307" t="s">
        <v>197</v>
      </c>
      <c r="D9" s="262" t="s">
        <v>133</v>
      </c>
      <c r="E9" s="313">
        <v>1593627000</v>
      </c>
      <c r="F9" s="312">
        <v>1593627000</v>
      </c>
      <c r="G9" s="312">
        <v>2143475816</v>
      </c>
      <c r="H9" s="312"/>
      <c r="I9" s="323"/>
      <c r="J9" s="312"/>
      <c r="K9" s="312"/>
      <c r="L9" s="314"/>
      <c r="M9" s="314"/>
      <c r="N9" s="312"/>
      <c r="O9" s="312"/>
      <c r="P9" s="312"/>
      <c r="Q9" s="324">
        <f>SUM(E9:P9)</f>
        <v>5330729816</v>
      </c>
      <c r="R9" s="325">
        <f>+Q9+'Summary 2025'!Q9</f>
        <v>123969759233</v>
      </c>
      <c r="S9" s="366">
        <f t="shared" ref="S9:S27" si="3">E9/$S$55</f>
        <v>61.309852652637247</v>
      </c>
      <c r="T9" s="366">
        <f t="shared" ref="T9:T27" si="4">F9/$T$55</f>
        <v>61.081908777309316</v>
      </c>
      <c r="U9" s="366">
        <f t="shared" ref="U9:U27" si="5">G9/$U$55</f>
        <v>81.296966396116204</v>
      </c>
      <c r="V9" s="366">
        <f t="shared" ref="V9:V27" si="6">H9/$V$55</f>
        <v>0</v>
      </c>
      <c r="W9" s="366">
        <f t="shared" ref="W9:W28" si="7">I9/$W$55</f>
        <v>0</v>
      </c>
      <c r="X9" s="366">
        <f t="shared" ref="X9:X28" si="8">ROUND(J9/$X$55,2)</f>
        <v>0</v>
      </c>
      <c r="Y9" s="326">
        <f t="shared" ref="Y9:Y27" si="9">K9/$Y$55</f>
        <v>0</v>
      </c>
      <c r="Z9" s="326">
        <f t="shared" ref="Z9:Z27" si="10">ROUND(L9/$Z$55,2)</f>
        <v>0</v>
      </c>
      <c r="AA9" s="326">
        <f t="shared" ref="AA9:AA27" si="11">ROUND(M9/$AA$55,2)</f>
        <v>0</v>
      </c>
      <c r="AB9" s="326">
        <f t="shared" ref="AB9:AB27" si="12">ROUND(N9/$AB$55,2)</f>
        <v>0</v>
      </c>
      <c r="AC9" s="326">
        <f t="shared" ref="AC9:AC27" si="13">ROUND(O9/$AC$55,2)</f>
        <v>0</v>
      </c>
      <c r="AD9" s="326">
        <f t="shared" ref="AD9:AD27" si="14">ROUND(P9/$AD$55,2)</f>
        <v>0</v>
      </c>
      <c r="AE9" s="327">
        <f>SUM(S9:AD9)</f>
        <v>203.68872782606277</v>
      </c>
    </row>
    <row r="10" spans="1:33" ht="11.65">
      <c r="A10" t="s">
        <v>38</v>
      </c>
      <c r="B10" s="308" t="s">
        <v>200</v>
      </c>
      <c r="C10" s="307" t="s">
        <v>198</v>
      </c>
      <c r="D10" s="262" t="s">
        <v>141</v>
      </c>
      <c r="E10" s="312">
        <v>1542200224</v>
      </c>
      <c r="F10" s="312">
        <v>9761784424</v>
      </c>
      <c r="G10" s="312">
        <v>8010675534</v>
      </c>
      <c r="H10" s="312">
        <v>9796332935</v>
      </c>
      <c r="I10" s="313">
        <v>9416448788</v>
      </c>
      <c r="J10" s="312">
        <v>9123243464</v>
      </c>
      <c r="K10" s="312"/>
      <c r="L10" s="314"/>
      <c r="M10" s="314"/>
      <c r="N10" s="312"/>
      <c r="O10" s="312"/>
      <c r="P10" s="312"/>
      <c r="Q10" s="324">
        <f t="shared" ref="Q10:Q19" si="15">SUM(E10:P10)</f>
        <v>47650685369</v>
      </c>
      <c r="R10" s="325">
        <f>+Q10+'Summary 2025'!Q10</f>
        <v>1136854547567.6025</v>
      </c>
      <c r="S10" s="366">
        <f t="shared" si="3"/>
        <v>59.331367060362403</v>
      </c>
      <c r="T10" s="366">
        <f t="shared" si="4"/>
        <v>374.15808447681104</v>
      </c>
      <c r="U10" s="366">
        <f t="shared" si="5"/>
        <v>303.82597034059017</v>
      </c>
      <c r="V10" s="366">
        <f t="shared" si="6"/>
        <v>371.65040157062106</v>
      </c>
      <c r="W10" s="366">
        <f t="shared" si="7"/>
        <v>357.69985899335234</v>
      </c>
      <c r="X10" s="366">
        <f t="shared" si="8"/>
        <v>346.83</v>
      </c>
      <c r="Y10" s="326">
        <f t="shared" si="9"/>
        <v>0</v>
      </c>
      <c r="Z10" s="326">
        <f t="shared" si="10"/>
        <v>0</v>
      </c>
      <c r="AA10" s="326">
        <f t="shared" si="11"/>
        <v>0</v>
      </c>
      <c r="AB10" s="326">
        <f t="shared" si="12"/>
        <v>0</v>
      </c>
      <c r="AC10" s="326">
        <f t="shared" si="13"/>
        <v>0</v>
      </c>
      <c r="AD10" s="326">
        <f t="shared" si="14"/>
        <v>0</v>
      </c>
      <c r="AE10" s="327">
        <f t="shared" ref="AE10:AE17" si="16">SUM(S10:AD10)</f>
        <v>1813.4956824417368</v>
      </c>
      <c r="AF10" s="290"/>
    </row>
    <row r="11" spans="1:33" ht="11.65">
      <c r="A11" t="s">
        <v>229</v>
      </c>
      <c r="B11" s="308"/>
      <c r="C11" s="308" t="s">
        <v>199</v>
      </c>
      <c r="D11" s="262" t="s">
        <v>134</v>
      </c>
      <c r="E11" s="313"/>
      <c r="F11" s="313"/>
      <c r="G11" s="312">
        <v>0</v>
      </c>
      <c r="H11" s="313"/>
      <c r="I11" s="313">
        <v>0</v>
      </c>
      <c r="J11" s="313"/>
      <c r="K11" s="313"/>
      <c r="L11" s="313"/>
      <c r="M11" s="313"/>
      <c r="N11" s="313"/>
      <c r="O11" s="313"/>
      <c r="P11" s="313"/>
      <c r="Q11" s="324">
        <f t="shared" si="15"/>
        <v>0</v>
      </c>
      <c r="R11" s="325">
        <f>+Q11+'Summary 2025'!Q11</f>
        <v>104618100000</v>
      </c>
      <c r="S11" s="366">
        <f t="shared" si="3"/>
        <v>0</v>
      </c>
      <c r="T11" s="366">
        <f t="shared" si="4"/>
        <v>0</v>
      </c>
      <c r="U11" s="366">
        <f t="shared" si="5"/>
        <v>0</v>
      </c>
      <c r="V11" s="366">
        <f t="shared" si="6"/>
        <v>0</v>
      </c>
      <c r="W11" s="366">
        <f t="shared" si="7"/>
        <v>0</v>
      </c>
      <c r="X11" s="366">
        <f t="shared" si="8"/>
        <v>0</v>
      </c>
      <c r="Y11" s="326">
        <f t="shared" si="9"/>
        <v>0</v>
      </c>
      <c r="Z11" s="326">
        <f t="shared" si="10"/>
        <v>0</v>
      </c>
      <c r="AA11" s="326">
        <f t="shared" si="11"/>
        <v>0</v>
      </c>
      <c r="AB11" s="326">
        <f t="shared" si="12"/>
        <v>0</v>
      </c>
      <c r="AC11" s="326">
        <f t="shared" si="13"/>
        <v>0</v>
      </c>
      <c r="AD11" s="326">
        <f t="shared" si="14"/>
        <v>0</v>
      </c>
      <c r="AE11" s="327">
        <f t="shared" si="16"/>
        <v>0</v>
      </c>
      <c r="AF11" s="309"/>
    </row>
    <row r="12" spans="1:33" ht="11.65">
      <c r="A12" t="str">
        <f>+LEFT(D12,6)</f>
        <v>SITE14</v>
      </c>
      <c r="B12" s="308"/>
      <c r="C12" s="308" t="s">
        <v>199</v>
      </c>
      <c r="D12" s="262" t="s">
        <v>137</v>
      </c>
      <c r="E12" s="313">
        <v>4774000000</v>
      </c>
      <c r="F12" s="313"/>
      <c r="G12" s="312">
        <v>0</v>
      </c>
      <c r="H12" s="313"/>
      <c r="I12" s="313">
        <v>0</v>
      </c>
      <c r="J12" s="313"/>
      <c r="K12" s="313"/>
      <c r="L12" s="313"/>
      <c r="M12" s="313"/>
      <c r="N12" s="313"/>
      <c r="O12" s="313"/>
      <c r="P12" s="313"/>
      <c r="Q12" s="324">
        <f t="shared" si="15"/>
        <v>4774000000</v>
      </c>
      <c r="R12" s="325">
        <f>+Q12+'Summary 2025'!Q12</f>
        <v>38192000000</v>
      </c>
      <c r="S12" s="366">
        <f t="shared" si="3"/>
        <v>183.66483283961065</v>
      </c>
      <c r="T12" s="366">
        <f t="shared" si="4"/>
        <v>0</v>
      </c>
      <c r="U12" s="366">
        <f t="shared" si="5"/>
        <v>0</v>
      </c>
      <c r="V12" s="366">
        <f t="shared" si="6"/>
        <v>0</v>
      </c>
      <c r="W12" s="366">
        <f t="shared" si="7"/>
        <v>0</v>
      </c>
      <c r="X12" s="366">
        <f t="shared" si="8"/>
        <v>0</v>
      </c>
      <c r="Y12" s="326">
        <f t="shared" si="9"/>
        <v>0</v>
      </c>
      <c r="Z12" s="326">
        <f t="shared" si="10"/>
        <v>0</v>
      </c>
      <c r="AA12" s="326">
        <f t="shared" si="11"/>
        <v>0</v>
      </c>
      <c r="AB12" s="326">
        <f t="shared" si="12"/>
        <v>0</v>
      </c>
      <c r="AC12" s="326">
        <f t="shared" si="13"/>
        <v>0</v>
      </c>
      <c r="AD12" s="326">
        <f t="shared" si="14"/>
        <v>0</v>
      </c>
      <c r="AE12" s="327">
        <f t="shared" si="16"/>
        <v>183.66483283961065</v>
      </c>
      <c r="AF12" s="309"/>
    </row>
    <row r="13" spans="1:33" ht="11.65">
      <c r="A13" t="str">
        <f t="shared" ref="A13:A54" si="17">+LEFT(D13,6)</f>
        <v>SITE16</v>
      </c>
      <c r="B13" s="308"/>
      <c r="C13" s="308" t="s">
        <v>199</v>
      </c>
      <c r="D13" s="262" t="s">
        <v>139</v>
      </c>
      <c r="E13" s="313"/>
      <c r="F13" s="313"/>
      <c r="G13" s="312">
        <v>0</v>
      </c>
      <c r="H13" s="313"/>
      <c r="I13" s="313">
        <v>0</v>
      </c>
      <c r="J13" s="313"/>
      <c r="K13" s="313"/>
      <c r="L13" s="313"/>
      <c r="M13" s="313"/>
      <c r="N13" s="313"/>
      <c r="O13" s="313"/>
      <c r="P13" s="313"/>
      <c r="Q13" s="324">
        <f t="shared" si="15"/>
        <v>0</v>
      </c>
      <c r="R13" s="325">
        <f>+Q13+'Summary 2025'!Q13</f>
        <v>39781808000</v>
      </c>
      <c r="S13" s="366">
        <f t="shared" si="3"/>
        <v>0</v>
      </c>
      <c r="T13" s="366">
        <f t="shared" si="4"/>
        <v>0</v>
      </c>
      <c r="U13" s="366">
        <f t="shared" si="5"/>
        <v>0</v>
      </c>
      <c r="V13" s="366">
        <f t="shared" si="6"/>
        <v>0</v>
      </c>
      <c r="W13" s="366">
        <f t="shared" si="7"/>
        <v>0</v>
      </c>
      <c r="X13" s="366">
        <f t="shared" si="8"/>
        <v>0</v>
      </c>
      <c r="Y13" s="326">
        <f t="shared" si="9"/>
        <v>0</v>
      </c>
      <c r="Z13" s="326">
        <f t="shared" si="10"/>
        <v>0</v>
      </c>
      <c r="AA13" s="326">
        <f t="shared" si="11"/>
        <v>0</v>
      </c>
      <c r="AB13" s="326">
        <f t="shared" si="12"/>
        <v>0</v>
      </c>
      <c r="AC13" s="326">
        <f t="shared" si="13"/>
        <v>0</v>
      </c>
      <c r="AD13" s="326">
        <f t="shared" si="14"/>
        <v>0</v>
      </c>
      <c r="AE13" s="327">
        <f t="shared" si="16"/>
        <v>0</v>
      </c>
      <c r="AF13" s="309"/>
    </row>
    <row r="14" spans="1:33" ht="11.65">
      <c r="A14" t="str">
        <f t="shared" si="17"/>
        <v>SITE17</v>
      </c>
      <c r="B14" s="308"/>
      <c r="C14" s="308" t="s">
        <v>199</v>
      </c>
      <c r="D14" s="262" t="s">
        <v>140</v>
      </c>
      <c r="E14" s="313">
        <v>18604651000</v>
      </c>
      <c r="F14" s="313"/>
      <c r="G14" s="312">
        <v>9302325000</v>
      </c>
      <c r="H14" s="313"/>
      <c r="I14" s="313">
        <v>0</v>
      </c>
      <c r="J14" s="313"/>
      <c r="K14" s="313"/>
      <c r="L14" s="318"/>
      <c r="M14" s="313"/>
      <c r="N14" s="313"/>
      <c r="O14" s="313"/>
      <c r="P14" s="313"/>
      <c r="Q14" s="324">
        <f t="shared" si="15"/>
        <v>27906976000</v>
      </c>
      <c r="R14" s="325">
        <f>+Q14+'Summary 2025'!Q14</f>
        <v>27906976000</v>
      </c>
      <c r="S14" s="366">
        <f t="shared" si="3"/>
        <v>715.75620359327513</v>
      </c>
      <c r="T14" s="366">
        <f t="shared" si="4"/>
        <v>0</v>
      </c>
      <c r="U14" s="366">
        <f t="shared" si="5"/>
        <v>352.8151786391565</v>
      </c>
      <c r="V14" s="366">
        <f t="shared" si="6"/>
        <v>0</v>
      </c>
      <c r="W14" s="366">
        <f t="shared" si="7"/>
        <v>0</v>
      </c>
      <c r="X14" s="366">
        <f t="shared" si="8"/>
        <v>0</v>
      </c>
      <c r="Y14" s="326">
        <f t="shared" si="9"/>
        <v>0</v>
      </c>
      <c r="Z14" s="326">
        <f t="shared" si="10"/>
        <v>0</v>
      </c>
      <c r="AA14" s="326">
        <f t="shared" si="11"/>
        <v>0</v>
      </c>
      <c r="AB14" s="326">
        <f t="shared" si="12"/>
        <v>0</v>
      </c>
      <c r="AC14" s="326">
        <f t="shared" si="13"/>
        <v>0</v>
      </c>
      <c r="AD14" s="326">
        <f t="shared" si="14"/>
        <v>0</v>
      </c>
      <c r="AE14" s="327">
        <f t="shared" si="16"/>
        <v>1068.5713822324317</v>
      </c>
      <c r="AF14" s="309"/>
    </row>
    <row r="15" spans="1:33" ht="11.65">
      <c r="A15" t="str">
        <f t="shared" si="17"/>
        <v>SITE18</v>
      </c>
      <c r="B15" s="308" t="s">
        <v>201</v>
      </c>
      <c r="C15" s="308" t="s">
        <v>198</v>
      </c>
      <c r="D15" s="263" t="s">
        <v>230</v>
      </c>
      <c r="E15" s="313">
        <v>2072675730</v>
      </c>
      <c r="F15" s="313">
        <v>33496121350</v>
      </c>
      <c r="G15" s="312">
        <v>15563253849</v>
      </c>
      <c r="H15" s="313">
        <v>38519575773</v>
      </c>
      <c r="I15" s="313">
        <v>76324301108</v>
      </c>
      <c r="J15" s="313">
        <v>107210623606</v>
      </c>
      <c r="K15" s="313"/>
      <c r="L15" s="318"/>
      <c r="M15" s="313"/>
      <c r="N15" s="313"/>
      <c r="O15" s="313"/>
      <c r="P15" s="313"/>
      <c r="Q15" s="324">
        <f t="shared" si="15"/>
        <v>273186551416</v>
      </c>
      <c r="R15" s="325">
        <f>+Q15+'Summary 2025'!Q15</f>
        <v>411913028309</v>
      </c>
      <c r="S15" s="366">
        <f t="shared" si="3"/>
        <v>79.739765706151658</v>
      </c>
      <c r="T15" s="366">
        <f t="shared" si="4"/>
        <v>1283.8682004599464</v>
      </c>
      <c r="U15" s="366">
        <f t="shared" si="5"/>
        <v>590.27739698854589</v>
      </c>
      <c r="V15" s="366">
        <f t="shared" si="6"/>
        <v>1461.3443519481011</v>
      </c>
      <c r="W15" s="366">
        <f t="shared" si="7"/>
        <v>2899.3086840645774</v>
      </c>
      <c r="X15" s="366">
        <f t="shared" si="8"/>
        <v>4075.67</v>
      </c>
      <c r="Y15" s="326">
        <f t="shared" si="9"/>
        <v>0</v>
      </c>
      <c r="Z15" s="326">
        <f t="shared" si="10"/>
        <v>0</v>
      </c>
      <c r="AA15" s="326">
        <f t="shared" si="11"/>
        <v>0</v>
      </c>
      <c r="AB15" s="326">
        <f t="shared" si="12"/>
        <v>0</v>
      </c>
      <c r="AC15" s="326">
        <f t="shared" si="13"/>
        <v>0</v>
      </c>
      <c r="AD15" s="326">
        <f t="shared" si="14"/>
        <v>0</v>
      </c>
      <c r="AE15" s="327">
        <f t="shared" si="16"/>
        <v>10390.208399167323</v>
      </c>
      <c r="AF15" s="363"/>
    </row>
    <row r="16" spans="1:33" ht="11.65">
      <c r="A16" t="str">
        <f t="shared" si="17"/>
        <v>SITE20</v>
      </c>
      <c r="B16" s="308"/>
      <c r="C16" s="308" t="s">
        <v>199</v>
      </c>
      <c r="D16" s="263" t="s">
        <v>231</v>
      </c>
      <c r="E16" s="313"/>
      <c r="F16" s="313"/>
      <c r="G16" s="312">
        <v>0</v>
      </c>
      <c r="H16" s="313"/>
      <c r="I16" s="313">
        <v>0</v>
      </c>
      <c r="J16" s="313"/>
      <c r="K16" s="313"/>
      <c r="L16" s="313"/>
      <c r="M16" s="313"/>
      <c r="N16" s="313"/>
      <c r="O16" s="313"/>
      <c r="P16" s="313"/>
      <c r="Q16" s="324">
        <f t="shared" si="15"/>
        <v>0</v>
      </c>
      <c r="R16" s="325">
        <f>+Q16+'Summary 2025'!Q16</f>
        <v>23822780000</v>
      </c>
      <c r="S16" s="366">
        <f t="shared" si="3"/>
        <v>0</v>
      </c>
      <c r="T16" s="366">
        <f t="shared" si="4"/>
        <v>0</v>
      </c>
      <c r="U16" s="366">
        <f t="shared" si="5"/>
        <v>0</v>
      </c>
      <c r="V16" s="366">
        <f t="shared" si="6"/>
        <v>0</v>
      </c>
      <c r="W16" s="366">
        <f t="shared" si="7"/>
        <v>0</v>
      </c>
      <c r="X16" s="366">
        <f t="shared" si="8"/>
        <v>0</v>
      </c>
      <c r="Y16" s="326">
        <f t="shared" si="9"/>
        <v>0</v>
      </c>
      <c r="Z16" s="326">
        <f t="shared" si="10"/>
        <v>0</v>
      </c>
      <c r="AA16" s="326">
        <f t="shared" si="11"/>
        <v>0</v>
      </c>
      <c r="AB16" s="326">
        <f t="shared" si="12"/>
        <v>0</v>
      </c>
      <c r="AC16" s="326">
        <f t="shared" si="13"/>
        <v>0</v>
      </c>
      <c r="AD16" s="326">
        <f t="shared" si="14"/>
        <v>0</v>
      </c>
      <c r="AE16" s="327">
        <f t="shared" si="16"/>
        <v>0</v>
      </c>
      <c r="AF16" s="309"/>
    </row>
    <row r="17" spans="1:33" ht="11.65">
      <c r="A17" t="str">
        <f t="shared" si="17"/>
        <v>SITE22</v>
      </c>
      <c r="B17" s="308"/>
      <c r="C17" s="308" t="s">
        <v>197</v>
      </c>
      <c r="D17" s="263" t="s">
        <v>232</v>
      </c>
      <c r="E17" s="313">
        <v>2408912500</v>
      </c>
      <c r="F17" s="313">
        <v>2408912500</v>
      </c>
      <c r="G17" s="312">
        <v>2408912500</v>
      </c>
      <c r="H17" s="313"/>
      <c r="I17" s="313">
        <v>0</v>
      </c>
      <c r="J17" s="313"/>
      <c r="K17" s="313"/>
      <c r="L17" s="313"/>
      <c r="M17" s="314"/>
      <c r="N17" s="313"/>
      <c r="O17" s="313"/>
      <c r="P17" s="313"/>
      <c r="Q17" s="324">
        <f t="shared" si="15"/>
        <v>7226737500</v>
      </c>
      <c r="R17" s="325">
        <f>+Q17+'Summary 2025'!Q17</f>
        <v>78652162500</v>
      </c>
      <c r="S17" s="366">
        <f t="shared" si="3"/>
        <v>92.675431847035739</v>
      </c>
      <c r="T17" s="366">
        <f t="shared" si="4"/>
        <v>92.330873898045226</v>
      </c>
      <c r="U17" s="366">
        <f t="shared" si="5"/>
        <v>91.364351816733674</v>
      </c>
      <c r="V17" s="366">
        <f t="shared" si="6"/>
        <v>0</v>
      </c>
      <c r="W17" s="366">
        <f t="shared" si="7"/>
        <v>0</v>
      </c>
      <c r="X17" s="366">
        <f t="shared" si="8"/>
        <v>0</v>
      </c>
      <c r="Y17" s="326">
        <f t="shared" si="9"/>
        <v>0</v>
      </c>
      <c r="Z17" s="326">
        <f t="shared" si="10"/>
        <v>0</v>
      </c>
      <c r="AA17" s="326">
        <f t="shared" si="11"/>
        <v>0</v>
      </c>
      <c r="AB17" s="326">
        <f t="shared" si="12"/>
        <v>0</v>
      </c>
      <c r="AC17" s="326">
        <f t="shared" si="13"/>
        <v>0</v>
      </c>
      <c r="AD17" s="326">
        <f t="shared" si="14"/>
        <v>0</v>
      </c>
      <c r="AE17" s="327">
        <f t="shared" si="16"/>
        <v>276.37065756181465</v>
      </c>
      <c r="AF17" s="309"/>
    </row>
    <row r="18" spans="1:33" ht="11.65">
      <c r="A18" t="str">
        <f t="shared" si="17"/>
        <v>SITE23</v>
      </c>
      <c r="B18" s="308" t="s">
        <v>201</v>
      </c>
      <c r="C18" s="308" t="s">
        <v>198</v>
      </c>
      <c r="D18" s="263" t="s">
        <v>233</v>
      </c>
      <c r="E18" s="313">
        <v>4018874509</v>
      </c>
      <c r="F18" s="313">
        <v>78676711142</v>
      </c>
      <c r="G18" s="312">
        <v>40952922858</v>
      </c>
      <c r="H18" s="313">
        <v>82851641855</v>
      </c>
      <c r="I18" s="313">
        <v>123232335065</v>
      </c>
      <c r="J18" s="313">
        <v>79253367236</v>
      </c>
      <c r="K18" s="313"/>
      <c r="L18" s="313"/>
      <c r="M18" s="313"/>
      <c r="N18" s="313"/>
      <c r="O18" s="313"/>
      <c r="P18" s="313"/>
      <c r="Q18" s="324">
        <f t="shared" si="15"/>
        <v>408985852665</v>
      </c>
      <c r="R18" s="325">
        <f>+Q18+'Summary 2025'!Q18</f>
        <v>1285939405969</v>
      </c>
      <c r="S18" s="366">
        <f t="shared" si="3"/>
        <v>154.61372327165006</v>
      </c>
      <c r="T18" s="366">
        <f t="shared" si="4"/>
        <v>3015.5887750862398</v>
      </c>
      <c r="U18" s="366">
        <f t="shared" si="5"/>
        <v>1553.2474724266101</v>
      </c>
      <c r="V18" s="366">
        <f t="shared" si="6"/>
        <v>3143.2012540308815</v>
      </c>
      <c r="W18" s="366">
        <f t="shared" si="7"/>
        <v>4681.1903158594496</v>
      </c>
      <c r="X18" s="366">
        <f t="shared" si="8"/>
        <v>3012.86</v>
      </c>
      <c r="Y18" s="326">
        <f t="shared" si="9"/>
        <v>0</v>
      </c>
      <c r="Z18" s="326">
        <f t="shared" si="10"/>
        <v>0</v>
      </c>
      <c r="AA18" s="326">
        <f t="shared" si="11"/>
        <v>0</v>
      </c>
      <c r="AB18" s="326">
        <f t="shared" si="12"/>
        <v>0</v>
      </c>
      <c r="AC18" s="326">
        <f t="shared" si="13"/>
        <v>0</v>
      </c>
      <c r="AD18" s="326">
        <f t="shared" si="14"/>
        <v>0</v>
      </c>
      <c r="AE18" s="327">
        <f>SUM(S18:AD18)</f>
        <v>15560.701540674832</v>
      </c>
      <c r="AF18" s="364"/>
    </row>
    <row r="19" spans="1:33" ht="11.65">
      <c r="A19" t="str">
        <f t="shared" si="17"/>
        <v>SITE27</v>
      </c>
      <c r="B19" s="308" t="s">
        <v>201</v>
      </c>
      <c r="C19" s="308" t="s">
        <v>198</v>
      </c>
      <c r="D19" s="263" t="s">
        <v>234</v>
      </c>
      <c r="E19" s="313"/>
      <c r="F19" s="313"/>
      <c r="G19" s="312">
        <v>0</v>
      </c>
      <c r="H19" s="313">
        <v>3152813293</v>
      </c>
      <c r="I19" s="313">
        <v>0</v>
      </c>
      <c r="J19" s="313"/>
      <c r="K19" s="313"/>
      <c r="L19" s="313"/>
      <c r="M19" s="313"/>
      <c r="N19" s="313"/>
      <c r="O19" s="313"/>
      <c r="P19" s="313"/>
      <c r="Q19" s="324">
        <f t="shared" si="15"/>
        <v>3152813293</v>
      </c>
      <c r="R19" s="325">
        <f>+Q19+'Summary 2025'!Q19</f>
        <v>45888984025</v>
      </c>
      <c r="S19" s="366">
        <f t="shared" si="3"/>
        <v>0</v>
      </c>
      <c r="T19" s="366">
        <f t="shared" si="4"/>
        <v>0</v>
      </c>
      <c r="U19" s="366">
        <f t="shared" si="5"/>
        <v>0</v>
      </c>
      <c r="V19" s="366">
        <f t="shared" si="6"/>
        <v>119.61050468530672</v>
      </c>
      <c r="W19" s="366">
        <f t="shared" si="7"/>
        <v>0</v>
      </c>
      <c r="X19" s="366">
        <f t="shared" si="8"/>
        <v>0</v>
      </c>
      <c r="Y19" s="326">
        <f t="shared" si="9"/>
        <v>0</v>
      </c>
      <c r="Z19" s="326">
        <f t="shared" si="10"/>
        <v>0</v>
      </c>
      <c r="AA19" s="326">
        <f t="shared" si="11"/>
        <v>0</v>
      </c>
      <c r="AB19" s="326">
        <f t="shared" si="12"/>
        <v>0</v>
      </c>
      <c r="AC19" s="326">
        <f t="shared" si="13"/>
        <v>0</v>
      </c>
      <c r="AD19" s="326">
        <f t="shared" si="14"/>
        <v>0</v>
      </c>
      <c r="AE19" s="327">
        <f t="shared" ref="AE19:AE25" si="18">SUM(S19:AD19)</f>
        <v>119.61050468530672</v>
      </c>
      <c r="AF19" s="363"/>
    </row>
    <row r="20" spans="1:33" ht="11.65">
      <c r="A20" t="str">
        <f t="shared" si="17"/>
        <v>SITE28</v>
      </c>
      <c r="B20" s="308" t="s">
        <v>200</v>
      </c>
      <c r="C20" s="308" t="s">
        <v>198</v>
      </c>
      <c r="D20" s="263" t="s">
        <v>235</v>
      </c>
      <c r="E20" s="313"/>
      <c r="F20" s="313"/>
      <c r="G20" s="312">
        <v>0</v>
      </c>
      <c r="H20" s="313"/>
      <c r="I20" s="313">
        <v>-1814718058</v>
      </c>
      <c r="J20" s="313"/>
      <c r="K20" s="313"/>
      <c r="L20" s="313"/>
      <c r="M20" s="313"/>
      <c r="N20" s="313"/>
      <c r="O20" s="313"/>
      <c r="P20" s="313"/>
      <c r="Q20" s="324">
        <f>SUM(E20:P20)</f>
        <v>-1814718058</v>
      </c>
      <c r="R20" s="325">
        <f>+Q20+'Summary 2025'!Q20</f>
        <v>213814433247</v>
      </c>
      <c r="S20" s="366">
        <f t="shared" si="3"/>
        <v>0</v>
      </c>
      <c r="T20" s="366">
        <f t="shared" si="4"/>
        <v>0</v>
      </c>
      <c r="U20" s="366">
        <f t="shared" si="5"/>
        <v>0</v>
      </c>
      <c r="V20" s="366">
        <f t="shared" si="6"/>
        <v>0</v>
      </c>
      <c r="W20" s="366">
        <f t="shared" si="7"/>
        <v>-68.935158898385566</v>
      </c>
      <c r="X20" s="366">
        <f t="shared" si="8"/>
        <v>0</v>
      </c>
      <c r="Y20" s="326">
        <f t="shared" si="9"/>
        <v>0</v>
      </c>
      <c r="Z20" s="326">
        <f t="shared" si="10"/>
        <v>0</v>
      </c>
      <c r="AA20" s="326">
        <f t="shared" si="11"/>
        <v>0</v>
      </c>
      <c r="AB20" s="326">
        <f t="shared" si="12"/>
        <v>0</v>
      </c>
      <c r="AC20" s="326">
        <f t="shared" si="13"/>
        <v>0</v>
      </c>
      <c r="AD20" s="326">
        <f t="shared" si="14"/>
        <v>0</v>
      </c>
      <c r="AE20" s="327">
        <f t="shared" si="18"/>
        <v>-68.935158898385566</v>
      </c>
      <c r="AF20" s="363"/>
    </row>
    <row r="21" spans="1:33" ht="11.65">
      <c r="A21" t="str">
        <f t="shared" si="17"/>
        <v>SITE30</v>
      </c>
      <c r="B21" s="308"/>
      <c r="C21" s="308" t="s">
        <v>199</v>
      </c>
      <c r="D21" s="263" t="s">
        <v>236</v>
      </c>
      <c r="E21" s="313">
        <v>26161676872</v>
      </c>
      <c r="F21" s="313">
        <v>18559516555</v>
      </c>
      <c r="G21" s="312">
        <v>4611506400</v>
      </c>
      <c r="H21" s="313"/>
      <c r="I21" s="313">
        <v>2553696661</v>
      </c>
      <c r="J21" s="313"/>
      <c r="K21" s="313"/>
      <c r="L21" s="313"/>
      <c r="M21" s="313"/>
      <c r="N21" s="313"/>
      <c r="O21" s="313"/>
      <c r="P21" s="313"/>
      <c r="Q21" s="324">
        <f t="shared" ref="Q21" si="19">SUM(E21:P21)</f>
        <v>51886396488</v>
      </c>
      <c r="R21" s="325">
        <f>+Q21+'Summary 2025'!Q22</f>
        <v>237856652925</v>
      </c>
      <c r="S21" s="366">
        <f t="shared" si="3"/>
        <v>1006.4893191243797</v>
      </c>
      <c r="T21" s="366">
        <f t="shared" si="4"/>
        <v>711.36514200843237</v>
      </c>
      <c r="U21" s="366">
        <f t="shared" si="5"/>
        <v>174.90352726996889</v>
      </c>
      <c r="V21" s="366">
        <f t="shared" si="6"/>
        <v>0</v>
      </c>
      <c r="W21" s="366">
        <f t="shared" si="7"/>
        <v>97.006520835707505</v>
      </c>
      <c r="X21" s="366">
        <f t="shared" si="8"/>
        <v>0</v>
      </c>
      <c r="Y21" s="326">
        <f t="shared" si="9"/>
        <v>0</v>
      </c>
      <c r="Z21" s="326">
        <f t="shared" si="10"/>
        <v>0</v>
      </c>
      <c r="AA21" s="326">
        <f t="shared" si="11"/>
        <v>0</v>
      </c>
      <c r="AB21" s="326">
        <f t="shared" si="12"/>
        <v>0</v>
      </c>
      <c r="AC21" s="326">
        <f t="shared" si="13"/>
        <v>0</v>
      </c>
      <c r="AD21" s="326">
        <f t="shared" si="14"/>
        <v>0</v>
      </c>
      <c r="AE21" s="327">
        <f t="shared" si="18"/>
        <v>1989.7645092384885</v>
      </c>
      <c r="AF21" s="309"/>
    </row>
    <row r="22" spans="1:33" ht="11.65">
      <c r="A22" t="str">
        <f t="shared" si="17"/>
        <v>SITE31</v>
      </c>
      <c r="B22" s="308"/>
      <c r="C22" s="308" t="s">
        <v>199</v>
      </c>
      <c r="D22" s="263" t="s">
        <v>237</v>
      </c>
      <c r="E22" s="313"/>
      <c r="F22" s="313"/>
      <c r="G22" s="312">
        <v>0</v>
      </c>
      <c r="H22" s="313"/>
      <c r="I22" s="313">
        <v>0</v>
      </c>
      <c r="J22" s="313"/>
      <c r="K22" s="313"/>
      <c r="L22" s="313"/>
      <c r="M22" s="313"/>
      <c r="N22" s="313"/>
      <c r="O22" s="313"/>
      <c r="P22" s="313"/>
      <c r="Q22" s="324">
        <f t="shared" ref="Q22:Q23" si="20">SUM(E22:P22)</f>
        <v>0</v>
      </c>
      <c r="R22" s="325">
        <f>+Q22+'Summary 2025'!Q23</f>
        <v>0</v>
      </c>
      <c r="S22" s="366">
        <f t="shared" si="3"/>
        <v>0</v>
      </c>
      <c r="T22" s="366">
        <f t="shared" si="4"/>
        <v>0</v>
      </c>
      <c r="U22" s="366">
        <f t="shared" si="5"/>
        <v>0</v>
      </c>
      <c r="V22" s="366">
        <f t="shared" si="6"/>
        <v>0</v>
      </c>
      <c r="W22" s="366">
        <f t="shared" si="7"/>
        <v>0</v>
      </c>
      <c r="X22" s="366">
        <f t="shared" si="8"/>
        <v>0</v>
      </c>
      <c r="Y22" s="326">
        <f t="shared" si="9"/>
        <v>0</v>
      </c>
      <c r="Z22" s="326">
        <f t="shared" si="10"/>
        <v>0</v>
      </c>
      <c r="AA22" s="326">
        <f t="shared" si="11"/>
        <v>0</v>
      </c>
      <c r="AB22" s="326">
        <f t="shared" si="12"/>
        <v>0</v>
      </c>
      <c r="AC22" s="326">
        <f t="shared" si="13"/>
        <v>0</v>
      </c>
      <c r="AD22" s="326">
        <f t="shared" si="14"/>
        <v>0</v>
      </c>
      <c r="AE22" s="327">
        <f t="shared" si="18"/>
        <v>0</v>
      </c>
      <c r="AF22" s="309"/>
    </row>
    <row r="23" spans="1:33" ht="11.65">
      <c r="A23" t="str">
        <f t="shared" si="17"/>
        <v>SITE34</v>
      </c>
      <c r="B23" s="308" t="s">
        <v>201</v>
      </c>
      <c r="C23" s="308" t="s">
        <v>198</v>
      </c>
      <c r="D23" s="263" t="s">
        <v>238</v>
      </c>
      <c r="E23" s="313">
        <v>175405177</v>
      </c>
      <c r="F23" s="313">
        <v>211832004</v>
      </c>
      <c r="G23" s="312">
        <v>1390742757</v>
      </c>
      <c r="H23" s="313">
        <v>2077469588</v>
      </c>
      <c r="I23" s="313">
        <v>76396453</v>
      </c>
      <c r="J23" s="313">
        <v>-609878672</v>
      </c>
      <c r="K23" s="313"/>
      <c r="L23" s="313"/>
      <c r="M23" s="313"/>
      <c r="N23" s="313"/>
      <c r="O23" s="313"/>
      <c r="P23" s="313"/>
      <c r="Q23" s="324">
        <f t="shared" si="20"/>
        <v>3321967307</v>
      </c>
      <c r="R23" s="325">
        <f>+Q23+'Summary 2025'!Q26</f>
        <v>20334632038</v>
      </c>
      <c r="S23" s="366">
        <f t="shared" si="3"/>
        <v>6.7481697764782824</v>
      </c>
      <c r="T23" s="366">
        <f t="shared" si="4"/>
        <v>8.1192795707167491</v>
      </c>
      <c r="U23" s="366">
        <f t="shared" si="5"/>
        <v>52.747582378821207</v>
      </c>
      <c r="V23" s="366">
        <f t="shared" si="6"/>
        <v>78.814431048218822</v>
      </c>
      <c r="W23" s="366">
        <f t="shared" si="7"/>
        <v>2.9020494966761632</v>
      </c>
      <c r="X23" s="366">
        <f t="shared" si="8"/>
        <v>-23.18</v>
      </c>
      <c r="Y23" s="326">
        <f t="shared" si="9"/>
        <v>0</v>
      </c>
      <c r="Z23" s="326">
        <f t="shared" si="10"/>
        <v>0</v>
      </c>
      <c r="AA23" s="326">
        <f t="shared" si="11"/>
        <v>0</v>
      </c>
      <c r="AB23" s="326">
        <f t="shared" si="12"/>
        <v>0</v>
      </c>
      <c r="AC23" s="326">
        <f t="shared" si="13"/>
        <v>0</v>
      </c>
      <c r="AD23" s="326">
        <f t="shared" si="14"/>
        <v>0</v>
      </c>
      <c r="AE23" s="327">
        <f t="shared" si="18"/>
        <v>126.15151227091121</v>
      </c>
      <c r="AF23" s="363"/>
    </row>
    <row r="24" spans="1:33" ht="11.65">
      <c r="A24" t="str">
        <f t="shared" si="17"/>
        <v>SITE35</v>
      </c>
      <c r="B24" s="308"/>
      <c r="C24" s="308" t="s">
        <v>199</v>
      </c>
      <c r="D24" s="263" t="s">
        <v>239</v>
      </c>
      <c r="E24" s="313"/>
      <c r="F24" s="313"/>
      <c r="G24" s="312">
        <v>0</v>
      </c>
      <c r="H24" s="313"/>
      <c r="I24" s="313">
        <v>0</v>
      </c>
      <c r="J24" s="313"/>
      <c r="K24" s="313"/>
      <c r="L24" s="313"/>
      <c r="M24" s="313"/>
      <c r="N24" s="313"/>
      <c r="O24" s="313"/>
      <c r="P24" s="313"/>
      <c r="Q24" s="324">
        <f>SUM(E24:P24)</f>
        <v>0</v>
      </c>
      <c r="R24" s="325">
        <f>+Q24+'Summary 2025'!Q27</f>
        <v>10120000000</v>
      </c>
      <c r="S24" s="366">
        <f t="shared" si="3"/>
        <v>0</v>
      </c>
      <c r="T24" s="366">
        <f t="shared" si="4"/>
        <v>0</v>
      </c>
      <c r="U24" s="366">
        <f t="shared" si="5"/>
        <v>0</v>
      </c>
      <c r="V24" s="366">
        <f t="shared" si="6"/>
        <v>0</v>
      </c>
      <c r="W24" s="366">
        <f t="shared" si="7"/>
        <v>0</v>
      </c>
      <c r="X24" s="366">
        <f t="shared" si="8"/>
        <v>0</v>
      </c>
      <c r="Y24" s="326">
        <f t="shared" si="9"/>
        <v>0</v>
      </c>
      <c r="Z24" s="326">
        <f t="shared" si="10"/>
        <v>0</v>
      </c>
      <c r="AA24" s="326">
        <f t="shared" si="11"/>
        <v>0</v>
      </c>
      <c r="AB24" s="326">
        <f t="shared" si="12"/>
        <v>0</v>
      </c>
      <c r="AC24" s="326">
        <f t="shared" si="13"/>
        <v>0</v>
      </c>
      <c r="AD24" s="326">
        <f t="shared" si="14"/>
        <v>0</v>
      </c>
      <c r="AE24" s="327">
        <f t="shared" si="18"/>
        <v>0</v>
      </c>
      <c r="AF24" s="309"/>
    </row>
    <row r="25" spans="1:33" ht="11.65">
      <c r="A25" t="str">
        <f t="shared" si="17"/>
        <v>SITE36</v>
      </c>
      <c r="B25" s="308"/>
      <c r="C25" s="308" t="s">
        <v>199</v>
      </c>
      <c r="D25" s="263" t="s">
        <v>240</v>
      </c>
      <c r="E25" s="313"/>
      <c r="F25" s="313">
        <v>1877595000</v>
      </c>
      <c r="G25" s="312">
        <v>0</v>
      </c>
      <c r="H25" s="313"/>
      <c r="I25" s="313">
        <v>0</v>
      </c>
      <c r="J25" s="313"/>
      <c r="K25" s="313"/>
      <c r="L25" s="313"/>
      <c r="M25" s="313"/>
      <c r="N25" s="313"/>
      <c r="O25" s="313"/>
      <c r="P25" s="313"/>
      <c r="Q25" s="324">
        <f>SUM(E25:P25)</f>
        <v>1877595000</v>
      </c>
      <c r="R25" s="325">
        <f>+Q25+'Summary 2025'!Q28</f>
        <v>9387975000</v>
      </c>
      <c r="S25" s="366">
        <f t="shared" si="3"/>
        <v>0</v>
      </c>
      <c r="T25" s="366">
        <f t="shared" si="4"/>
        <v>71.966078957454968</v>
      </c>
      <c r="U25" s="366">
        <f t="shared" si="5"/>
        <v>0</v>
      </c>
      <c r="V25" s="366">
        <f t="shared" si="6"/>
        <v>0</v>
      </c>
      <c r="W25" s="366">
        <f t="shared" si="7"/>
        <v>0</v>
      </c>
      <c r="X25" s="366">
        <f t="shared" si="8"/>
        <v>0</v>
      </c>
      <c r="Y25" s="326">
        <f t="shared" si="9"/>
        <v>0</v>
      </c>
      <c r="Z25" s="326">
        <f t="shared" si="10"/>
        <v>0</v>
      </c>
      <c r="AA25" s="326">
        <f t="shared" si="11"/>
        <v>0</v>
      </c>
      <c r="AB25" s="326">
        <f t="shared" si="12"/>
        <v>0</v>
      </c>
      <c r="AC25" s="326">
        <f t="shared" si="13"/>
        <v>0</v>
      </c>
      <c r="AD25" s="326">
        <f t="shared" si="14"/>
        <v>0</v>
      </c>
      <c r="AE25" s="327">
        <f t="shared" si="18"/>
        <v>71.966078957454968</v>
      </c>
    </row>
    <row r="26" spans="1:33" ht="11.65">
      <c r="A26" t="str">
        <f t="shared" si="17"/>
        <v>SITE37</v>
      </c>
      <c r="B26" s="308"/>
      <c r="C26" s="308" t="s">
        <v>199</v>
      </c>
      <c r="D26" s="263" t="s">
        <v>241</v>
      </c>
      <c r="E26" s="313"/>
      <c r="F26" s="313"/>
      <c r="G26" s="312">
        <v>6434036000</v>
      </c>
      <c r="H26" s="313">
        <v>1608509000</v>
      </c>
      <c r="I26" s="313">
        <v>0</v>
      </c>
      <c r="J26" s="313"/>
      <c r="K26" s="313"/>
      <c r="L26" s="313"/>
      <c r="M26" s="313"/>
      <c r="N26" s="313"/>
      <c r="O26" s="313"/>
      <c r="P26" s="313"/>
      <c r="Q26" s="324">
        <f>SUM(E26:P26)</f>
        <v>8042545000</v>
      </c>
      <c r="R26" s="325">
        <f>+Q26</f>
        <v>8042545000</v>
      </c>
      <c r="S26" s="366">
        <f t="shared" si="3"/>
        <v>0</v>
      </c>
      <c r="T26" s="366">
        <f t="shared" si="4"/>
        <v>0</v>
      </c>
      <c r="U26" s="366">
        <f t="shared" si="5"/>
        <v>244.02776302814232</v>
      </c>
      <c r="V26" s="366">
        <f t="shared" si="6"/>
        <v>61.023142000834632</v>
      </c>
      <c r="W26" s="366">
        <f t="shared" si="7"/>
        <v>0</v>
      </c>
      <c r="X26" s="366">
        <f t="shared" si="8"/>
        <v>0</v>
      </c>
      <c r="Y26" s="326">
        <f t="shared" si="9"/>
        <v>0</v>
      </c>
      <c r="Z26" s="326">
        <f t="shared" si="10"/>
        <v>0</v>
      </c>
      <c r="AA26" s="326">
        <f t="shared" si="11"/>
        <v>0</v>
      </c>
      <c r="AB26" s="326">
        <f t="shared" si="12"/>
        <v>0</v>
      </c>
      <c r="AC26" s="326">
        <f t="shared" si="13"/>
        <v>0</v>
      </c>
      <c r="AD26" s="326">
        <f t="shared" si="14"/>
        <v>0</v>
      </c>
      <c r="AE26" s="327">
        <f t="shared" ref="AE26" si="21">SUM(S26:AD26)</f>
        <v>305.05090502897696</v>
      </c>
    </row>
    <row r="27" spans="1:33" ht="13.5" customHeight="1">
      <c r="A27" t="str">
        <f t="shared" si="17"/>
        <v>SITE38</v>
      </c>
      <c r="B27" s="308"/>
      <c r="C27" s="308" t="s">
        <v>198</v>
      </c>
      <c r="D27" s="263" t="s">
        <v>242</v>
      </c>
      <c r="E27" s="313"/>
      <c r="F27" s="313"/>
      <c r="G27" s="312">
        <v>0</v>
      </c>
      <c r="H27" s="313"/>
      <c r="I27" s="313">
        <v>0</v>
      </c>
      <c r="J27" s="313"/>
      <c r="K27" s="313"/>
      <c r="L27" s="313"/>
      <c r="M27" s="313"/>
      <c r="N27" s="313"/>
      <c r="O27" s="313"/>
      <c r="P27" s="313"/>
      <c r="Q27" s="324">
        <f t="shared" ref="Q27:Q28" si="22">SUM(E27:P27)</f>
        <v>0</v>
      </c>
      <c r="R27" s="325">
        <f>+Q27</f>
        <v>0</v>
      </c>
      <c r="S27" s="366">
        <f t="shared" si="3"/>
        <v>0</v>
      </c>
      <c r="T27" s="366">
        <f t="shared" si="4"/>
        <v>0</v>
      </c>
      <c r="U27" s="366">
        <f t="shared" si="5"/>
        <v>0</v>
      </c>
      <c r="V27" s="366">
        <f t="shared" si="6"/>
        <v>0</v>
      </c>
      <c r="W27" s="366">
        <f t="shared" si="7"/>
        <v>0</v>
      </c>
      <c r="X27" s="366">
        <f t="shared" si="8"/>
        <v>0</v>
      </c>
      <c r="Y27" s="326">
        <f t="shared" si="9"/>
        <v>0</v>
      </c>
      <c r="Z27" s="326">
        <f t="shared" si="10"/>
        <v>0</v>
      </c>
      <c r="AA27" s="326">
        <f t="shared" si="11"/>
        <v>0</v>
      </c>
      <c r="AB27" s="326">
        <f t="shared" si="12"/>
        <v>0</v>
      </c>
      <c r="AC27" s="326">
        <f t="shared" si="13"/>
        <v>0</v>
      </c>
      <c r="AD27" s="326">
        <f t="shared" si="14"/>
        <v>0</v>
      </c>
      <c r="AE27" s="327">
        <f t="shared" ref="AE27:AE28" si="23">SUM(S27:AD27)</f>
        <v>0</v>
      </c>
    </row>
    <row r="28" spans="1:33" ht="11.65">
      <c r="A28" t="str">
        <f t="shared" ref="A28" si="24">+LEFT(D28,6)</f>
        <v>SITE39</v>
      </c>
      <c r="B28" s="308" t="s">
        <v>201</v>
      </c>
      <c r="C28" s="307" t="s">
        <v>198</v>
      </c>
      <c r="D28" s="263" t="s">
        <v>247</v>
      </c>
      <c r="E28" s="313"/>
      <c r="F28" s="313"/>
      <c r="G28" s="313"/>
      <c r="H28" s="313"/>
      <c r="I28" s="313">
        <v>1459132306</v>
      </c>
      <c r="J28" s="313">
        <v>1764255943</v>
      </c>
      <c r="K28" s="313"/>
      <c r="L28" s="313"/>
      <c r="M28" s="313"/>
      <c r="N28" s="313"/>
      <c r="O28" s="313"/>
      <c r="P28" s="313"/>
      <c r="Q28" s="324">
        <f t="shared" si="22"/>
        <v>3223388249</v>
      </c>
      <c r="R28" s="325">
        <f>+I28</f>
        <v>1459132306</v>
      </c>
      <c r="S28" s="367"/>
      <c r="T28" s="367"/>
      <c r="U28" s="367"/>
      <c r="V28" s="367"/>
      <c r="W28" s="367">
        <f t="shared" si="7"/>
        <v>55.427627958214622</v>
      </c>
      <c r="X28" s="366">
        <f t="shared" si="8"/>
        <v>67.069999999999993</v>
      </c>
      <c r="Y28" s="328"/>
      <c r="Z28" s="328"/>
      <c r="AA28" s="328"/>
      <c r="AB28" s="328"/>
      <c r="AC28" s="328"/>
      <c r="AD28" s="328"/>
      <c r="AE28" s="327">
        <f t="shared" si="23"/>
        <v>122.49762795821462</v>
      </c>
    </row>
    <row r="29" spans="1:33" ht="11.65">
      <c r="D29" s="321" t="s">
        <v>15</v>
      </c>
      <c r="E29" s="322">
        <f>SUM(E30:E48)</f>
        <v>31316855202</v>
      </c>
      <c r="F29" s="322">
        <f>SUM(F30:F48)</f>
        <v>111444592305</v>
      </c>
      <c r="G29" s="322">
        <f>SUM(G30:G48)</f>
        <v>64158202207</v>
      </c>
      <c r="H29" s="322">
        <f>SUM(H30:H48)</f>
        <v>118648038573</v>
      </c>
      <c r="I29" s="322">
        <f>SUM(I30:I49)</f>
        <v>178507512364</v>
      </c>
      <c r="J29" s="322">
        <f>SUM(J30:J49)</f>
        <v>166274476911</v>
      </c>
      <c r="K29" s="322">
        <f t="shared" ref="K29:AE29" si="25">SUM(K30:K49)</f>
        <v>0</v>
      </c>
      <c r="L29" s="322">
        <f t="shared" si="25"/>
        <v>0</v>
      </c>
      <c r="M29" s="322">
        <f t="shared" si="25"/>
        <v>0</v>
      </c>
      <c r="N29" s="322">
        <f t="shared" si="25"/>
        <v>0</v>
      </c>
      <c r="O29" s="322">
        <f t="shared" si="25"/>
        <v>0</v>
      </c>
      <c r="P29" s="322">
        <f t="shared" si="25"/>
        <v>0</v>
      </c>
      <c r="Q29" s="322">
        <f>SUM(Q30:Q49)</f>
        <v>670349677562</v>
      </c>
      <c r="R29" s="322">
        <f>SUM(R30:R49)</f>
        <v>3081729449744.4688</v>
      </c>
      <c r="S29" s="365">
        <f t="shared" si="25"/>
        <v>1204.8188051398454</v>
      </c>
      <c r="T29" s="365">
        <f t="shared" si="25"/>
        <v>4271.5443581832114</v>
      </c>
      <c r="U29" s="365">
        <f t="shared" si="25"/>
        <v>2433.3688161647578</v>
      </c>
      <c r="V29" s="365">
        <f t="shared" si="25"/>
        <v>4501.2344388254478</v>
      </c>
      <c r="W29" s="365">
        <f t="shared" si="25"/>
        <v>6780.9121505792973</v>
      </c>
      <c r="X29" s="322">
        <f t="shared" si="25"/>
        <v>6321.02</v>
      </c>
      <c r="Y29" s="322">
        <f t="shared" si="25"/>
        <v>0</v>
      </c>
      <c r="Z29" s="322">
        <f t="shared" si="25"/>
        <v>0</v>
      </c>
      <c r="AA29" s="322">
        <f t="shared" si="25"/>
        <v>0</v>
      </c>
      <c r="AB29" s="322">
        <f t="shared" si="25"/>
        <v>0</v>
      </c>
      <c r="AC29" s="322">
        <f t="shared" si="25"/>
        <v>0</v>
      </c>
      <c r="AD29" s="322">
        <f t="shared" si="25"/>
        <v>0</v>
      </c>
      <c r="AE29" s="322">
        <f t="shared" si="25"/>
        <v>25512.898568892564</v>
      </c>
      <c r="AF29" s="265">
        <f>+X29-'[1]IS (01)'!$F$14</f>
        <v>0</v>
      </c>
      <c r="AG29" s="270">
        <f>+AE29-'[1]IS (01)'!$G$14</f>
        <v>8.5688925646536518E-3</v>
      </c>
    </row>
    <row r="30" spans="1:33" ht="11.65">
      <c r="A30" t="str">
        <f t="shared" si="17"/>
        <v>SITE05</v>
      </c>
      <c r="C30" t="s">
        <v>197</v>
      </c>
      <c r="D30" s="263" t="s">
        <v>133</v>
      </c>
      <c r="E30" s="313">
        <v>765010240</v>
      </c>
      <c r="F30" s="313">
        <v>1068076592</v>
      </c>
      <c r="G30" s="313">
        <v>1700502515</v>
      </c>
      <c r="H30" s="313">
        <v>330291789</v>
      </c>
      <c r="I30" s="313">
        <v>0</v>
      </c>
      <c r="J30" s="323"/>
      <c r="K30" s="316"/>
      <c r="L30" s="316"/>
      <c r="M30" s="316"/>
      <c r="N30" s="316"/>
      <c r="O30" s="316"/>
      <c r="P30" s="313"/>
      <c r="Q30" s="346">
        <f>SUM(E30:P30)</f>
        <v>3863881136</v>
      </c>
      <c r="R30" s="325">
        <f>+Q30+'Summary 2025'!Q30</f>
        <v>109203185029</v>
      </c>
      <c r="S30" s="366">
        <f t="shared" ref="S30:S48" si="26">E30/$S$55</f>
        <v>29.43139460624014</v>
      </c>
      <c r="T30" s="366">
        <f t="shared" ref="T30:T48" si="27">F30/$T$55</f>
        <v>40.938159908010732</v>
      </c>
      <c r="U30" s="366">
        <f t="shared" ref="U30:U48" si="28">G30/$U$55</f>
        <v>64.496037131153756</v>
      </c>
      <c r="V30" s="366">
        <f t="shared" ref="V30:V48" si="29">H30/$V$55</f>
        <v>12.530512879851285</v>
      </c>
      <c r="W30" s="366">
        <f t="shared" ref="W30:W49" si="30">I30/$W$55</f>
        <v>0</v>
      </c>
      <c r="X30" s="366">
        <f t="shared" ref="X30:X49" si="31">ROUND(J30/$X$55,2)</f>
        <v>0</v>
      </c>
      <c r="Y30" s="326">
        <f t="shared" ref="Y30:Y48" si="32">K30/$Y$55</f>
        <v>0</v>
      </c>
      <c r="Z30" s="326">
        <f t="shared" ref="Z30:Z48" si="33">ROUND(L30/$Z$55,2)</f>
        <v>0</v>
      </c>
      <c r="AA30" s="326">
        <f t="shared" ref="AA30:AA48" si="34">ROUND(M30/$AA$55,2)</f>
        <v>0</v>
      </c>
      <c r="AB30" s="326">
        <f t="shared" ref="AB30:AB48" si="35">ROUND(N30/$AB$55,2)</f>
        <v>0</v>
      </c>
      <c r="AC30" s="326">
        <f t="shared" ref="AC30:AC48" si="36">ROUND(O30/$AC$55,2)</f>
        <v>0</v>
      </c>
      <c r="AD30" s="326">
        <f t="shared" ref="AD30:AD48" si="37">ROUND(P30/$AD$55,2)</f>
        <v>0</v>
      </c>
      <c r="AE30" s="327">
        <f>SUM(S30:AD30)</f>
        <v>147.39610452525588</v>
      </c>
    </row>
    <row r="31" spans="1:33" ht="11.65">
      <c r="A31" t="str">
        <f t="shared" si="17"/>
        <v>SITE06</v>
      </c>
      <c r="B31" s="309" t="s">
        <v>200</v>
      </c>
      <c r="C31" t="s">
        <v>198</v>
      </c>
      <c r="D31" s="263" t="s">
        <v>141</v>
      </c>
      <c r="E31" s="313">
        <v>1342485295</v>
      </c>
      <c r="F31" s="313">
        <v>8497633341</v>
      </c>
      <c r="G31" s="313">
        <v>6973293052</v>
      </c>
      <c r="H31" s="313">
        <v>8527707820</v>
      </c>
      <c r="I31" s="313">
        <v>8197018670</v>
      </c>
      <c r="J31" s="313">
        <v>7941783435</v>
      </c>
      <c r="K31" s="313"/>
      <c r="L31" s="316"/>
      <c r="M31" s="317"/>
      <c r="N31" s="313"/>
      <c r="O31" s="313"/>
      <c r="P31" s="313"/>
      <c r="Q31" s="346">
        <f t="shared" ref="Q31:Q49" si="38">SUM(E31:P31)</f>
        <v>41479921613</v>
      </c>
      <c r="R31" s="325">
        <f>+Q31+'Summary 2025'!Q31</f>
        <v>989631883657</v>
      </c>
      <c r="S31" s="366">
        <f t="shared" si="26"/>
        <v>51.647955026353252</v>
      </c>
      <c r="T31" s="366">
        <f t="shared" si="27"/>
        <v>325.70461253353773</v>
      </c>
      <c r="U31" s="366">
        <f t="shared" si="28"/>
        <v>264.48050716832284</v>
      </c>
      <c r="V31" s="366">
        <f t="shared" si="29"/>
        <v>323.52167457035546</v>
      </c>
      <c r="W31" s="366">
        <f t="shared" si="30"/>
        <v>311.37772725546057</v>
      </c>
      <c r="X31" s="366">
        <f t="shared" si="31"/>
        <v>301.91000000000003</v>
      </c>
      <c r="Y31" s="326">
        <f t="shared" si="32"/>
        <v>0</v>
      </c>
      <c r="Z31" s="326">
        <f t="shared" si="33"/>
        <v>0</v>
      </c>
      <c r="AA31" s="326">
        <f t="shared" si="34"/>
        <v>0</v>
      </c>
      <c r="AB31" s="326">
        <f t="shared" si="35"/>
        <v>0</v>
      </c>
      <c r="AC31" s="326">
        <f t="shared" si="36"/>
        <v>0</v>
      </c>
      <c r="AD31" s="326">
        <f t="shared" si="37"/>
        <v>0</v>
      </c>
      <c r="AE31" s="327">
        <f t="shared" ref="AE31:AE41" si="39">SUM(S31:AD31)</f>
        <v>1578.6424765540301</v>
      </c>
    </row>
    <row r="32" spans="1:33" ht="11.65">
      <c r="A32" t="str">
        <f t="shared" si="17"/>
        <v>SITE08</v>
      </c>
      <c r="C32" t="s">
        <v>199</v>
      </c>
      <c r="D32" s="263" t="s">
        <v>134</v>
      </c>
      <c r="E32" s="316"/>
      <c r="F32" s="316"/>
      <c r="G32" s="313">
        <v>0</v>
      </c>
      <c r="H32" s="316"/>
      <c r="I32" s="313">
        <v>0</v>
      </c>
      <c r="J32" s="316"/>
      <c r="K32" s="316"/>
      <c r="L32" s="316"/>
      <c r="M32" s="317"/>
      <c r="N32" s="313"/>
      <c r="O32" s="313"/>
      <c r="P32" s="313"/>
      <c r="Q32" s="346">
        <f t="shared" si="38"/>
        <v>0</v>
      </c>
      <c r="R32" s="325">
        <f>+Q32+'Summary 2025'!Q32</f>
        <v>20208965609</v>
      </c>
      <c r="S32" s="366">
        <f t="shared" si="26"/>
        <v>0</v>
      </c>
      <c r="T32" s="366">
        <f t="shared" si="27"/>
        <v>0</v>
      </c>
      <c r="U32" s="366">
        <f t="shared" si="28"/>
        <v>0</v>
      </c>
      <c r="V32" s="366">
        <f t="shared" si="29"/>
        <v>0</v>
      </c>
      <c r="W32" s="366">
        <f t="shared" si="30"/>
        <v>0</v>
      </c>
      <c r="X32" s="366">
        <f t="shared" si="31"/>
        <v>0</v>
      </c>
      <c r="Y32" s="326">
        <f t="shared" si="32"/>
        <v>0</v>
      </c>
      <c r="Z32" s="326">
        <f t="shared" si="33"/>
        <v>0</v>
      </c>
      <c r="AA32" s="326">
        <f t="shared" si="34"/>
        <v>0</v>
      </c>
      <c r="AB32" s="326">
        <f t="shared" si="35"/>
        <v>0</v>
      </c>
      <c r="AC32" s="326">
        <f t="shared" si="36"/>
        <v>0</v>
      </c>
      <c r="AD32" s="326">
        <f t="shared" si="37"/>
        <v>0</v>
      </c>
      <c r="AE32" s="327">
        <f t="shared" si="39"/>
        <v>0</v>
      </c>
    </row>
    <row r="33" spans="1:31" ht="11.65">
      <c r="A33" t="str">
        <f t="shared" si="17"/>
        <v>SITE14</v>
      </c>
      <c r="C33" t="s">
        <v>199</v>
      </c>
      <c r="D33" s="263" t="s">
        <v>137</v>
      </c>
      <c r="E33" s="316">
        <v>1762265417</v>
      </c>
      <c r="F33" s="316"/>
      <c r="G33" s="313">
        <v>0</v>
      </c>
      <c r="H33" s="316"/>
      <c r="I33" s="313">
        <v>0</v>
      </c>
      <c r="J33" s="316"/>
      <c r="K33" s="316"/>
      <c r="L33" s="316"/>
      <c r="M33" s="317"/>
      <c r="N33" s="316"/>
      <c r="O33" s="316"/>
      <c r="P33" s="313"/>
      <c r="Q33" s="346">
        <f t="shared" si="38"/>
        <v>1762265417</v>
      </c>
      <c r="R33" s="325">
        <f>+Q33+'Summary 2025'!Q33</f>
        <v>15048974984</v>
      </c>
      <c r="S33" s="366">
        <f t="shared" si="26"/>
        <v>67.797692340245447</v>
      </c>
      <c r="T33" s="366">
        <f t="shared" si="27"/>
        <v>0</v>
      </c>
      <c r="U33" s="366">
        <f t="shared" si="28"/>
        <v>0</v>
      </c>
      <c r="V33" s="366">
        <f t="shared" si="29"/>
        <v>0</v>
      </c>
      <c r="W33" s="366">
        <f t="shared" si="30"/>
        <v>0</v>
      </c>
      <c r="X33" s="366">
        <f t="shared" si="31"/>
        <v>0</v>
      </c>
      <c r="Y33" s="326">
        <f t="shared" si="32"/>
        <v>0</v>
      </c>
      <c r="Z33" s="326">
        <f t="shared" si="33"/>
        <v>0</v>
      </c>
      <c r="AA33" s="326">
        <f t="shared" si="34"/>
        <v>0</v>
      </c>
      <c r="AB33" s="326">
        <f t="shared" si="35"/>
        <v>0</v>
      </c>
      <c r="AC33" s="326">
        <f t="shared" si="36"/>
        <v>0</v>
      </c>
      <c r="AD33" s="326">
        <f t="shared" si="37"/>
        <v>0</v>
      </c>
      <c r="AE33" s="327">
        <f t="shared" si="39"/>
        <v>67.797692340245447</v>
      </c>
    </row>
    <row r="34" spans="1:31" ht="11.65">
      <c r="A34" t="str">
        <f t="shared" si="17"/>
        <v>SITE16</v>
      </c>
      <c r="C34" t="s">
        <v>199</v>
      </c>
      <c r="D34" s="263" t="s">
        <v>139</v>
      </c>
      <c r="E34" s="316"/>
      <c r="F34" s="316"/>
      <c r="G34" s="313">
        <v>0</v>
      </c>
      <c r="H34" s="316"/>
      <c r="I34" s="313">
        <v>0</v>
      </c>
      <c r="J34" s="316"/>
      <c r="K34" s="316"/>
      <c r="L34" s="316"/>
      <c r="M34" s="317"/>
      <c r="N34" s="316"/>
      <c r="O34" s="316"/>
      <c r="P34" s="313"/>
      <c r="Q34" s="346">
        <f t="shared" si="38"/>
        <v>0</v>
      </c>
      <c r="R34" s="325">
        <f>+Q34+'Summary 2025'!Q34</f>
        <v>21060715417</v>
      </c>
      <c r="S34" s="366">
        <f t="shared" si="26"/>
        <v>0</v>
      </c>
      <c r="T34" s="366">
        <f t="shared" si="27"/>
        <v>0</v>
      </c>
      <c r="U34" s="366">
        <f t="shared" si="28"/>
        <v>0</v>
      </c>
      <c r="V34" s="366">
        <f t="shared" si="29"/>
        <v>0</v>
      </c>
      <c r="W34" s="366">
        <f t="shared" si="30"/>
        <v>0</v>
      </c>
      <c r="X34" s="366">
        <f t="shared" si="31"/>
        <v>0</v>
      </c>
      <c r="Y34" s="326">
        <f t="shared" si="32"/>
        <v>0</v>
      </c>
      <c r="Z34" s="326">
        <f t="shared" si="33"/>
        <v>0</v>
      </c>
      <c r="AA34" s="326">
        <f t="shared" si="34"/>
        <v>0</v>
      </c>
      <c r="AB34" s="326">
        <f t="shared" si="35"/>
        <v>0</v>
      </c>
      <c r="AC34" s="326">
        <f t="shared" si="36"/>
        <v>0</v>
      </c>
      <c r="AD34" s="326">
        <f t="shared" si="37"/>
        <v>0</v>
      </c>
      <c r="AE34" s="327">
        <f t="shared" si="39"/>
        <v>0</v>
      </c>
    </row>
    <row r="35" spans="1:31" ht="11.65">
      <c r="A35" t="str">
        <f t="shared" si="17"/>
        <v>SITE17</v>
      </c>
      <c r="C35" t="s">
        <v>199</v>
      </c>
      <c r="D35" s="263" t="s">
        <v>140</v>
      </c>
      <c r="E35" s="316">
        <v>14612106035</v>
      </c>
      <c r="F35" s="316"/>
      <c r="G35" s="313">
        <v>338665881</v>
      </c>
      <c r="H35" s="316"/>
      <c r="I35" s="313">
        <v>0</v>
      </c>
      <c r="J35" s="316"/>
      <c r="K35" s="316"/>
      <c r="L35" s="316"/>
      <c r="M35" s="317"/>
      <c r="N35" s="316"/>
      <c r="O35" s="316"/>
      <c r="P35" s="313"/>
      <c r="Q35" s="346">
        <f t="shared" si="38"/>
        <v>14950771916</v>
      </c>
      <c r="R35" s="325">
        <f>+Q35+'Summary 2025'!Q35</f>
        <v>14950771916</v>
      </c>
      <c r="S35" s="366">
        <f t="shared" si="26"/>
        <v>562.1554278074866</v>
      </c>
      <c r="T35" s="366">
        <f t="shared" si="27"/>
        <v>0</v>
      </c>
      <c r="U35" s="366">
        <f t="shared" si="28"/>
        <v>12.844795607979973</v>
      </c>
      <c r="V35" s="366">
        <f t="shared" si="29"/>
        <v>0</v>
      </c>
      <c r="W35" s="366">
        <f t="shared" si="30"/>
        <v>0</v>
      </c>
      <c r="X35" s="366">
        <f t="shared" si="31"/>
        <v>0</v>
      </c>
      <c r="Y35" s="326">
        <f t="shared" si="32"/>
        <v>0</v>
      </c>
      <c r="Z35" s="326">
        <f t="shared" si="33"/>
        <v>0</v>
      </c>
      <c r="AA35" s="326">
        <f t="shared" si="34"/>
        <v>0</v>
      </c>
      <c r="AB35" s="326">
        <f t="shared" si="35"/>
        <v>0</v>
      </c>
      <c r="AC35" s="326">
        <f t="shared" si="36"/>
        <v>0</v>
      </c>
      <c r="AD35" s="326">
        <f t="shared" si="37"/>
        <v>0</v>
      </c>
      <c r="AE35" s="327">
        <f t="shared" si="39"/>
        <v>575.00022341546662</v>
      </c>
    </row>
    <row r="36" spans="1:31" ht="11.65">
      <c r="A36" t="str">
        <f t="shared" si="17"/>
        <v>SITE18</v>
      </c>
      <c r="B36" s="309" t="s">
        <v>201</v>
      </c>
      <c r="C36" t="s">
        <v>198</v>
      </c>
      <c r="D36" s="263" t="s">
        <v>230</v>
      </c>
      <c r="E36" s="316">
        <v>1737731332</v>
      </c>
      <c r="F36" s="316">
        <v>28083148140</v>
      </c>
      <c r="G36" s="313">
        <v>13048232027</v>
      </c>
      <c r="H36" s="316">
        <v>32294812328</v>
      </c>
      <c r="I36" s="313">
        <v>63990294049</v>
      </c>
      <c r="J36" s="316">
        <v>89885386831</v>
      </c>
      <c r="K36" s="316"/>
      <c r="L36" s="316"/>
      <c r="M36" s="317"/>
      <c r="N36" s="316"/>
      <c r="O36" s="316"/>
      <c r="P36" s="313"/>
      <c r="Q36" s="346">
        <f t="shared" si="38"/>
        <v>229039604707</v>
      </c>
      <c r="R36" s="325">
        <f>+Q36+'Summary 2025'!Q36</f>
        <v>346957110066</v>
      </c>
      <c r="S36" s="366">
        <f t="shared" si="26"/>
        <v>66.85381956680645</v>
      </c>
      <c r="T36" s="366">
        <f t="shared" si="27"/>
        <v>1076.3950992717516</v>
      </c>
      <c r="U36" s="366">
        <f t="shared" si="28"/>
        <v>494.88856963513615</v>
      </c>
      <c r="V36" s="366">
        <f t="shared" si="29"/>
        <v>1225.1911046701316</v>
      </c>
      <c r="W36" s="366">
        <f t="shared" si="30"/>
        <v>2430.7804007217474</v>
      </c>
      <c r="X36" s="366">
        <f t="shared" si="31"/>
        <v>3417.05</v>
      </c>
      <c r="Y36" s="326">
        <f t="shared" si="32"/>
        <v>0</v>
      </c>
      <c r="Z36" s="326">
        <f t="shared" si="33"/>
        <v>0</v>
      </c>
      <c r="AA36" s="326">
        <f t="shared" si="34"/>
        <v>0</v>
      </c>
      <c r="AB36" s="326">
        <f t="shared" si="35"/>
        <v>0</v>
      </c>
      <c r="AC36" s="326">
        <f t="shared" si="36"/>
        <v>0</v>
      </c>
      <c r="AD36" s="326">
        <f t="shared" si="37"/>
        <v>0</v>
      </c>
      <c r="AE36" s="327">
        <f t="shared" si="39"/>
        <v>8711.1589938655743</v>
      </c>
    </row>
    <row r="37" spans="1:31" ht="11.65">
      <c r="A37" t="str">
        <f t="shared" si="17"/>
        <v>SITE20</v>
      </c>
      <c r="C37" t="s">
        <v>199</v>
      </c>
      <c r="D37" s="263" t="s">
        <v>231</v>
      </c>
      <c r="E37" s="316"/>
      <c r="F37" s="316"/>
      <c r="G37" s="313">
        <v>0</v>
      </c>
      <c r="H37" s="316"/>
      <c r="I37" s="313">
        <v>0</v>
      </c>
      <c r="J37" s="316"/>
      <c r="K37" s="316"/>
      <c r="L37" s="316"/>
      <c r="M37" s="317"/>
      <c r="N37" s="316"/>
      <c r="O37" s="316"/>
      <c r="P37" s="313"/>
      <c r="Q37" s="346">
        <f t="shared" si="38"/>
        <v>0</v>
      </c>
      <c r="R37" s="325">
        <f>+Q37+'Summary 2025'!Q37</f>
        <v>10046168062</v>
      </c>
      <c r="S37" s="366">
        <f t="shared" si="26"/>
        <v>0</v>
      </c>
      <c r="T37" s="366">
        <f t="shared" si="27"/>
        <v>0</v>
      </c>
      <c r="U37" s="366">
        <f t="shared" si="28"/>
        <v>0</v>
      </c>
      <c r="V37" s="366">
        <f t="shared" si="29"/>
        <v>0</v>
      </c>
      <c r="W37" s="366">
        <f t="shared" si="30"/>
        <v>0</v>
      </c>
      <c r="X37" s="366">
        <f t="shared" si="31"/>
        <v>0</v>
      </c>
      <c r="Y37" s="326">
        <f t="shared" si="32"/>
        <v>0</v>
      </c>
      <c r="Z37" s="326">
        <f t="shared" si="33"/>
        <v>0</v>
      </c>
      <c r="AA37" s="326">
        <f t="shared" si="34"/>
        <v>0</v>
      </c>
      <c r="AB37" s="326">
        <f t="shared" si="35"/>
        <v>0</v>
      </c>
      <c r="AC37" s="326">
        <f t="shared" si="36"/>
        <v>0</v>
      </c>
      <c r="AD37" s="326">
        <f t="shared" si="37"/>
        <v>0</v>
      </c>
      <c r="AE37" s="327">
        <f t="shared" si="39"/>
        <v>0</v>
      </c>
    </row>
    <row r="38" spans="1:31" ht="11.65">
      <c r="A38" t="str">
        <f t="shared" si="17"/>
        <v>SITE22</v>
      </c>
      <c r="C38" t="s">
        <v>197</v>
      </c>
      <c r="D38" s="263" t="s">
        <v>232</v>
      </c>
      <c r="E38" s="316">
        <v>1590816166</v>
      </c>
      <c r="F38" s="316">
        <v>2035919803</v>
      </c>
      <c r="G38" s="313">
        <v>2541362899</v>
      </c>
      <c r="H38" s="316">
        <v>119246040</v>
      </c>
      <c r="I38" s="313">
        <v>0</v>
      </c>
      <c r="J38" s="316"/>
      <c r="K38" s="316"/>
      <c r="L38" s="316"/>
      <c r="M38" s="317"/>
      <c r="N38" s="316"/>
      <c r="O38" s="316"/>
      <c r="P38" s="313"/>
      <c r="Q38" s="346">
        <f t="shared" si="38"/>
        <v>6287344908</v>
      </c>
      <c r="R38" s="325">
        <f>+Q38+'Summary 2025'!Q38</f>
        <v>70215035698</v>
      </c>
      <c r="S38" s="366">
        <f t="shared" si="26"/>
        <v>61.201714538529608</v>
      </c>
      <c r="T38" s="366">
        <f t="shared" si="27"/>
        <v>78.034488424683786</v>
      </c>
      <c r="U38" s="366">
        <f t="shared" si="28"/>
        <v>96.387882082985669</v>
      </c>
      <c r="V38" s="366">
        <f t="shared" si="29"/>
        <v>4.5239212413217498</v>
      </c>
      <c r="W38" s="366">
        <f t="shared" si="30"/>
        <v>0</v>
      </c>
      <c r="X38" s="366">
        <f t="shared" si="31"/>
        <v>0</v>
      </c>
      <c r="Y38" s="326">
        <f t="shared" si="32"/>
        <v>0</v>
      </c>
      <c r="Z38" s="326">
        <f t="shared" si="33"/>
        <v>0</v>
      </c>
      <c r="AA38" s="326">
        <f t="shared" si="34"/>
        <v>0</v>
      </c>
      <c r="AB38" s="326">
        <f t="shared" si="35"/>
        <v>0</v>
      </c>
      <c r="AC38" s="326">
        <f t="shared" si="36"/>
        <v>0</v>
      </c>
      <c r="AD38" s="326">
        <f t="shared" si="37"/>
        <v>0</v>
      </c>
      <c r="AE38" s="327">
        <f t="shared" si="39"/>
        <v>240.14800628752081</v>
      </c>
    </row>
    <row r="39" spans="1:31" ht="11.65">
      <c r="A39" t="str">
        <f t="shared" si="17"/>
        <v>SITE23</v>
      </c>
      <c r="B39" s="309" t="s">
        <v>201</v>
      </c>
      <c r="C39" t="s">
        <v>198</v>
      </c>
      <c r="D39" s="263" t="s">
        <v>233</v>
      </c>
      <c r="E39" s="316">
        <v>3375050813</v>
      </c>
      <c r="F39" s="316">
        <v>66072702017</v>
      </c>
      <c r="G39" s="313">
        <v>34392264616</v>
      </c>
      <c r="H39" s="316">
        <v>69578808830</v>
      </c>
      <c r="I39" s="313">
        <v>103490514988</v>
      </c>
      <c r="J39" s="316">
        <v>66556977805</v>
      </c>
      <c r="K39" s="316"/>
      <c r="L39" s="316"/>
      <c r="M39" s="317"/>
      <c r="N39" s="316"/>
      <c r="O39" s="316"/>
      <c r="P39" s="313"/>
      <c r="Q39" s="346">
        <f t="shared" si="38"/>
        <v>343466319069</v>
      </c>
      <c r="R39" s="325">
        <f>+Q39+'Summary 2025'!Q39</f>
        <v>1086158283362</v>
      </c>
      <c r="S39" s="366">
        <f t="shared" si="26"/>
        <v>129.84460481668143</v>
      </c>
      <c r="T39" s="366">
        <f t="shared" si="27"/>
        <v>2532.4914533154465</v>
      </c>
      <c r="U39" s="366">
        <f t="shared" si="28"/>
        <v>1304.4172273382387</v>
      </c>
      <c r="V39" s="366">
        <f t="shared" si="29"/>
        <v>2639.6604131416216</v>
      </c>
      <c r="W39" s="366">
        <f t="shared" si="30"/>
        <v>3931.2636272744539</v>
      </c>
      <c r="X39" s="366">
        <f t="shared" si="31"/>
        <v>2530.1999999999998</v>
      </c>
      <c r="Y39" s="326">
        <f t="shared" si="32"/>
        <v>0</v>
      </c>
      <c r="Z39" s="326">
        <f t="shared" si="33"/>
        <v>0</v>
      </c>
      <c r="AA39" s="326">
        <f t="shared" si="34"/>
        <v>0</v>
      </c>
      <c r="AB39" s="326">
        <f t="shared" si="35"/>
        <v>0</v>
      </c>
      <c r="AC39" s="326">
        <f t="shared" si="36"/>
        <v>0</v>
      </c>
      <c r="AD39" s="326">
        <f t="shared" si="37"/>
        <v>0</v>
      </c>
      <c r="AE39" s="327">
        <f t="shared" si="39"/>
        <v>13067.877325886442</v>
      </c>
    </row>
    <row r="40" spans="1:31" ht="11.65">
      <c r="A40" t="str">
        <f t="shared" si="17"/>
        <v>SITE27</v>
      </c>
      <c r="B40" s="309" t="s">
        <v>201</v>
      </c>
      <c r="C40" t="s">
        <v>198</v>
      </c>
      <c r="D40" s="263" t="s">
        <v>234</v>
      </c>
      <c r="E40" s="316"/>
      <c r="F40" s="316"/>
      <c r="G40" s="313">
        <v>0</v>
      </c>
      <c r="H40" s="316">
        <v>2697122223</v>
      </c>
      <c r="I40" s="313">
        <v>0</v>
      </c>
      <c r="J40" s="316"/>
      <c r="K40" s="316"/>
      <c r="L40" s="316"/>
      <c r="M40" s="316"/>
      <c r="N40" s="316"/>
      <c r="O40" s="316"/>
      <c r="P40" s="313"/>
      <c r="Q40" s="346">
        <f t="shared" si="38"/>
        <v>2697122223</v>
      </c>
      <c r="R40" s="325">
        <f>+Q40+'Summary 2025'!Q40</f>
        <v>39710919693</v>
      </c>
      <c r="S40" s="366">
        <f t="shared" si="26"/>
        <v>0</v>
      </c>
      <c r="T40" s="366">
        <f t="shared" si="27"/>
        <v>0</v>
      </c>
      <c r="U40" s="366">
        <f t="shared" si="28"/>
        <v>0</v>
      </c>
      <c r="V40" s="366">
        <f t="shared" si="29"/>
        <v>102.32263071436701</v>
      </c>
      <c r="W40" s="366">
        <f t="shared" si="30"/>
        <v>0</v>
      </c>
      <c r="X40" s="366">
        <f t="shared" si="31"/>
        <v>0</v>
      </c>
      <c r="Y40" s="326">
        <f t="shared" si="32"/>
        <v>0</v>
      </c>
      <c r="Z40" s="326">
        <f t="shared" si="33"/>
        <v>0</v>
      </c>
      <c r="AA40" s="326">
        <f t="shared" si="34"/>
        <v>0</v>
      </c>
      <c r="AB40" s="326">
        <f t="shared" si="35"/>
        <v>0</v>
      </c>
      <c r="AC40" s="326">
        <f t="shared" si="36"/>
        <v>0</v>
      </c>
      <c r="AD40" s="326">
        <f t="shared" si="37"/>
        <v>0</v>
      </c>
      <c r="AE40" s="327">
        <f>SUM(S40:AD40)</f>
        <v>102.32263071436701</v>
      </c>
    </row>
    <row r="41" spans="1:31" ht="11.65">
      <c r="A41" t="str">
        <f t="shared" si="17"/>
        <v>SITE28</v>
      </c>
      <c r="B41" s="309" t="s">
        <v>200</v>
      </c>
      <c r="C41" t="s">
        <v>198</v>
      </c>
      <c r="D41" s="263" t="s">
        <v>235</v>
      </c>
      <c r="E41" s="316"/>
      <c r="F41" s="316"/>
      <c r="G41" s="313">
        <v>0</v>
      </c>
      <c r="H41" s="316"/>
      <c r="I41" s="313">
        <v>-355380474</v>
      </c>
      <c r="J41" s="316">
        <v>289945999</v>
      </c>
      <c r="K41" s="316"/>
      <c r="L41" s="316"/>
      <c r="M41" s="316"/>
      <c r="N41" s="316"/>
      <c r="O41" s="316"/>
      <c r="P41" s="313"/>
      <c r="Q41" s="346">
        <f t="shared" si="38"/>
        <v>-65434475</v>
      </c>
      <c r="R41" s="325">
        <f>+Q41+'Summary 2025'!Q41</f>
        <v>200492241396</v>
      </c>
      <c r="S41" s="366">
        <f t="shared" si="26"/>
        <v>0</v>
      </c>
      <c r="T41" s="366">
        <f t="shared" si="27"/>
        <v>0</v>
      </c>
      <c r="U41" s="366">
        <f t="shared" si="28"/>
        <v>0</v>
      </c>
      <c r="V41" s="366">
        <f t="shared" si="29"/>
        <v>0</v>
      </c>
      <c r="W41" s="366">
        <f t="shared" si="30"/>
        <v>-13.499733105413105</v>
      </c>
      <c r="X41" s="366">
        <f t="shared" si="31"/>
        <v>11.02</v>
      </c>
      <c r="Y41" s="326">
        <f t="shared" si="32"/>
        <v>0</v>
      </c>
      <c r="Z41" s="326">
        <f t="shared" si="33"/>
        <v>0</v>
      </c>
      <c r="AA41" s="326">
        <f t="shared" si="34"/>
        <v>0</v>
      </c>
      <c r="AB41" s="326">
        <f t="shared" si="35"/>
        <v>0</v>
      </c>
      <c r="AC41" s="326">
        <f t="shared" si="36"/>
        <v>0</v>
      </c>
      <c r="AD41" s="326">
        <f t="shared" si="37"/>
        <v>0</v>
      </c>
      <c r="AE41" s="327">
        <f t="shared" si="39"/>
        <v>-2.4797331054131053</v>
      </c>
    </row>
    <row r="42" spans="1:31" ht="11.65">
      <c r="A42" t="str">
        <f t="shared" si="17"/>
        <v>SITE30</v>
      </c>
      <c r="C42" t="s">
        <v>199</v>
      </c>
      <c r="D42" s="263" t="s">
        <v>236</v>
      </c>
      <c r="E42" s="316">
        <v>5986119336</v>
      </c>
      <c r="F42" s="316">
        <v>1991739724</v>
      </c>
      <c r="G42" s="313">
        <v>1613393836</v>
      </c>
      <c r="H42" s="316"/>
      <c r="I42" s="313">
        <v>1913340213</v>
      </c>
      <c r="J42" s="316"/>
      <c r="K42" s="316"/>
      <c r="L42" s="316"/>
      <c r="M42" s="316"/>
      <c r="N42" s="316"/>
      <c r="O42" s="316"/>
      <c r="P42" s="313"/>
      <c r="Q42" s="325">
        <f t="shared" si="38"/>
        <v>11504593109</v>
      </c>
      <c r="R42" s="325">
        <f>+Q42+'Summary 2025'!Q43</f>
        <v>127064093253.46867</v>
      </c>
      <c r="S42" s="366">
        <f t="shared" si="26"/>
        <v>230.29736221290347</v>
      </c>
      <c r="T42" s="366">
        <f t="shared" si="27"/>
        <v>76.341116289766191</v>
      </c>
      <c r="U42" s="366">
        <f t="shared" si="28"/>
        <v>61.192211029355988</v>
      </c>
      <c r="V42" s="366">
        <f t="shared" si="29"/>
        <v>0</v>
      </c>
      <c r="W42" s="366">
        <f t="shared" si="30"/>
        <v>72.681489572649568</v>
      </c>
      <c r="X42" s="366">
        <f t="shared" si="31"/>
        <v>0</v>
      </c>
      <c r="Y42" s="326">
        <f t="shared" si="32"/>
        <v>0</v>
      </c>
      <c r="Z42" s="326">
        <f t="shared" si="33"/>
        <v>0</v>
      </c>
      <c r="AA42" s="326">
        <f t="shared" si="34"/>
        <v>0</v>
      </c>
      <c r="AB42" s="326">
        <f t="shared" si="35"/>
        <v>0</v>
      </c>
      <c r="AC42" s="326">
        <f t="shared" si="36"/>
        <v>0</v>
      </c>
      <c r="AD42" s="326">
        <f t="shared" si="37"/>
        <v>0</v>
      </c>
      <c r="AE42" s="327">
        <f>SUM(S42:AD42)</f>
        <v>440.51217910467523</v>
      </c>
    </row>
    <row r="43" spans="1:31" ht="11.65">
      <c r="A43" t="str">
        <f t="shared" si="17"/>
        <v>SITE31</v>
      </c>
      <c r="C43" t="s">
        <v>199</v>
      </c>
      <c r="D43" s="263" t="s">
        <v>237</v>
      </c>
      <c r="E43" s="316"/>
      <c r="F43" s="316"/>
      <c r="G43" s="313">
        <v>0</v>
      </c>
      <c r="H43" s="316"/>
      <c r="I43" s="313">
        <v>0</v>
      </c>
      <c r="J43" s="316"/>
      <c r="K43" s="316"/>
      <c r="L43" s="316"/>
      <c r="M43" s="316"/>
      <c r="N43" s="316"/>
      <c r="O43" s="316"/>
      <c r="P43" s="313"/>
      <c r="Q43" s="346">
        <f t="shared" si="38"/>
        <v>0</v>
      </c>
      <c r="R43" s="325">
        <f>+Q43+'Summary 2025'!Q44</f>
        <v>0</v>
      </c>
      <c r="S43" s="366">
        <f t="shared" si="26"/>
        <v>0</v>
      </c>
      <c r="T43" s="366">
        <f t="shared" si="27"/>
        <v>0</v>
      </c>
      <c r="U43" s="366">
        <f t="shared" si="28"/>
        <v>0</v>
      </c>
      <c r="V43" s="366">
        <f t="shared" si="29"/>
        <v>0</v>
      </c>
      <c r="W43" s="366">
        <f t="shared" si="30"/>
        <v>0</v>
      </c>
      <c r="X43" s="366">
        <f t="shared" si="31"/>
        <v>0</v>
      </c>
      <c r="Y43" s="326">
        <f t="shared" si="32"/>
        <v>0</v>
      </c>
      <c r="Z43" s="326">
        <f t="shared" si="33"/>
        <v>0</v>
      </c>
      <c r="AA43" s="326">
        <f t="shared" si="34"/>
        <v>0</v>
      </c>
      <c r="AB43" s="326">
        <f t="shared" si="35"/>
        <v>0</v>
      </c>
      <c r="AC43" s="326">
        <f t="shared" si="36"/>
        <v>0</v>
      </c>
      <c r="AD43" s="326">
        <f t="shared" si="37"/>
        <v>0</v>
      </c>
      <c r="AE43" s="327">
        <f t="shared" ref="AE43:AE44" si="40">SUM(S43:AD43)</f>
        <v>0</v>
      </c>
    </row>
    <row r="44" spans="1:31" ht="11.65">
      <c r="A44" t="str">
        <f t="shared" si="17"/>
        <v>SITE34</v>
      </c>
      <c r="B44" s="309" t="s">
        <v>201</v>
      </c>
      <c r="C44" t="s">
        <v>198</v>
      </c>
      <c r="D44" s="263" t="s">
        <v>238</v>
      </c>
      <c r="E44" s="316">
        <v>145270568</v>
      </c>
      <c r="F44" s="316">
        <v>175439266</v>
      </c>
      <c r="G44" s="313">
        <v>1151813151</v>
      </c>
      <c r="H44" s="316">
        <v>1720560313</v>
      </c>
      <c r="I44" s="313">
        <v>63271542</v>
      </c>
      <c r="J44" s="316">
        <v>139226069</v>
      </c>
      <c r="K44" s="316"/>
      <c r="L44" s="316"/>
      <c r="M44" s="316"/>
      <c r="N44" s="316"/>
      <c r="O44" s="316"/>
      <c r="P44" s="313"/>
      <c r="Q44" s="346">
        <f>SUM(E44:P44)</f>
        <v>3395580909</v>
      </c>
      <c r="R44" s="325">
        <f>+Q44+'Summary 2025'!Q47</f>
        <v>17485469838</v>
      </c>
      <c r="S44" s="366">
        <f t="shared" si="26"/>
        <v>5.5888342245989309</v>
      </c>
      <c r="T44" s="366">
        <f t="shared" si="27"/>
        <v>6.7243873514756611</v>
      </c>
      <c r="U44" s="366">
        <f t="shared" si="28"/>
        <v>43.685547712963668</v>
      </c>
      <c r="V44" s="366">
        <f t="shared" si="29"/>
        <v>65.274111802420421</v>
      </c>
      <c r="W44" s="366">
        <f t="shared" si="30"/>
        <v>2.4034773789173789</v>
      </c>
      <c r="X44" s="366">
        <f t="shared" si="31"/>
        <v>5.29</v>
      </c>
      <c r="Y44" s="326">
        <f t="shared" si="32"/>
        <v>0</v>
      </c>
      <c r="Z44" s="326">
        <f t="shared" si="33"/>
        <v>0</v>
      </c>
      <c r="AA44" s="326">
        <f t="shared" si="34"/>
        <v>0</v>
      </c>
      <c r="AB44" s="326">
        <f t="shared" si="35"/>
        <v>0</v>
      </c>
      <c r="AC44" s="326">
        <f t="shared" si="36"/>
        <v>0</v>
      </c>
      <c r="AD44" s="326">
        <f t="shared" si="37"/>
        <v>0</v>
      </c>
      <c r="AE44" s="327">
        <f t="shared" si="40"/>
        <v>128.96635847037606</v>
      </c>
    </row>
    <row r="45" spans="1:31" ht="13.5" customHeight="1">
      <c r="A45" t="str">
        <f t="shared" si="17"/>
        <v>SITE35</v>
      </c>
      <c r="B45" s="309"/>
      <c r="C45" t="s">
        <v>199</v>
      </c>
      <c r="D45" s="263" t="s">
        <v>239</v>
      </c>
      <c r="E45" s="316"/>
      <c r="F45" s="316"/>
      <c r="G45" s="313">
        <v>0</v>
      </c>
      <c r="H45" s="316"/>
      <c r="I45" s="313">
        <v>0</v>
      </c>
      <c r="J45" s="316"/>
      <c r="K45" s="316"/>
      <c r="L45" s="316"/>
      <c r="M45" s="345"/>
      <c r="N45" s="316"/>
      <c r="O45" s="316"/>
      <c r="P45" s="313"/>
      <c r="Q45" s="346">
        <f t="shared" si="38"/>
        <v>0</v>
      </c>
      <c r="R45" s="325">
        <f>+Q45+'Summary 2025'!Q48</f>
        <v>574142861</v>
      </c>
      <c r="S45" s="366">
        <f t="shared" si="26"/>
        <v>0</v>
      </c>
      <c r="T45" s="366">
        <f t="shared" si="27"/>
        <v>0</v>
      </c>
      <c r="U45" s="366">
        <f t="shared" si="28"/>
        <v>0</v>
      </c>
      <c r="V45" s="366">
        <f t="shared" si="29"/>
        <v>0</v>
      </c>
      <c r="W45" s="366">
        <f t="shared" si="30"/>
        <v>0</v>
      </c>
      <c r="X45" s="366">
        <f t="shared" si="31"/>
        <v>0</v>
      </c>
      <c r="Y45" s="326">
        <f t="shared" si="32"/>
        <v>0</v>
      </c>
      <c r="Z45" s="326">
        <f t="shared" si="33"/>
        <v>0</v>
      </c>
      <c r="AA45" s="326">
        <f t="shared" si="34"/>
        <v>0</v>
      </c>
      <c r="AB45" s="326">
        <f t="shared" si="35"/>
        <v>0</v>
      </c>
      <c r="AC45" s="326">
        <f t="shared" si="36"/>
        <v>0</v>
      </c>
      <c r="AD45" s="326">
        <f t="shared" si="37"/>
        <v>0</v>
      </c>
      <c r="AE45" s="327">
        <f>SUM(S45:AD45)</f>
        <v>0</v>
      </c>
    </row>
    <row r="46" spans="1:31" ht="11.65">
      <c r="A46" t="str">
        <f t="shared" si="17"/>
        <v>SITE36</v>
      </c>
      <c r="B46" s="309"/>
      <c r="C46" t="s">
        <v>199</v>
      </c>
      <c r="D46" s="263" t="s">
        <v>240</v>
      </c>
      <c r="E46" s="316"/>
      <c r="F46" s="316">
        <v>3519933422</v>
      </c>
      <c r="G46" s="313">
        <v>0</v>
      </c>
      <c r="H46" s="316"/>
      <c r="I46" s="313">
        <v>0</v>
      </c>
      <c r="J46" s="316"/>
      <c r="K46" s="316"/>
      <c r="L46" s="316"/>
      <c r="M46" s="345"/>
      <c r="N46" s="316"/>
      <c r="O46" s="316"/>
      <c r="P46" s="313"/>
      <c r="Q46" s="346">
        <f>SUM(E46:P46)</f>
        <v>3519933422</v>
      </c>
      <c r="R46" s="342">
        <f>+Q46+'Summary 2025'!Q49</f>
        <v>5934872067</v>
      </c>
      <c r="S46" s="366">
        <f t="shared" si="26"/>
        <v>0</v>
      </c>
      <c r="T46" s="368">
        <f t="shared" si="27"/>
        <v>134.91504108853968</v>
      </c>
      <c r="U46" s="368">
        <f t="shared" si="28"/>
        <v>0</v>
      </c>
      <c r="V46" s="368">
        <f t="shared" si="29"/>
        <v>0</v>
      </c>
      <c r="W46" s="368">
        <f t="shared" si="30"/>
        <v>0</v>
      </c>
      <c r="X46" s="366">
        <f t="shared" si="31"/>
        <v>0</v>
      </c>
      <c r="Y46" s="343">
        <f t="shared" si="32"/>
        <v>0</v>
      </c>
      <c r="Z46" s="343">
        <f t="shared" si="33"/>
        <v>0</v>
      </c>
      <c r="AA46" s="343">
        <f t="shared" si="34"/>
        <v>0</v>
      </c>
      <c r="AB46" s="343">
        <f t="shared" si="35"/>
        <v>0</v>
      </c>
      <c r="AC46" s="343">
        <f t="shared" si="36"/>
        <v>0</v>
      </c>
      <c r="AD46" s="343">
        <f t="shared" si="37"/>
        <v>0</v>
      </c>
      <c r="AE46" s="344">
        <f>SUM(S46:AD46)</f>
        <v>134.91504108853968</v>
      </c>
    </row>
    <row r="47" spans="1:31" ht="11.65">
      <c r="A47" t="str">
        <f t="shared" si="17"/>
        <v>SITE37</v>
      </c>
      <c r="B47" s="309"/>
      <c r="C47" t="s">
        <v>199</v>
      </c>
      <c r="D47" s="263" t="s">
        <v>241</v>
      </c>
      <c r="E47" s="316"/>
      <c r="F47" s="316"/>
      <c r="G47" s="313">
        <v>2398674230</v>
      </c>
      <c r="H47" s="316">
        <v>3379489230</v>
      </c>
      <c r="I47" s="313">
        <v>0</v>
      </c>
      <c r="J47" s="316"/>
      <c r="K47" s="316"/>
      <c r="L47" s="316"/>
      <c r="M47" s="345"/>
      <c r="N47" s="316"/>
      <c r="O47" s="316"/>
      <c r="P47" s="313"/>
      <c r="Q47" s="346">
        <f t="shared" si="38"/>
        <v>5778163460</v>
      </c>
      <c r="R47" s="325">
        <f>+Q47</f>
        <v>5778163460</v>
      </c>
      <c r="S47" s="366">
        <f t="shared" si="26"/>
        <v>0</v>
      </c>
      <c r="T47" s="367">
        <f t="shared" si="27"/>
        <v>0</v>
      </c>
      <c r="U47" s="367">
        <f t="shared" si="28"/>
        <v>90.976038458620948</v>
      </c>
      <c r="V47" s="367">
        <f t="shared" si="29"/>
        <v>128.21006980537956</v>
      </c>
      <c r="W47" s="367">
        <f t="shared" si="30"/>
        <v>0</v>
      </c>
      <c r="X47" s="366">
        <f t="shared" si="31"/>
        <v>0</v>
      </c>
      <c r="Y47" s="328">
        <f t="shared" si="32"/>
        <v>0</v>
      </c>
      <c r="Z47" s="328">
        <f t="shared" si="33"/>
        <v>0</v>
      </c>
      <c r="AA47" s="328">
        <f t="shared" si="34"/>
        <v>0</v>
      </c>
      <c r="AB47" s="328">
        <f t="shared" si="35"/>
        <v>0</v>
      </c>
      <c r="AC47" s="328">
        <f t="shared" si="36"/>
        <v>0</v>
      </c>
      <c r="AD47" s="328">
        <f t="shared" si="37"/>
        <v>0</v>
      </c>
      <c r="AE47" s="347">
        <f>SUM(S47:AD47)</f>
        <v>219.1861082640005</v>
      </c>
    </row>
    <row r="48" spans="1:31" ht="11.65">
      <c r="A48" t="str">
        <f t="shared" si="17"/>
        <v>SITE38</v>
      </c>
      <c r="B48" s="309"/>
      <c r="C48" t="s">
        <v>198</v>
      </c>
      <c r="D48" s="263" t="s">
        <v>242</v>
      </c>
      <c r="E48" s="348"/>
      <c r="F48" s="316"/>
      <c r="G48" s="313">
        <v>0</v>
      </c>
      <c r="H48" s="316"/>
      <c r="I48" s="313">
        <v>0</v>
      </c>
      <c r="J48" s="316"/>
      <c r="K48" s="316"/>
      <c r="L48" s="316"/>
      <c r="M48" s="345"/>
      <c r="N48" s="316"/>
      <c r="O48" s="316"/>
      <c r="P48" s="313"/>
      <c r="Q48" s="346">
        <f t="shared" si="38"/>
        <v>0</v>
      </c>
      <c r="R48" s="325">
        <f>+Q48</f>
        <v>0</v>
      </c>
      <c r="S48" s="366">
        <f t="shared" si="26"/>
        <v>0</v>
      </c>
      <c r="T48" s="367">
        <f t="shared" si="27"/>
        <v>0</v>
      </c>
      <c r="U48" s="367">
        <f t="shared" si="28"/>
        <v>0</v>
      </c>
      <c r="V48" s="367">
        <f t="shared" si="29"/>
        <v>0</v>
      </c>
      <c r="W48" s="367">
        <f t="shared" si="30"/>
        <v>0</v>
      </c>
      <c r="X48" s="366">
        <f t="shared" si="31"/>
        <v>0</v>
      </c>
      <c r="Y48" s="328">
        <f t="shared" si="32"/>
        <v>0</v>
      </c>
      <c r="Z48" s="328">
        <f t="shared" si="33"/>
        <v>0</v>
      </c>
      <c r="AA48" s="328">
        <f t="shared" si="34"/>
        <v>0</v>
      </c>
      <c r="AB48" s="328">
        <f t="shared" si="35"/>
        <v>0</v>
      </c>
      <c r="AC48" s="328">
        <f t="shared" si="36"/>
        <v>0</v>
      </c>
      <c r="AD48" s="328">
        <f t="shared" si="37"/>
        <v>0</v>
      </c>
      <c r="AE48" s="347">
        <f>SUM(S48:AD48)</f>
        <v>0</v>
      </c>
    </row>
    <row r="49" spans="1:78" ht="11.65">
      <c r="A49" t="str">
        <f t="shared" si="17"/>
        <v>SITE39</v>
      </c>
      <c r="B49" s="309" t="s">
        <v>201</v>
      </c>
      <c r="C49" t="s">
        <v>198</v>
      </c>
      <c r="D49" s="263" t="s">
        <v>247</v>
      </c>
      <c r="E49" s="348"/>
      <c r="F49" s="316"/>
      <c r="G49" s="313"/>
      <c r="H49" s="316"/>
      <c r="I49" s="313">
        <v>1208453376</v>
      </c>
      <c r="J49" s="316">
        <v>1461156772</v>
      </c>
      <c r="K49" s="316"/>
      <c r="L49" s="316"/>
      <c r="M49" s="345"/>
      <c r="N49" s="316"/>
      <c r="O49" s="316"/>
      <c r="P49" s="313"/>
      <c r="Q49" s="346">
        <f t="shared" si="38"/>
        <v>2669610148</v>
      </c>
      <c r="R49" s="325">
        <f>+I49</f>
        <v>1208453376</v>
      </c>
      <c r="S49" s="367"/>
      <c r="T49" s="367"/>
      <c r="U49" s="367"/>
      <c r="V49" s="367"/>
      <c r="W49" s="367">
        <f t="shared" si="30"/>
        <v>45.905161481481478</v>
      </c>
      <c r="X49" s="366">
        <f t="shared" si="31"/>
        <v>55.55</v>
      </c>
      <c r="Y49" s="328"/>
      <c r="Z49" s="328"/>
      <c r="AA49" s="328"/>
      <c r="AB49" s="328"/>
      <c r="AC49" s="328"/>
      <c r="AD49" s="328"/>
      <c r="AE49" s="347">
        <f>SUM(S49:AD49)</f>
        <v>101.45516148148147</v>
      </c>
    </row>
    <row r="50" spans="1:78" s="356" customFormat="1" ht="11.65">
      <c r="D50" s="350" t="s">
        <v>228</v>
      </c>
      <c r="E50" s="357">
        <f>+SUM(E51:E54)</f>
        <v>52577047</v>
      </c>
      <c r="F50" s="357">
        <f>+SUM(F51:F54)</f>
        <v>947159657</v>
      </c>
      <c r="G50" s="357">
        <f>+SUM(G51:G54)</f>
        <v>471299497</v>
      </c>
      <c r="H50" s="357">
        <f>+SUM(H51:H54)</f>
        <v>1045162739</v>
      </c>
      <c r="I50" s="357">
        <f>+SUM(I51:I54)</f>
        <v>1760311472</v>
      </c>
      <c r="J50" s="357">
        <f t="shared" ref="J50:P50" si="41">+SUM(J51:J54)</f>
        <v>1806342141</v>
      </c>
      <c r="K50" s="357">
        <f t="shared" si="41"/>
        <v>0</v>
      </c>
      <c r="L50" s="357">
        <f t="shared" si="41"/>
        <v>0</v>
      </c>
      <c r="M50" s="357">
        <f t="shared" si="41"/>
        <v>0</v>
      </c>
      <c r="N50" s="357">
        <f t="shared" si="41"/>
        <v>0</v>
      </c>
      <c r="O50" s="357">
        <f t="shared" si="41"/>
        <v>0</v>
      </c>
      <c r="P50" s="357">
        <f t="shared" si="41"/>
        <v>0</v>
      </c>
      <c r="Q50" s="357">
        <f>+SUM(Q51:Q54)</f>
        <v>6082852553</v>
      </c>
      <c r="R50" s="357">
        <f>+SUM(R51:R54)</f>
        <v>6082852553</v>
      </c>
      <c r="S50" s="369">
        <f t="shared" ref="S50" si="42">+SUM(S51:S54)</f>
        <v>2.0227386988804676</v>
      </c>
      <c r="T50" s="369">
        <f>+SUM(T51:T54)</f>
        <v>36.303551437332317</v>
      </c>
      <c r="U50" s="369">
        <f>+SUM(U51:U54)</f>
        <v>17.875274861564137</v>
      </c>
      <c r="V50" s="369">
        <f t="shared" ref="V50" si="43">+SUM(V51:V54)</f>
        <v>39.651077013543762</v>
      </c>
      <c r="W50" s="369">
        <f>+SUM(W51:W54)</f>
        <v>66.868431984805312</v>
      </c>
      <c r="X50" s="357">
        <f t="shared" ref="X50" si="44">+SUM(X51:X54)</f>
        <v>69.493407494325396</v>
      </c>
      <c r="Y50" s="357">
        <f t="shared" ref="Y50" si="45">+SUM(Y51:Y54)</f>
        <v>0</v>
      </c>
      <c r="Z50" s="357">
        <f t="shared" ref="Z50" si="46">+SUM(Z51:Z54)</f>
        <v>0</v>
      </c>
      <c r="AA50" s="357">
        <f t="shared" ref="AA50" si="47">+SUM(AA51:AA54)</f>
        <v>0</v>
      </c>
      <c r="AB50" s="357">
        <f t="shared" ref="AB50" si="48">+SUM(AB51:AB54)</f>
        <v>0</v>
      </c>
      <c r="AC50" s="357">
        <f t="shared" ref="AC50" si="49">+SUM(AC51:AC54)</f>
        <v>0</v>
      </c>
      <c r="AD50" s="357">
        <f t="shared" ref="AD50" si="50">+SUM(AD51:AD54)</f>
        <v>0</v>
      </c>
      <c r="AE50" s="357">
        <f t="shared" ref="AE50" si="51">+SUM(AE51:AE54)</f>
        <v>232.21448149045139</v>
      </c>
      <c r="AF50" s="363">
        <f>+J50-'[1]IS (01)'!$K$29</f>
        <v>0</v>
      </c>
      <c r="AG50" s="363">
        <f>+Q50-'[1]IS (01)'!$L$31</f>
        <v>0</v>
      </c>
      <c r="AH50" s="309"/>
      <c r="AI50" s="309"/>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c r="BL50" s="360"/>
      <c r="BM50" s="360"/>
      <c r="BN50" s="360"/>
      <c r="BO50" s="360"/>
      <c r="BP50" s="360"/>
      <c r="BQ50" s="360"/>
      <c r="BR50" s="360"/>
      <c r="BS50" s="360"/>
      <c r="BT50" s="360"/>
      <c r="BU50" s="360"/>
      <c r="BV50" s="360"/>
      <c r="BW50" s="360"/>
      <c r="BX50" s="360"/>
      <c r="BY50" s="360"/>
      <c r="BZ50" s="360"/>
    </row>
    <row r="51" spans="1:78" s="349" customFormat="1" ht="11.65">
      <c r="A51" t="str">
        <f t="shared" si="17"/>
        <v>SITE18</v>
      </c>
      <c r="B51" s="309"/>
      <c r="C51" t="s">
        <v>198</v>
      </c>
      <c r="D51" s="263" t="s">
        <v>230</v>
      </c>
      <c r="E51" s="351">
        <v>24043038</v>
      </c>
      <c r="F51" s="317">
        <f>+'Reparing Cost'!J15</f>
        <v>388555008</v>
      </c>
      <c r="G51" s="317">
        <v>180533745</v>
      </c>
      <c r="H51" s="317">
        <v>446827079</v>
      </c>
      <c r="I51" s="317">
        <v>885361893</v>
      </c>
      <c r="J51" s="317">
        <v>1243643234</v>
      </c>
      <c r="K51" s="317"/>
      <c r="L51" s="317"/>
      <c r="M51" s="345"/>
      <c r="N51" s="317"/>
      <c r="O51" s="317"/>
      <c r="P51" s="352"/>
      <c r="Q51" s="346">
        <f>SUM(E51:P51)</f>
        <v>3168963997</v>
      </c>
      <c r="R51" s="325">
        <f>+Q51</f>
        <v>3168963997</v>
      </c>
      <c r="S51" s="366">
        <f>E51/$S$55</f>
        <v>0.92498126418651172</v>
      </c>
      <c r="T51" s="367">
        <f>F51/$T$55</f>
        <v>14.892871138367191</v>
      </c>
      <c r="U51" s="367">
        <f>G51/$U$55</f>
        <v>6.8472178184024877</v>
      </c>
      <c r="V51" s="367">
        <f>H51/$V$55</f>
        <v>16.951594483857505</v>
      </c>
      <c r="W51" s="367">
        <f>I51/$W$55</f>
        <v>33.631980740740744</v>
      </c>
      <c r="X51" s="366">
        <f t="shared" ref="X51:X54" si="52">J51/$S$55</f>
        <v>47.845313507482786</v>
      </c>
      <c r="Y51" s="326">
        <f t="shared" ref="Y51:Y54" si="53">K51/$S$55</f>
        <v>0</v>
      </c>
      <c r="Z51" s="326">
        <f t="shared" ref="Z51:Z54" si="54">L51/$S$55</f>
        <v>0</v>
      </c>
      <c r="AA51" s="326">
        <f t="shared" ref="AA51:AA54" si="55">M51/$S$55</f>
        <v>0</v>
      </c>
      <c r="AB51" s="326">
        <f t="shared" ref="AB51:AB54" si="56">N51/$S$55</f>
        <v>0</v>
      </c>
      <c r="AC51" s="326">
        <f t="shared" ref="AC51:AC54" si="57">O51/$S$55</f>
        <v>0</v>
      </c>
      <c r="AD51" s="326">
        <f t="shared" ref="AD51:AD54" si="58">P51/$S$55</f>
        <v>0</v>
      </c>
      <c r="AE51" s="347">
        <f>SUM(S51:AD51)</f>
        <v>121.09395895303723</v>
      </c>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s="349" customFormat="1" ht="11.65">
      <c r="A52" t="str">
        <f t="shared" si="17"/>
        <v>SITE23</v>
      </c>
      <c r="B52" s="309"/>
      <c r="C52" t="s">
        <v>198</v>
      </c>
      <c r="D52" s="263" t="s">
        <v>233</v>
      </c>
      <c r="E52" s="351">
        <v>28534009</v>
      </c>
      <c r="F52" s="317">
        <f>+'Reparing Cost'!J16</f>
        <v>558604649</v>
      </c>
      <c r="G52" s="317">
        <v>290765752</v>
      </c>
      <c r="H52" s="317">
        <v>588246657</v>
      </c>
      <c r="I52" s="317">
        <v>874949579</v>
      </c>
      <c r="J52" s="317">
        <v>562698907</v>
      </c>
      <c r="K52" s="317"/>
      <c r="L52" s="317"/>
      <c r="M52" s="345"/>
      <c r="N52" s="317"/>
      <c r="O52" s="317"/>
      <c r="P52" s="352"/>
      <c r="Q52" s="346">
        <f t="shared" ref="Q52:Q54" si="59">SUM(E52:P52)</f>
        <v>2903799553</v>
      </c>
      <c r="R52" s="325">
        <f t="shared" ref="R52:R54" si="60">+Q52</f>
        <v>2903799553</v>
      </c>
      <c r="S52" s="366">
        <f t="shared" ref="S52:S54" si="61">E52/$S$55</f>
        <v>1.097757434693956</v>
      </c>
      <c r="T52" s="367">
        <f t="shared" ref="T52:T54" si="62">F52/$T$55</f>
        <v>21.410680298965122</v>
      </c>
      <c r="U52" s="367">
        <f t="shared" ref="U52:U54" si="63">G52/$U$55</f>
        <v>11.028057043161647</v>
      </c>
      <c r="V52" s="367">
        <f t="shared" ref="V52:V54" si="64">H52/$V$55</f>
        <v>22.316728897150877</v>
      </c>
      <c r="W52" s="367">
        <f>I52/$W$55</f>
        <v>33.236451244064575</v>
      </c>
      <c r="X52" s="366">
        <f t="shared" si="52"/>
        <v>21.648093986842611</v>
      </c>
      <c r="Y52" s="326">
        <f t="shared" si="53"/>
        <v>0</v>
      </c>
      <c r="Z52" s="326">
        <f t="shared" si="54"/>
        <v>0</v>
      </c>
      <c r="AA52" s="326">
        <f t="shared" si="55"/>
        <v>0</v>
      </c>
      <c r="AB52" s="326">
        <f t="shared" si="56"/>
        <v>0</v>
      </c>
      <c r="AC52" s="326">
        <f t="shared" si="57"/>
        <v>0</v>
      </c>
      <c r="AD52" s="326">
        <f t="shared" si="58"/>
        <v>0</v>
      </c>
      <c r="AE52" s="347">
        <f t="shared" ref="AE52:AE54" si="65">SUM(S52:AD52)</f>
        <v>110.73776890487878</v>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s="349" customFormat="1" ht="11.65">
      <c r="A53" t="str">
        <f t="shared" si="17"/>
        <v>SITE27</v>
      </c>
      <c r="B53" s="309"/>
      <c r="C53" t="s">
        <v>198</v>
      </c>
      <c r="D53" s="263" t="s">
        <v>234</v>
      </c>
      <c r="E53" s="351"/>
      <c r="F53" s="317"/>
      <c r="G53" s="317"/>
      <c r="H53" s="317">
        <v>10089003</v>
      </c>
      <c r="I53" s="317"/>
      <c r="J53" s="317"/>
      <c r="K53" s="317"/>
      <c r="L53" s="317"/>
      <c r="M53" s="345"/>
      <c r="N53" s="317"/>
      <c r="O53" s="317"/>
      <c r="P53" s="352"/>
      <c r="Q53" s="346">
        <f t="shared" si="59"/>
        <v>10089003</v>
      </c>
      <c r="R53" s="325">
        <f t="shared" si="60"/>
        <v>10089003</v>
      </c>
      <c r="S53" s="366">
        <f t="shared" si="61"/>
        <v>0</v>
      </c>
      <c r="T53" s="367">
        <f t="shared" si="62"/>
        <v>0</v>
      </c>
      <c r="U53" s="367">
        <f t="shared" si="63"/>
        <v>0</v>
      </c>
      <c r="V53" s="367">
        <f t="shared" si="64"/>
        <v>0.38275363253537692</v>
      </c>
      <c r="W53" s="367">
        <f>I53/$W$55</f>
        <v>0</v>
      </c>
      <c r="X53" s="366">
        <f t="shared" si="52"/>
        <v>0</v>
      </c>
      <c r="Y53" s="326">
        <f t="shared" si="53"/>
        <v>0</v>
      </c>
      <c r="Z53" s="326">
        <f t="shared" si="54"/>
        <v>0</v>
      </c>
      <c r="AA53" s="326">
        <f t="shared" si="55"/>
        <v>0</v>
      </c>
      <c r="AB53" s="326">
        <f t="shared" si="56"/>
        <v>0</v>
      </c>
      <c r="AC53" s="326">
        <f t="shared" si="57"/>
        <v>0</v>
      </c>
      <c r="AD53" s="326">
        <f t="shared" si="58"/>
        <v>0</v>
      </c>
      <c r="AE53" s="347">
        <f t="shared" si="65"/>
        <v>0.38275363253537692</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s="349" customFormat="1" ht="11.65">
      <c r="A54" t="str">
        <f t="shared" si="17"/>
        <v>SITE28</v>
      </c>
      <c r="B54" s="309"/>
      <c r="C54" t="s">
        <v>198</v>
      </c>
      <c r="D54" s="263" t="s">
        <v>235</v>
      </c>
      <c r="E54" s="351"/>
      <c r="F54" s="317"/>
      <c r="G54" s="317"/>
      <c r="H54" s="317"/>
      <c r="I54" s="317"/>
      <c r="J54" s="317"/>
      <c r="K54" s="317"/>
      <c r="L54" s="317"/>
      <c r="M54" s="345"/>
      <c r="N54" s="317"/>
      <c r="O54" s="317"/>
      <c r="P54" s="352"/>
      <c r="Q54" s="346">
        <f t="shared" si="59"/>
        <v>0</v>
      </c>
      <c r="R54" s="325">
        <f t="shared" si="60"/>
        <v>0</v>
      </c>
      <c r="S54" s="366">
        <f t="shared" si="61"/>
        <v>0</v>
      </c>
      <c r="T54" s="367">
        <f t="shared" si="62"/>
        <v>0</v>
      </c>
      <c r="U54" s="367">
        <f t="shared" si="63"/>
        <v>0</v>
      </c>
      <c r="V54" s="367">
        <f t="shared" si="64"/>
        <v>0</v>
      </c>
      <c r="W54" s="367">
        <f>I54/$W$55</f>
        <v>0</v>
      </c>
      <c r="X54" s="366">
        <f t="shared" si="52"/>
        <v>0</v>
      </c>
      <c r="Y54" s="326">
        <f t="shared" si="53"/>
        <v>0</v>
      </c>
      <c r="Z54" s="326">
        <f t="shared" si="54"/>
        <v>0</v>
      </c>
      <c r="AA54" s="326">
        <f t="shared" si="55"/>
        <v>0</v>
      </c>
      <c r="AB54" s="326">
        <f t="shared" si="56"/>
        <v>0</v>
      </c>
      <c r="AC54" s="326">
        <f t="shared" si="57"/>
        <v>0</v>
      </c>
      <c r="AD54" s="326">
        <f t="shared" si="58"/>
        <v>0</v>
      </c>
      <c r="AE54" s="347">
        <f t="shared" si="65"/>
        <v>0</v>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ht="13.5">
      <c r="D55" s="332" t="s">
        <v>19</v>
      </c>
      <c r="E55" s="242"/>
      <c r="F55" s="332"/>
      <c r="G55" s="332"/>
      <c r="H55" s="333"/>
      <c r="I55" s="333"/>
      <c r="J55" s="332"/>
      <c r="K55" s="334"/>
      <c r="L55" s="332"/>
      <c r="M55" s="332"/>
      <c r="N55" s="332"/>
      <c r="O55" s="332"/>
      <c r="P55" s="332"/>
      <c r="Q55" s="332"/>
      <c r="R55" s="332"/>
      <c r="S55" s="332">
        <v>25993000</v>
      </c>
      <c r="T55" s="332">
        <v>26090000</v>
      </c>
      <c r="U55" s="332">
        <v>26366000</v>
      </c>
      <c r="V55" s="332">
        <v>26359000</v>
      </c>
      <c r="W55" s="332">
        <f>26325*1000</f>
        <v>26325000</v>
      </c>
      <c r="X55" s="332">
        <v>26305000</v>
      </c>
      <c r="Y55" s="332">
        <v>26191000</v>
      </c>
      <c r="Z55" s="332">
        <v>26399000</v>
      </c>
      <c r="AA55" s="335">
        <v>26407000</v>
      </c>
      <c r="AB55" s="332">
        <v>26307000</v>
      </c>
      <c r="AC55" s="332">
        <v>26393000</v>
      </c>
      <c r="AD55" s="332">
        <v>26280000</v>
      </c>
      <c r="AE55" s="332"/>
    </row>
    <row r="56" spans="1:78" ht="13.5">
      <c r="D56" s="241"/>
      <c r="F56" s="242"/>
      <c r="G56" s="242"/>
      <c r="H56" s="242"/>
      <c r="I56" s="242"/>
      <c r="J56" s="241"/>
      <c r="K56" s="243"/>
      <c r="L56" s="241"/>
      <c r="M56" s="242"/>
      <c r="N56" s="241"/>
      <c r="O56" s="241"/>
      <c r="P56" s="241"/>
      <c r="Q56" s="236"/>
      <c r="R56" s="236"/>
      <c r="S56" s="241"/>
      <c r="T56" s="241"/>
      <c r="U56" s="241"/>
      <c r="V56" s="241"/>
      <c r="W56" s="244"/>
      <c r="X56" s="241"/>
      <c r="Y56" s="241"/>
      <c r="Z56" s="241"/>
      <c r="AA56" s="241"/>
      <c r="AB56" s="241"/>
      <c r="AC56" s="241"/>
      <c r="AD56" s="241"/>
      <c r="AE56" s="241"/>
    </row>
    <row r="57" spans="1:78" ht="13.5">
      <c r="D57" s="245" t="s">
        <v>38</v>
      </c>
      <c r="E57" s="247">
        <f>IFERROR(E31/E10,0)</f>
        <v>0.87050000000518735</v>
      </c>
      <c r="F57" s="247">
        <f t="shared" ref="F57:Q57" si="66">IFERROR(F31/F10,0)</f>
        <v>0.87049999999057548</v>
      </c>
      <c r="G57" s="247">
        <f t="shared" si="66"/>
        <v>0.87049999995668281</v>
      </c>
      <c r="H57" s="247">
        <f t="shared" si="66"/>
        <v>0.87050000000842154</v>
      </c>
      <c r="I57" s="247">
        <f t="shared" si="66"/>
        <v>0.87050000000488503</v>
      </c>
      <c r="J57" s="247">
        <f t="shared" si="66"/>
        <v>0.87049999995484062</v>
      </c>
      <c r="K57" s="247">
        <f t="shared" si="66"/>
        <v>0</v>
      </c>
      <c r="L57" s="247">
        <f t="shared" si="66"/>
        <v>0</v>
      </c>
      <c r="M57" s="247">
        <f t="shared" si="66"/>
        <v>0</v>
      </c>
      <c r="N57" s="247">
        <f t="shared" si="66"/>
        <v>0</v>
      </c>
      <c r="O57" s="247">
        <f t="shared" si="66"/>
        <v>0</v>
      </c>
      <c r="P57" s="247">
        <f t="shared" si="66"/>
        <v>0</v>
      </c>
      <c r="Q57" s="247">
        <f t="shared" si="66"/>
        <v>0.87049999998500549</v>
      </c>
      <c r="R57" s="353">
        <f t="shared" ref="R57:S57" si="67">IFERROR(R31/R10,0)</f>
        <v>0.87049999999947403</v>
      </c>
      <c r="S57" s="247">
        <f t="shared" si="67"/>
        <v>0.87050000000518746</v>
      </c>
      <c r="T57" s="247">
        <f t="shared" ref="T57:AE57" si="68">IFERROR(T31/T10,0)</f>
        <v>0.87049999999057537</v>
      </c>
      <c r="U57" s="247">
        <f t="shared" si="68"/>
        <v>0.87049999995668281</v>
      </c>
      <c r="V57" s="247">
        <f t="shared" si="68"/>
        <v>0.87050000000842143</v>
      </c>
      <c r="W57" s="247">
        <f t="shared" si="68"/>
        <v>0.87050000000488503</v>
      </c>
      <c r="X57" s="247">
        <f t="shared" si="68"/>
        <v>0.87048409883804756</v>
      </c>
      <c r="Y57" s="247">
        <f t="shared" si="68"/>
        <v>0</v>
      </c>
      <c r="Z57" s="247">
        <f t="shared" si="68"/>
        <v>0</v>
      </c>
      <c r="AA57" s="247">
        <f t="shared" si="68"/>
        <v>0</v>
      </c>
      <c r="AB57" s="247">
        <f t="shared" si="68"/>
        <v>0</v>
      </c>
      <c r="AC57" s="247">
        <f t="shared" si="68"/>
        <v>0</v>
      </c>
      <c r="AD57" s="247">
        <f t="shared" si="68"/>
        <v>0</v>
      </c>
      <c r="AE57" s="247">
        <f t="shared" si="68"/>
        <v>0.8704969589056345</v>
      </c>
    </row>
    <row r="58" spans="1:78" ht="13.5">
      <c r="D58" s="245"/>
      <c r="E58" s="247"/>
      <c r="F58" s="247"/>
      <c r="G58" s="247"/>
      <c r="H58" s="247"/>
      <c r="I58" s="247"/>
      <c r="J58" s="247"/>
      <c r="K58" s="247"/>
      <c r="L58" s="247"/>
      <c r="M58" s="247"/>
      <c r="N58" s="247"/>
      <c r="O58" s="247"/>
      <c r="P58" s="247"/>
      <c r="Q58" s="247"/>
      <c r="R58" s="353"/>
      <c r="S58" s="247"/>
      <c r="T58" s="247"/>
      <c r="U58" s="247"/>
      <c r="V58" s="247"/>
      <c r="W58" s="247"/>
      <c r="X58" s="247"/>
      <c r="Y58" s="247"/>
      <c r="Z58" s="247"/>
      <c r="AA58" s="247"/>
      <c r="AB58" s="247"/>
      <c r="AC58" s="247"/>
      <c r="AD58" s="247"/>
      <c r="AE58" s="247"/>
    </row>
    <row r="59" spans="1:78" ht="13.5">
      <c r="D59" s="245" t="s">
        <v>215</v>
      </c>
      <c r="E59" s="247">
        <f>IFERROR((E36+E51)/E15,0)</f>
        <v>0.84999999975876595</v>
      </c>
      <c r="F59" s="247">
        <f t="shared" ref="F59:Q59" si="69">IFERROR((F36+F51)/F15,0)</f>
        <v>0.85000000001492715</v>
      </c>
      <c r="G59" s="247">
        <f>IFERROR((G36+G51)/G15,0)</f>
        <v>0.85000000002248888</v>
      </c>
      <c r="H59" s="247">
        <f t="shared" si="69"/>
        <v>0.84999999999870191</v>
      </c>
      <c r="I59" s="247">
        <f t="shared" si="69"/>
        <v>0.85000000000262044</v>
      </c>
      <c r="J59" s="247">
        <f t="shared" si="69"/>
        <v>0.84999999999906728</v>
      </c>
      <c r="K59" s="247">
        <f t="shared" si="69"/>
        <v>0</v>
      </c>
      <c r="L59" s="247">
        <f t="shared" si="69"/>
        <v>0</v>
      </c>
      <c r="M59" s="247">
        <f t="shared" si="69"/>
        <v>0</v>
      </c>
      <c r="N59" s="247">
        <f t="shared" si="69"/>
        <v>0</v>
      </c>
      <c r="O59" s="247">
        <f t="shared" si="69"/>
        <v>0</v>
      </c>
      <c r="P59" s="247">
        <f t="shared" si="69"/>
        <v>0</v>
      </c>
      <c r="Q59" s="247">
        <f t="shared" si="69"/>
        <v>0.85000000000146425</v>
      </c>
      <c r="R59" s="353">
        <f t="shared" ref="R59:S59" si="70">IFERROR((R36+R51)/R15,0)</f>
        <v>0.85000000000084974</v>
      </c>
      <c r="S59" s="247">
        <f t="shared" si="70"/>
        <v>0.84999999975876595</v>
      </c>
      <c r="T59" s="247">
        <f t="shared" ref="T59:AE59" si="71">IFERROR((T36+T51)/T15,0)</f>
        <v>0.85000000001492704</v>
      </c>
      <c r="U59" s="247">
        <f t="shared" si="71"/>
        <v>0.85000000002248888</v>
      </c>
      <c r="V59" s="247">
        <f t="shared" si="71"/>
        <v>0.84999999999870191</v>
      </c>
      <c r="W59" s="247">
        <f t="shared" si="71"/>
        <v>0.85000000000262044</v>
      </c>
      <c r="X59" s="247">
        <f t="shared" si="71"/>
        <v>0.85014128069924277</v>
      </c>
      <c r="Y59" s="247">
        <f t="shared" si="71"/>
        <v>0</v>
      </c>
      <c r="Z59" s="247">
        <f t="shared" si="71"/>
        <v>0</v>
      </c>
      <c r="AA59" s="247">
        <f t="shared" si="71"/>
        <v>0</v>
      </c>
      <c r="AB59" s="247">
        <f t="shared" si="71"/>
        <v>0</v>
      </c>
      <c r="AC59" s="247">
        <f t="shared" si="71"/>
        <v>0</v>
      </c>
      <c r="AD59" s="247">
        <f t="shared" si="71"/>
        <v>0</v>
      </c>
      <c r="AE59" s="247">
        <f t="shared" si="71"/>
        <v>0.85005541886209268</v>
      </c>
    </row>
    <row r="60" spans="1:78" ht="13.5">
      <c r="D60" s="245"/>
      <c r="R60" s="354"/>
    </row>
    <row r="61" spans="1:78" ht="13.5">
      <c r="D61" s="245" t="s">
        <v>160</v>
      </c>
      <c r="E61" s="247">
        <f>IFERROR((E39+E52)/E18,0)</f>
        <v>0.84690000008159005</v>
      </c>
      <c r="F61" s="247">
        <f t="shared" ref="F61:Q61" si="72">IFERROR((F39+F52)/F18,0)</f>
        <v>0.84689999999796894</v>
      </c>
      <c r="G61" s="247">
        <f t="shared" si="72"/>
        <v>0.84689999998925103</v>
      </c>
      <c r="H61" s="247">
        <f t="shared" si="72"/>
        <v>0.84690000000000598</v>
      </c>
      <c r="I61" s="247">
        <f t="shared" si="72"/>
        <v>0.84690000000366383</v>
      </c>
      <c r="J61" s="247">
        <f t="shared" si="72"/>
        <v>0.84689999999787513</v>
      </c>
      <c r="K61" s="247">
        <f t="shared" si="72"/>
        <v>0</v>
      </c>
      <c r="L61" s="247">
        <f t="shared" si="72"/>
        <v>0</v>
      </c>
      <c r="M61" s="247">
        <f t="shared" si="72"/>
        <v>0</v>
      </c>
      <c r="N61" s="247">
        <f t="shared" si="72"/>
        <v>0</v>
      </c>
      <c r="O61" s="247">
        <f t="shared" si="72"/>
        <v>0</v>
      </c>
      <c r="P61" s="247">
        <f t="shared" si="72"/>
        <v>0</v>
      </c>
      <c r="Q61" s="247">
        <f t="shared" si="72"/>
        <v>0.84690000000002807</v>
      </c>
      <c r="R61" s="353">
        <f t="shared" ref="R61:S61" si="73">IFERROR((R39+R52)/R18,0)</f>
        <v>0.84689999999988641</v>
      </c>
      <c r="S61" s="247">
        <f t="shared" si="73"/>
        <v>0.84690000008159005</v>
      </c>
      <c r="T61" s="247">
        <f t="shared" ref="T61:AE61" si="74">IFERROR((T39+T52)/T18,0)</f>
        <v>0.84689999999796883</v>
      </c>
      <c r="U61" s="247">
        <f t="shared" si="74"/>
        <v>0.84689999998925114</v>
      </c>
      <c r="V61" s="247">
        <f t="shared" si="74"/>
        <v>0.84690000000000598</v>
      </c>
      <c r="W61" s="247">
        <f t="shared" si="74"/>
        <v>0.84690000000366372</v>
      </c>
      <c r="X61" s="247">
        <f t="shared" si="74"/>
        <v>0.84698528772888293</v>
      </c>
      <c r="Y61" s="247">
        <f t="shared" si="74"/>
        <v>0</v>
      </c>
      <c r="Z61" s="247">
        <f t="shared" si="74"/>
        <v>0</v>
      </c>
      <c r="AA61" s="247">
        <f t="shared" si="74"/>
        <v>0</v>
      </c>
      <c r="AB61" s="247">
        <f t="shared" si="74"/>
        <v>0</v>
      </c>
      <c r="AC61" s="247">
        <f t="shared" si="74"/>
        <v>0</v>
      </c>
      <c r="AD61" s="247">
        <f t="shared" si="74"/>
        <v>0</v>
      </c>
      <c r="AE61" s="247">
        <f t="shared" si="74"/>
        <v>0.84691651339389384</v>
      </c>
      <c r="AF61" s="279"/>
    </row>
    <row r="62" spans="1:78" ht="13.5">
      <c r="D62" s="245"/>
      <c r="E62" s="242"/>
      <c r="F62" s="242"/>
      <c r="G62" s="242"/>
      <c r="H62" s="242"/>
      <c r="I62" s="242"/>
      <c r="J62" s="242"/>
      <c r="K62" s="242"/>
      <c r="L62" s="242"/>
      <c r="M62" s="242"/>
      <c r="N62" s="242"/>
      <c r="O62" s="242"/>
      <c r="P62" s="242"/>
      <c r="Q62" s="242"/>
      <c r="R62" s="355"/>
      <c r="S62" s="242"/>
      <c r="T62" s="242"/>
      <c r="U62" s="242"/>
      <c r="V62" s="242"/>
      <c r="W62" s="242"/>
      <c r="X62" s="242"/>
      <c r="Y62" s="242"/>
      <c r="Z62" s="242"/>
      <c r="AA62" s="242"/>
      <c r="AB62" s="242"/>
      <c r="AC62" s="242"/>
      <c r="AD62" s="242"/>
      <c r="AE62" s="242"/>
    </row>
    <row r="63" spans="1:78" ht="13.5">
      <c r="D63" s="245" t="s">
        <v>178</v>
      </c>
      <c r="E63" s="247">
        <f>IFERROR((E40+E53)/E19,0)</f>
        <v>0</v>
      </c>
      <c r="F63" s="247">
        <f t="shared" ref="F63:AE63" si="75">IFERROR((F40+F53)/F19,0)</f>
        <v>0</v>
      </c>
      <c r="G63" s="247">
        <f t="shared" si="75"/>
        <v>0</v>
      </c>
      <c r="H63" s="247">
        <f>IFERROR((H40+H53)/H19,0)</f>
        <v>0.85866525366746482</v>
      </c>
      <c r="I63" s="247">
        <f t="shared" si="75"/>
        <v>0</v>
      </c>
      <c r="J63" s="247">
        <f t="shared" si="75"/>
        <v>0</v>
      </c>
      <c r="K63" s="247">
        <f t="shared" si="75"/>
        <v>0</v>
      </c>
      <c r="L63" s="247">
        <f t="shared" si="75"/>
        <v>0</v>
      </c>
      <c r="M63" s="247">
        <f t="shared" si="75"/>
        <v>0</v>
      </c>
      <c r="N63" s="247">
        <f t="shared" si="75"/>
        <v>0</v>
      </c>
      <c r="O63" s="247">
        <f t="shared" si="75"/>
        <v>0</v>
      </c>
      <c r="P63" s="247">
        <f t="shared" si="75"/>
        <v>0</v>
      </c>
      <c r="Q63" s="247">
        <f>IFERROR((Q40+Q53)/Q19,0)</f>
        <v>0.85866525366746482</v>
      </c>
      <c r="R63" s="353">
        <f>IFERROR((R40+R53)/R19,0)</f>
        <v>0.86558919400700329</v>
      </c>
      <c r="S63" s="247">
        <f t="shared" si="75"/>
        <v>0</v>
      </c>
      <c r="T63" s="247">
        <f t="shared" si="75"/>
        <v>0</v>
      </c>
      <c r="U63" s="247">
        <f t="shared" si="75"/>
        <v>0</v>
      </c>
      <c r="V63" s="247">
        <f t="shared" si="75"/>
        <v>0.85866525366746482</v>
      </c>
      <c r="W63" s="247">
        <f t="shared" si="75"/>
        <v>0</v>
      </c>
      <c r="X63" s="247">
        <f t="shared" si="75"/>
        <v>0</v>
      </c>
      <c r="Y63" s="247">
        <f t="shared" si="75"/>
        <v>0</v>
      </c>
      <c r="Z63" s="247">
        <f t="shared" si="75"/>
        <v>0</v>
      </c>
      <c r="AA63" s="247">
        <f t="shared" si="75"/>
        <v>0</v>
      </c>
      <c r="AB63" s="247">
        <f t="shared" si="75"/>
        <v>0</v>
      </c>
      <c r="AC63" s="247">
        <f t="shared" si="75"/>
        <v>0</v>
      </c>
      <c r="AD63" s="247">
        <f t="shared" si="75"/>
        <v>0</v>
      </c>
      <c r="AE63" s="247">
        <f t="shared" si="75"/>
        <v>0.85866525366746482</v>
      </c>
    </row>
    <row r="64" spans="1:78" ht="13.5">
      <c r="D64" s="245"/>
      <c r="R64" s="354"/>
    </row>
    <row r="65" spans="4:31" ht="13.5">
      <c r="D65" s="245" t="s">
        <v>179</v>
      </c>
      <c r="E65" s="247">
        <f>IFERROR((E41+E54)/E20,0)</f>
        <v>0</v>
      </c>
      <c r="F65" s="247">
        <f t="shared" ref="F65:Q65" si="76">IFERROR((F41+F54)/F20,0)</f>
        <v>0</v>
      </c>
      <c r="G65" s="247">
        <f>IFERROR((G41+G54)/G20,0)</f>
        <v>0</v>
      </c>
      <c r="H65" s="247">
        <f t="shared" si="76"/>
        <v>0</v>
      </c>
      <c r="I65" s="247">
        <f>IFERROR((I41+I54)/I20,0)</f>
        <v>0.19583233463365912</v>
      </c>
      <c r="J65" s="247">
        <f t="shared" si="76"/>
        <v>0</v>
      </c>
      <c r="K65" s="247">
        <f t="shared" si="76"/>
        <v>0</v>
      </c>
      <c r="L65" s="247">
        <f t="shared" si="76"/>
        <v>0</v>
      </c>
      <c r="M65" s="247">
        <f t="shared" si="76"/>
        <v>0</v>
      </c>
      <c r="N65" s="247">
        <f t="shared" si="76"/>
        <v>0</v>
      </c>
      <c r="O65" s="247">
        <f t="shared" si="76"/>
        <v>0</v>
      </c>
      <c r="P65" s="247">
        <f t="shared" si="76"/>
        <v>0</v>
      </c>
      <c r="Q65" s="247">
        <f t="shared" si="76"/>
        <v>3.6057653535511353E-2</v>
      </c>
      <c r="R65" s="353">
        <f>IFERROR((R41+R54)/R20,0)</f>
        <v>0.93769273828390198</v>
      </c>
      <c r="S65" s="247">
        <f t="shared" ref="S65" si="77">IFERROR((S41+S54)/S20,0)</f>
        <v>0</v>
      </c>
      <c r="T65" s="247">
        <f t="shared" ref="T65:AE65" si="78">IFERROR((T41+T54)/T20,0)</f>
        <v>0</v>
      </c>
      <c r="U65" s="247">
        <f t="shared" si="78"/>
        <v>0</v>
      </c>
      <c r="V65" s="247">
        <f t="shared" si="78"/>
        <v>0</v>
      </c>
      <c r="W65" s="247">
        <f t="shared" si="78"/>
        <v>0.19583233463365909</v>
      </c>
      <c r="X65" s="247">
        <f t="shared" si="78"/>
        <v>0</v>
      </c>
      <c r="Y65" s="247">
        <f t="shared" si="78"/>
        <v>0</v>
      </c>
      <c r="Z65" s="247">
        <f t="shared" si="78"/>
        <v>0</v>
      </c>
      <c r="AA65" s="247">
        <f t="shared" si="78"/>
        <v>0</v>
      </c>
      <c r="AB65" s="247">
        <f t="shared" si="78"/>
        <v>0</v>
      </c>
      <c r="AC65" s="247">
        <f t="shared" si="78"/>
        <v>0</v>
      </c>
      <c r="AD65" s="247">
        <f t="shared" si="78"/>
        <v>0</v>
      </c>
      <c r="AE65" s="247">
        <f t="shared" si="78"/>
        <v>3.5971964742525307E-2</v>
      </c>
    </row>
    <row r="66" spans="4:31" ht="14.25">
      <c r="D66" s="306" t="s">
        <v>205</v>
      </c>
      <c r="E66" s="247"/>
      <c r="F66" s="247"/>
      <c r="G66" s="247"/>
      <c r="H66" s="247"/>
      <c r="I66" s="247"/>
      <c r="J66" s="247"/>
      <c r="K66" s="247"/>
      <c r="L66" s="247"/>
      <c r="M66" s="247"/>
      <c r="N66" s="247"/>
      <c r="O66" s="247"/>
      <c r="P66" s="247"/>
      <c r="Q66" s="247"/>
      <c r="R66" s="353"/>
      <c r="S66" s="247"/>
      <c r="T66" s="247"/>
      <c r="U66" s="247"/>
      <c r="V66" s="247"/>
      <c r="W66" s="247"/>
      <c r="X66" s="247"/>
      <c r="Y66" s="247"/>
      <c r="Z66" s="247"/>
      <c r="AA66" s="247"/>
      <c r="AB66" s="247"/>
      <c r="AC66" s="247"/>
      <c r="AD66" s="247"/>
      <c r="AE66" s="247"/>
    </row>
    <row r="67" spans="4:31" ht="13.5">
      <c r="D67" s="245" t="s">
        <v>193</v>
      </c>
      <c r="E67" s="247">
        <f>IFERROR(E44/E23,0)</f>
        <v>0.82820000232946378</v>
      </c>
      <c r="F67" s="247">
        <f t="shared" ref="F67:P67" si="79">IFERROR(F44/F23,0)</f>
        <v>0.8282000013557913</v>
      </c>
      <c r="G67" s="247">
        <f t="shared" si="79"/>
        <v>0.82819999975020542</v>
      </c>
      <c r="H67" s="247">
        <f t="shared" si="79"/>
        <v>0.82820000010512784</v>
      </c>
      <c r="I67" s="247">
        <f t="shared" si="79"/>
        <v>0.828199995096631</v>
      </c>
      <c r="J67" s="247">
        <f t="shared" si="79"/>
        <v>-0.22828486286203495</v>
      </c>
      <c r="K67" s="247">
        <f t="shared" si="79"/>
        <v>0</v>
      </c>
      <c r="L67" s="247">
        <f t="shared" si="79"/>
        <v>0</v>
      </c>
      <c r="M67" s="247">
        <f t="shared" si="79"/>
        <v>0</v>
      </c>
      <c r="N67" s="247">
        <f t="shared" si="79"/>
        <v>0</v>
      </c>
      <c r="O67" s="247">
        <f t="shared" si="79"/>
        <v>0</v>
      </c>
      <c r="P67" s="247">
        <f t="shared" si="79"/>
        <v>0</v>
      </c>
      <c r="Q67" s="247">
        <f>IFERROR(Q44/Q23,0)</f>
        <v>1.0221596407179814</v>
      </c>
      <c r="R67" s="353">
        <f>IFERROR(R44/R23,0)</f>
        <v>0.85988621802077969</v>
      </c>
      <c r="S67" s="247">
        <f t="shared" ref="S67" si="80">IFERROR(S44/S23,0)</f>
        <v>0.82820000232946378</v>
      </c>
      <c r="T67" s="247">
        <f t="shared" ref="T67:AE67" si="81">IFERROR(T44/T23,0)</f>
        <v>0.82820000135579142</v>
      </c>
      <c r="U67" s="247">
        <f t="shared" si="81"/>
        <v>0.82819999975020553</v>
      </c>
      <c r="V67" s="247">
        <f t="shared" si="81"/>
        <v>0.82820000010512784</v>
      </c>
      <c r="W67" s="247">
        <f t="shared" si="81"/>
        <v>0.828199995096631</v>
      </c>
      <c r="X67" s="247">
        <f t="shared" si="81"/>
        <v>-0.22821397756686798</v>
      </c>
      <c r="Y67" s="247">
        <f t="shared" si="81"/>
        <v>0</v>
      </c>
      <c r="Z67" s="247">
        <f t="shared" si="81"/>
        <v>0</v>
      </c>
      <c r="AA67" s="247">
        <f t="shared" si="81"/>
        <v>0</v>
      </c>
      <c r="AB67" s="247">
        <f t="shared" si="81"/>
        <v>0</v>
      </c>
      <c r="AC67" s="247">
        <f t="shared" si="81"/>
        <v>0</v>
      </c>
      <c r="AD67" s="247">
        <f t="shared" si="81"/>
        <v>0</v>
      </c>
      <c r="AE67" s="247">
        <f t="shared" si="81"/>
        <v>1.0223132180406997</v>
      </c>
    </row>
    <row r="68" spans="4:31" ht="13.5">
      <c r="D68" s="241"/>
      <c r="E68" s="242"/>
      <c r="F68" s="242"/>
      <c r="G68" s="242"/>
      <c r="H68" s="242"/>
      <c r="I68" s="242"/>
      <c r="J68" s="241"/>
      <c r="K68" s="241"/>
      <c r="L68" s="242"/>
      <c r="M68" s="242"/>
      <c r="N68" s="241"/>
      <c r="O68" s="241"/>
      <c r="P68" s="241"/>
      <c r="Q68" s="241"/>
      <c r="R68" s="236"/>
      <c r="S68" s="241"/>
      <c r="T68" s="241"/>
      <c r="U68" s="241"/>
      <c r="V68" s="241"/>
      <c r="W68" s="241"/>
      <c r="X68" s="241"/>
      <c r="Y68" s="241"/>
      <c r="Z68" s="241"/>
      <c r="AA68" s="241"/>
      <c r="AB68" s="241"/>
      <c r="AC68" s="241"/>
      <c r="AD68" s="241"/>
      <c r="AE68" s="241"/>
    </row>
    <row r="69" spans="4:31" ht="13.5">
      <c r="D69" s="245" t="s">
        <v>248</v>
      </c>
      <c r="E69" s="247"/>
      <c r="F69" s="242"/>
      <c r="G69" s="242"/>
      <c r="H69" s="242"/>
      <c r="I69" s="247">
        <f>IFERROR(I49/I28,0)</f>
        <v>0.82820000011705586</v>
      </c>
      <c r="J69" s="247">
        <f t="shared" ref="J69:P69" si="82">IFERROR(J49/J28,0)</f>
        <v>0.82820000000419436</v>
      </c>
      <c r="K69" s="247">
        <f t="shared" si="82"/>
        <v>0</v>
      </c>
      <c r="L69" s="247">
        <f t="shared" si="82"/>
        <v>0</v>
      </c>
      <c r="M69" s="247">
        <f t="shared" si="82"/>
        <v>0</v>
      </c>
      <c r="N69" s="247">
        <f t="shared" si="82"/>
        <v>0</v>
      </c>
      <c r="O69" s="247">
        <f t="shared" si="82"/>
        <v>0</v>
      </c>
      <c r="P69" s="247">
        <f t="shared" si="82"/>
        <v>0</v>
      </c>
      <c r="Q69" s="247">
        <f>IFERROR(Q49/Q28,0)</f>
        <v>0.82820000005528349</v>
      </c>
      <c r="R69" s="353">
        <f>IFERROR(R49/R28,0)</f>
        <v>0.82820000011705586</v>
      </c>
      <c r="S69" s="241"/>
      <c r="T69" s="241"/>
      <c r="U69" s="241"/>
      <c r="V69" s="241"/>
      <c r="W69" s="247">
        <f>IFERROR(W49/W28,0)</f>
        <v>0.82820000011705586</v>
      </c>
      <c r="X69" s="241"/>
      <c r="Y69" s="241"/>
      <c r="Z69" s="241"/>
      <c r="AA69" s="241"/>
      <c r="AB69" s="241"/>
      <c r="AC69" s="241"/>
      <c r="AD69" s="241"/>
      <c r="AE69" s="247">
        <f>IFERROR(AE49/AE28,0)</f>
        <v>0.82822143720275965</v>
      </c>
    </row>
    <row r="70" spans="4:31" ht="13.5">
      <c r="D70" s="241"/>
      <c r="E70" s="242"/>
      <c r="F70" s="242"/>
      <c r="G70" s="242"/>
      <c r="H70" s="242"/>
      <c r="I70" s="242"/>
      <c r="J70" s="241"/>
      <c r="K70" s="241"/>
      <c r="L70" s="242"/>
      <c r="M70" s="242"/>
      <c r="N70" s="241"/>
      <c r="O70" s="241"/>
      <c r="P70" s="241"/>
      <c r="Q70" s="241"/>
      <c r="R70" s="248"/>
      <c r="S70" s="241"/>
      <c r="T70" s="241"/>
      <c r="U70" s="241"/>
      <c r="V70" s="241"/>
      <c r="W70" s="244"/>
      <c r="X70" s="241"/>
      <c r="Y70" s="241"/>
      <c r="Z70" s="241"/>
      <c r="AA70" s="241"/>
      <c r="AB70" s="241"/>
      <c r="AC70" s="241"/>
      <c r="AD70" s="241"/>
      <c r="AE70" s="241"/>
    </row>
    <row r="71" spans="4:31" ht="13.5">
      <c r="D71" s="241"/>
      <c r="E71" s="242"/>
      <c r="F71" s="242"/>
      <c r="G71" s="242"/>
      <c r="H71" s="242"/>
      <c r="I71" s="242"/>
      <c r="J71" s="241"/>
      <c r="K71" s="241"/>
      <c r="L71" s="242"/>
      <c r="M71" s="242"/>
      <c r="N71" s="241"/>
      <c r="O71" s="241"/>
      <c r="P71" s="241"/>
      <c r="Q71" s="242"/>
      <c r="R71" s="247"/>
      <c r="S71" s="241"/>
      <c r="T71" s="241"/>
      <c r="U71" s="241"/>
      <c r="V71" s="241"/>
      <c r="W71" s="244"/>
      <c r="X71" s="241"/>
      <c r="Y71" s="241"/>
      <c r="Z71" s="241"/>
      <c r="AA71" s="241"/>
      <c r="AB71" s="241"/>
      <c r="AC71" s="241"/>
      <c r="AD71" s="241"/>
      <c r="AE71" s="241"/>
    </row>
    <row r="72" spans="4:31" ht="13.5">
      <c r="D72" s="241"/>
      <c r="E72" s="242"/>
      <c r="F72" s="242"/>
      <c r="G72" s="242"/>
      <c r="H72" s="242"/>
      <c r="I72" s="242"/>
      <c r="J72" s="241"/>
      <c r="K72" s="241"/>
      <c r="L72" s="242"/>
      <c r="M72" s="242"/>
      <c r="N72" s="241"/>
      <c r="O72" s="241"/>
      <c r="P72" s="241"/>
      <c r="Q72" s="241"/>
      <c r="R72" s="236"/>
      <c r="S72" s="241"/>
      <c r="T72" s="241"/>
      <c r="U72" s="241"/>
      <c r="V72" s="241"/>
      <c r="W72" s="244"/>
      <c r="X72" s="241"/>
      <c r="Y72" s="241"/>
      <c r="Z72" s="241"/>
      <c r="AA72" s="241"/>
      <c r="AB72" s="241"/>
      <c r="AC72" s="241"/>
      <c r="AD72" s="241"/>
      <c r="AE72" s="241"/>
    </row>
    <row r="73" spans="4:31" ht="13.5">
      <c r="D73" s="241"/>
      <c r="E73" s="242"/>
      <c r="F73" s="242"/>
      <c r="G73" s="242"/>
      <c r="H73" s="242"/>
      <c r="I73" s="242"/>
      <c r="J73" s="241"/>
      <c r="K73" s="241"/>
      <c r="L73" s="242"/>
      <c r="M73" s="242"/>
      <c r="N73" s="241"/>
      <c r="O73" s="241"/>
      <c r="P73" s="241"/>
      <c r="Q73" s="241"/>
      <c r="R73" s="236"/>
      <c r="S73" s="241"/>
      <c r="T73" s="241"/>
      <c r="U73" s="241"/>
      <c r="V73" s="241"/>
      <c r="W73" s="244"/>
      <c r="X73" s="241"/>
      <c r="Y73" s="241"/>
      <c r="Z73" s="241"/>
      <c r="AA73" s="241"/>
      <c r="AB73" s="241"/>
      <c r="AC73" s="241"/>
      <c r="AD73" s="241"/>
      <c r="AE73" s="241"/>
    </row>
    <row r="74" spans="4:31" ht="13.5">
      <c r="D74" s="241"/>
      <c r="E74" s="242"/>
      <c r="F74" s="242"/>
      <c r="G74" s="242"/>
      <c r="H74" s="242"/>
      <c r="I74" s="242"/>
      <c r="J74" s="241"/>
      <c r="K74" s="241"/>
      <c r="L74" s="242"/>
      <c r="M74" s="242"/>
      <c r="N74" s="241"/>
      <c r="O74" s="241"/>
      <c r="P74" s="241"/>
      <c r="Q74" s="241"/>
      <c r="R74" s="236"/>
      <c r="S74" s="241"/>
      <c r="T74" s="241"/>
      <c r="U74" s="241"/>
      <c r="V74" s="241"/>
      <c r="W74" s="244"/>
      <c r="X74" s="241"/>
      <c r="Y74" s="241"/>
      <c r="Z74" s="241"/>
      <c r="AA74" s="241"/>
      <c r="AB74" s="241"/>
      <c r="AC74" s="241"/>
      <c r="AD74" s="241"/>
      <c r="AE74" s="241"/>
    </row>
    <row r="75" spans="4:31" ht="13.5">
      <c r="D75" s="241"/>
      <c r="E75" s="242"/>
      <c r="F75" s="242"/>
      <c r="G75" s="242"/>
      <c r="H75" s="242"/>
      <c r="I75" s="242"/>
      <c r="J75" s="241"/>
      <c r="K75" s="241"/>
      <c r="L75" s="242"/>
      <c r="M75" s="242"/>
      <c r="N75" s="241"/>
      <c r="O75" s="241"/>
      <c r="P75" s="241"/>
      <c r="Q75" s="241"/>
      <c r="R75" s="236"/>
      <c r="S75" s="241"/>
      <c r="T75" s="241"/>
      <c r="U75" s="241"/>
      <c r="V75" s="241"/>
      <c r="W75" s="244"/>
      <c r="X75" s="241"/>
      <c r="Y75" s="241"/>
      <c r="Z75" s="241"/>
      <c r="AA75" s="241"/>
      <c r="AB75" s="241"/>
      <c r="AC75" s="241"/>
      <c r="AD75" s="241"/>
      <c r="AE75" s="241"/>
    </row>
    <row r="76" spans="4:31" ht="13.5">
      <c r="D76" s="241"/>
      <c r="E76" s="242"/>
      <c r="F76" s="242"/>
      <c r="G76" s="242"/>
      <c r="H76" s="242"/>
      <c r="I76" s="242"/>
      <c r="J76" s="241"/>
      <c r="K76" s="241"/>
      <c r="L76" s="242"/>
      <c r="M76" s="242"/>
      <c r="N76" s="241"/>
      <c r="O76" s="241"/>
      <c r="P76" s="241"/>
      <c r="Q76" s="241"/>
      <c r="R76" s="236"/>
      <c r="S76" s="241"/>
      <c r="T76" s="241"/>
      <c r="U76" s="241"/>
      <c r="V76" s="241"/>
      <c r="W76" s="244"/>
      <c r="X76" s="241"/>
      <c r="Y76" s="241"/>
      <c r="Z76" s="241"/>
      <c r="AA76" s="241"/>
      <c r="AB76" s="241"/>
      <c r="AC76" s="241"/>
      <c r="AD76" s="241"/>
      <c r="AE76" s="241"/>
    </row>
    <row r="77" spans="4:31" ht="13.5">
      <c r="D77" s="241"/>
      <c r="E77" s="242"/>
      <c r="F77" s="242"/>
      <c r="G77" s="242"/>
      <c r="H77" s="242"/>
      <c r="I77" s="242"/>
      <c r="J77" s="241"/>
      <c r="K77" s="241"/>
      <c r="L77" s="242"/>
      <c r="M77" s="242"/>
      <c r="N77" s="241"/>
      <c r="O77" s="241"/>
      <c r="P77" s="241"/>
      <c r="Q77" s="241"/>
      <c r="R77" s="236"/>
      <c r="S77" s="241"/>
      <c r="T77" s="241"/>
      <c r="U77" s="241"/>
      <c r="V77" s="241"/>
      <c r="W77" s="244"/>
      <c r="X77" s="241"/>
      <c r="Y77" s="241"/>
      <c r="Z77" s="241"/>
      <c r="AA77" s="241"/>
      <c r="AB77" s="241"/>
      <c r="AC77" s="241"/>
      <c r="AD77" s="241"/>
      <c r="AE77" s="241"/>
    </row>
    <row r="78" spans="4:31" ht="13.5">
      <c r="D78" s="241"/>
      <c r="E78" s="242"/>
      <c r="F78" s="242"/>
      <c r="G78" s="242"/>
      <c r="H78" s="242"/>
      <c r="I78" s="242"/>
      <c r="J78" s="241"/>
      <c r="K78" s="241"/>
      <c r="L78" s="242"/>
      <c r="M78" s="242"/>
      <c r="N78" s="241"/>
      <c r="O78" s="241"/>
      <c r="P78" s="241"/>
      <c r="Q78" s="241"/>
      <c r="R78" s="236"/>
      <c r="S78" s="241"/>
      <c r="T78" s="241"/>
      <c r="U78" s="241"/>
      <c r="V78" s="241"/>
      <c r="W78" s="244"/>
      <c r="X78" s="241"/>
      <c r="Y78" s="241"/>
      <c r="Z78" s="241"/>
      <c r="AA78" s="241"/>
      <c r="AB78" s="241"/>
      <c r="AC78" s="241"/>
      <c r="AD78" s="241"/>
      <c r="AE78" s="241"/>
    </row>
    <row r="79" spans="4:31" ht="13.5">
      <c r="D79" s="241"/>
      <c r="E79" s="242"/>
      <c r="F79" s="242"/>
      <c r="G79" s="242"/>
      <c r="H79" s="242"/>
      <c r="I79" s="242"/>
      <c r="J79" s="241"/>
      <c r="K79" s="241"/>
      <c r="L79" s="242"/>
      <c r="M79" s="242"/>
      <c r="N79" s="241"/>
      <c r="O79" s="241"/>
      <c r="P79" s="241"/>
      <c r="Q79" s="241"/>
      <c r="R79" s="236"/>
      <c r="S79" s="241"/>
      <c r="T79" s="241"/>
      <c r="U79" s="241"/>
      <c r="V79" s="241"/>
      <c r="W79" s="244"/>
      <c r="X79" s="241"/>
      <c r="Y79" s="241"/>
      <c r="Z79" s="241"/>
      <c r="AA79" s="241"/>
      <c r="AB79" s="241"/>
      <c r="AC79" s="241"/>
      <c r="AD79" s="241"/>
      <c r="AE79" s="241"/>
    </row>
    <row r="80" spans="4:31" ht="13.5">
      <c r="D80" s="241"/>
      <c r="E80" s="242"/>
      <c r="F80" s="242"/>
      <c r="G80" s="242"/>
      <c r="H80" s="242"/>
      <c r="I80" s="242"/>
      <c r="J80" s="241"/>
      <c r="K80" s="241"/>
      <c r="L80" s="242"/>
      <c r="M80" s="242"/>
      <c r="N80" s="241"/>
      <c r="O80" s="241"/>
      <c r="P80" s="241"/>
      <c r="Q80" s="241"/>
      <c r="R80" s="236"/>
      <c r="S80" s="241"/>
      <c r="T80" s="241"/>
      <c r="U80" s="241"/>
      <c r="V80" s="241"/>
      <c r="W80" s="244"/>
      <c r="X80" s="241"/>
      <c r="Y80" s="241"/>
      <c r="Z80" s="241"/>
      <c r="AA80" s="241"/>
      <c r="AB80" s="241"/>
      <c r="AC80" s="241"/>
      <c r="AD80" s="241"/>
      <c r="AE80" s="241"/>
    </row>
    <row r="81" spans="4:31" ht="13.5">
      <c r="D81" s="241"/>
      <c r="E81" s="242"/>
      <c r="F81" s="242"/>
      <c r="G81" s="242"/>
      <c r="H81" s="242"/>
      <c r="I81" s="242"/>
      <c r="J81" s="241"/>
      <c r="K81" s="241"/>
      <c r="L81" s="242"/>
      <c r="M81" s="242"/>
      <c r="N81" s="241"/>
      <c r="O81" s="241"/>
      <c r="P81" s="241"/>
      <c r="Q81" s="241"/>
      <c r="R81" s="236"/>
      <c r="S81" s="241"/>
      <c r="T81" s="241"/>
      <c r="U81" s="241"/>
      <c r="V81" s="241"/>
      <c r="W81" s="244"/>
      <c r="X81" s="241"/>
      <c r="Y81" s="241"/>
      <c r="Z81" s="241"/>
      <c r="AA81" s="241"/>
      <c r="AB81" s="241"/>
      <c r="AC81" s="241"/>
      <c r="AD81" s="241"/>
      <c r="AE81" s="241"/>
    </row>
    <row r="82" spans="4:31" ht="13.5">
      <c r="D82" s="241"/>
      <c r="E82" s="242"/>
      <c r="F82" s="242"/>
      <c r="G82" s="242"/>
      <c r="H82" s="242"/>
      <c r="I82" s="242"/>
      <c r="J82" s="241"/>
      <c r="K82" s="241"/>
      <c r="L82" s="242"/>
      <c r="M82" s="242"/>
      <c r="N82" s="241"/>
      <c r="O82" s="241"/>
      <c r="P82" s="241"/>
      <c r="Q82" s="241"/>
      <c r="R82" s="236"/>
      <c r="S82" s="241"/>
      <c r="T82" s="241"/>
      <c r="U82" s="241"/>
      <c r="V82" s="241"/>
      <c r="W82" s="244"/>
      <c r="X82" s="241"/>
      <c r="Y82" s="241"/>
      <c r="Z82" s="241"/>
      <c r="AA82" s="241"/>
      <c r="AB82" s="241"/>
      <c r="AC82" s="241"/>
      <c r="AD82" s="241"/>
      <c r="AE82" s="241"/>
    </row>
    <row r="83" spans="4:31" ht="13.5">
      <c r="D83" s="241"/>
      <c r="E83" s="242"/>
      <c r="F83" s="242"/>
      <c r="G83" s="242"/>
      <c r="H83" s="242"/>
      <c r="I83" s="242"/>
      <c r="J83" s="241"/>
      <c r="K83" s="241"/>
      <c r="L83" s="242"/>
      <c r="M83" s="242"/>
      <c r="N83" s="241"/>
      <c r="O83" s="241"/>
      <c r="P83" s="241"/>
      <c r="Q83" s="241"/>
      <c r="R83" s="236"/>
      <c r="S83" s="241"/>
      <c r="T83" s="241"/>
      <c r="U83" s="241"/>
      <c r="V83" s="241"/>
      <c r="W83" s="244"/>
      <c r="X83" s="241"/>
      <c r="Y83" s="241"/>
      <c r="Z83" s="241"/>
      <c r="AA83" s="241"/>
      <c r="AB83" s="241"/>
      <c r="AC83" s="241"/>
      <c r="AD83" s="241"/>
      <c r="AE83" s="241"/>
    </row>
    <row r="84" spans="4:31" ht="13.5">
      <c r="D84" s="241"/>
      <c r="E84" s="242"/>
      <c r="F84" s="242"/>
      <c r="G84" s="242"/>
      <c r="H84" s="242"/>
      <c r="I84" s="242"/>
      <c r="J84" s="241"/>
      <c r="K84" s="241"/>
      <c r="L84" s="242"/>
      <c r="M84" s="242"/>
      <c r="N84" s="241"/>
      <c r="O84" s="241"/>
      <c r="P84" s="241"/>
      <c r="Q84" s="241"/>
      <c r="R84" s="236"/>
      <c r="S84" s="241"/>
      <c r="T84" s="241"/>
      <c r="U84" s="241"/>
      <c r="V84" s="241"/>
      <c r="W84" s="244"/>
      <c r="X84" s="241"/>
      <c r="Y84" s="241"/>
      <c r="Z84" s="241"/>
      <c r="AA84" s="241"/>
      <c r="AB84" s="241"/>
      <c r="AC84" s="241"/>
      <c r="AD84" s="241"/>
      <c r="AE84" s="241"/>
    </row>
    <row r="85" spans="4:31" ht="13.5">
      <c r="D85" s="241"/>
      <c r="E85" s="242"/>
      <c r="F85" s="242"/>
      <c r="G85" s="242"/>
      <c r="H85" s="242"/>
      <c r="I85" s="242"/>
      <c r="J85" s="241"/>
      <c r="K85" s="241"/>
      <c r="L85" s="242"/>
      <c r="M85" s="242"/>
      <c r="N85" s="241"/>
      <c r="O85" s="241"/>
      <c r="P85" s="241"/>
      <c r="Q85" s="241"/>
      <c r="R85" s="236"/>
      <c r="S85" s="241"/>
      <c r="T85" s="241"/>
      <c r="U85" s="241"/>
      <c r="V85" s="241"/>
      <c r="W85" s="244"/>
      <c r="X85" s="241"/>
      <c r="Y85" s="241"/>
      <c r="Z85" s="241"/>
      <c r="AA85" s="241"/>
      <c r="AB85" s="241"/>
      <c r="AC85" s="241"/>
      <c r="AD85" s="241"/>
      <c r="AE85" s="241"/>
    </row>
    <row r="86" spans="4:31" ht="13.5">
      <c r="D86" s="241"/>
      <c r="E86" s="242"/>
      <c r="F86" s="242"/>
      <c r="G86" s="242"/>
      <c r="H86" s="242"/>
      <c r="I86" s="242"/>
      <c r="J86" s="241"/>
      <c r="K86" s="241"/>
      <c r="L86" s="242"/>
      <c r="M86" s="242"/>
      <c r="N86" s="241"/>
      <c r="O86" s="241"/>
      <c r="P86" s="241"/>
      <c r="Q86" s="241"/>
      <c r="R86" s="236"/>
      <c r="S86" s="241"/>
      <c r="T86" s="241"/>
      <c r="U86" s="241"/>
      <c r="V86" s="241"/>
      <c r="W86" s="244"/>
      <c r="X86" s="241"/>
      <c r="Y86" s="241"/>
      <c r="Z86" s="241"/>
      <c r="AA86" s="241"/>
      <c r="AB86" s="241"/>
      <c r="AC86" s="241"/>
      <c r="AD86" s="241"/>
      <c r="AE86" s="241"/>
    </row>
    <row r="87" spans="4:31" ht="13.5">
      <c r="D87" s="241"/>
      <c r="E87" s="242"/>
      <c r="F87" s="242"/>
      <c r="G87" s="242"/>
      <c r="H87" s="242"/>
      <c r="I87" s="242"/>
      <c r="J87" s="241"/>
      <c r="K87" s="241"/>
      <c r="L87" s="242"/>
      <c r="M87" s="242"/>
      <c r="N87" s="241"/>
      <c r="O87" s="241"/>
      <c r="P87" s="241"/>
      <c r="Q87" s="241"/>
      <c r="R87" s="236"/>
      <c r="S87" s="241"/>
      <c r="T87" s="241"/>
      <c r="U87" s="241"/>
      <c r="V87" s="241"/>
      <c r="W87" s="244"/>
      <c r="X87" s="241"/>
      <c r="Y87" s="241"/>
      <c r="Z87" s="241"/>
      <c r="AA87" s="241"/>
      <c r="AB87" s="241"/>
      <c r="AC87" s="241"/>
      <c r="AD87" s="241"/>
      <c r="AE87" s="241"/>
    </row>
    <row r="88" spans="4:31" ht="13.5">
      <c r="D88" s="241"/>
      <c r="E88" s="242"/>
      <c r="F88" s="242"/>
      <c r="G88" s="242"/>
      <c r="H88" s="242"/>
      <c r="I88" s="242"/>
      <c r="J88" s="241"/>
      <c r="K88" s="241"/>
      <c r="L88" s="242"/>
      <c r="M88" s="242"/>
      <c r="N88" s="241"/>
      <c r="O88" s="241"/>
      <c r="P88" s="241"/>
      <c r="Q88" s="241"/>
      <c r="R88" s="236"/>
      <c r="S88" s="241"/>
      <c r="T88" s="241"/>
      <c r="U88" s="241"/>
      <c r="V88" s="241"/>
      <c r="W88" s="244"/>
      <c r="X88" s="241"/>
      <c r="Y88" s="241"/>
      <c r="Z88" s="241"/>
      <c r="AA88" s="241"/>
      <c r="AB88" s="241"/>
      <c r="AC88" s="241"/>
      <c r="AD88" s="241"/>
      <c r="AE88" s="241"/>
    </row>
    <row r="89" spans="4:31" ht="13.5">
      <c r="D89" s="241"/>
      <c r="E89" s="242"/>
      <c r="F89" s="242"/>
      <c r="G89" s="242"/>
      <c r="H89" s="242"/>
      <c r="I89" s="242"/>
      <c r="J89" s="241"/>
      <c r="K89" s="241"/>
      <c r="L89" s="241"/>
      <c r="M89" s="241"/>
      <c r="N89" s="241"/>
      <c r="O89" s="241"/>
      <c r="P89" s="241"/>
      <c r="Q89" s="241"/>
      <c r="R89" s="236"/>
      <c r="S89" s="241"/>
      <c r="T89" s="241"/>
      <c r="U89" s="241"/>
      <c r="V89" s="241"/>
      <c r="W89" s="244"/>
      <c r="X89" s="241"/>
      <c r="Y89" s="241"/>
      <c r="Z89" s="241"/>
      <c r="AA89" s="241"/>
      <c r="AB89" s="241"/>
      <c r="AC89" s="241"/>
      <c r="AD89" s="241"/>
      <c r="AE89" s="241"/>
    </row>
    <row r="90" spans="4:31" ht="13.5">
      <c r="D90" s="241"/>
      <c r="E90" s="242"/>
      <c r="F90" s="242"/>
      <c r="G90" s="242"/>
      <c r="H90" s="242"/>
      <c r="I90" s="242"/>
      <c r="J90" s="241"/>
      <c r="K90" s="241"/>
      <c r="L90" s="241"/>
      <c r="M90" s="241"/>
      <c r="N90" s="241"/>
      <c r="O90" s="241"/>
      <c r="P90" s="241"/>
      <c r="Q90" s="241"/>
      <c r="R90" s="236"/>
      <c r="S90" s="241"/>
      <c r="T90" s="241"/>
      <c r="U90" s="241"/>
      <c r="V90" s="241"/>
      <c r="W90" s="244"/>
      <c r="X90" s="241"/>
      <c r="Y90" s="241"/>
      <c r="Z90" s="241"/>
      <c r="AA90" s="241"/>
      <c r="AB90" s="241"/>
      <c r="AC90" s="241"/>
      <c r="AD90" s="241"/>
      <c r="AE90" s="241"/>
    </row>
    <row r="91" spans="4:31" ht="13.5">
      <c r="D91" s="241"/>
      <c r="E91" s="242"/>
      <c r="F91" s="242"/>
      <c r="G91" s="242"/>
      <c r="H91" s="242"/>
      <c r="I91" s="242"/>
      <c r="J91" s="241"/>
      <c r="K91" s="241"/>
      <c r="L91" s="241"/>
      <c r="M91" s="241"/>
      <c r="N91" s="241"/>
      <c r="O91" s="241"/>
      <c r="P91" s="241"/>
      <c r="Q91" s="241"/>
      <c r="R91" s="236"/>
      <c r="S91" s="241"/>
      <c r="T91" s="241"/>
      <c r="U91" s="241"/>
      <c r="V91" s="241"/>
      <c r="W91" s="244"/>
      <c r="X91" s="241"/>
      <c r="Y91" s="241"/>
      <c r="Z91" s="241"/>
      <c r="AA91" s="241"/>
      <c r="AB91" s="241"/>
      <c r="AC91" s="241"/>
      <c r="AD91" s="241"/>
      <c r="AE91" s="241"/>
    </row>
    <row r="92" spans="4:31" ht="13.5">
      <c r="D92" s="241"/>
      <c r="E92" s="242"/>
      <c r="F92" s="242"/>
      <c r="G92" s="242"/>
      <c r="H92" s="242"/>
      <c r="I92" s="242"/>
      <c r="J92" s="241"/>
      <c r="K92" s="241"/>
      <c r="L92" s="241"/>
      <c r="M92" s="241"/>
      <c r="N92" s="241"/>
      <c r="O92" s="241"/>
      <c r="P92" s="241"/>
      <c r="Q92" s="241"/>
      <c r="R92" s="236"/>
      <c r="S92" s="241"/>
      <c r="T92" s="241"/>
      <c r="U92" s="241"/>
      <c r="V92" s="241"/>
      <c r="W92" s="244"/>
      <c r="X92" s="241"/>
      <c r="Y92" s="241"/>
      <c r="Z92" s="241"/>
      <c r="AA92" s="241"/>
      <c r="AB92" s="241"/>
      <c r="AC92" s="241"/>
      <c r="AD92" s="241"/>
      <c r="AE92" s="241"/>
    </row>
    <row r="93" spans="4:31" ht="13.5">
      <c r="D93" s="241"/>
      <c r="E93" s="242"/>
      <c r="F93" s="242"/>
      <c r="G93" s="242"/>
      <c r="H93" s="242"/>
      <c r="I93" s="242"/>
      <c r="J93" s="241"/>
      <c r="K93" s="241"/>
      <c r="L93" s="241"/>
      <c r="M93" s="241"/>
      <c r="N93" s="241"/>
      <c r="O93" s="241"/>
      <c r="P93" s="241"/>
      <c r="Q93" s="241"/>
      <c r="R93" s="236"/>
      <c r="S93" s="241"/>
      <c r="T93" s="241"/>
      <c r="U93" s="241"/>
      <c r="V93" s="241"/>
      <c r="W93" s="244"/>
      <c r="X93" s="241"/>
      <c r="Y93" s="241"/>
      <c r="Z93" s="241"/>
      <c r="AA93" s="241"/>
      <c r="AB93" s="241"/>
      <c r="AC93" s="241"/>
      <c r="AD93" s="241"/>
      <c r="AE93" s="241"/>
    </row>
    <row r="94" spans="4:31" ht="13.5">
      <c r="D94" s="241"/>
      <c r="E94" s="242"/>
      <c r="F94" s="242"/>
      <c r="G94" s="242"/>
      <c r="H94" s="242"/>
      <c r="I94" s="242"/>
      <c r="J94" s="241"/>
      <c r="K94" s="241"/>
      <c r="L94" s="241"/>
      <c r="M94" s="241"/>
      <c r="N94" s="241"/>
      <c r="O94" s="241"/>
      <c r="P94" s="241"/>
      <c r="Q94" s="241"/>
      <c r="R94" s="236"/>
      <c r="S94" s="241"/>
      <c r="T94" s="241"/>
      <c r="U94" s="241"/>
      <c r="V94" s="241"/>
      <c r="W94" s="244"/>
      <c r="X94" s="241"/>
      <c r="Y94" s="241"/>
      <c r="Z94" s="241"/>
      <c r="AA94" s="241"/>
      <c r="AB94" s="241"/>
      <c r="AC94" s="241"/>
      <c r="AD94" s="241"/>
      <c r="AE94" s="241"/>
    </row>
    <row r="95" spans="4:31" ht="13.5">
      <c r="D95" s="241"/>
      <c r="E95" s="242"/>
      <c r="F95" s="242"/>
      <c r="G95" s="242"/>
      <c r="H95" s="242"/>
      <c r="I95" s="242"/>
      <c r="J95" s="241"/>
      <c r="K95" s="241"/>
      <c r="L95" s="241"/>
      <c r="M95" s="241"/>
      <c r="N95" s="241"/>
      <c r="O95" s="241"/>
      <c r="P95" s="241"/>
      <c r="Q95" s="241"/>
      <c r="R95" s="236"/>
      <c r="S95" s="241"/>
      <c r="T95" s="241"/>
      <c r="U95" s="241"/>
      <c r="V95" s="241"/>
      <c r="W95" s="244"/>
      <c r="X95" s="241"/>
      <c r="Y95" s="241"/>
      <c r="Z95" s="241"/>
      <c r="AA95" s="241"/>
      <c r="AB95" s="241"/>
      <c r="AC95" s="241"/>
      <c r="AD95" s="241"/>
      <c r="AE95" s="241"/>
    </row>
    <row r="96" spans="4:31" ht="13.5">
      <c r="D96" s="241"/>
      <c r="E96" s="242"/>
      <c r="F96" s="242"/>
      <c r="G96" s="242"/>
      <c r="H96" s="242"/>
      <c r="I96" s="242"/>
      <c r="J96" s="241"/>
      <c r="K96" s="241"/>
      <c r="L96" s="241"/>
      <c r="M96" s="241"/>
      <c r="N96" s="241"/>
      <c r="O96" s="241"/>
      <c r="P96" s="241"/>
      <c r="Q96" s="241"/>
      <c r="R96" s="236"/>
      <c r="S96" s="241"/>
      <c r="T96" s="241"/>
      <c r="U96" s="241"/>
      <c r="V96" s="241"/>
      <c r="W96" s="244"/>
      <c r="X96" s="241"/>
      <c r="Y96" s="241"/>
      <c r="Z96" s="241"/>
      <c r="AA96" s="241"/>
      <c r="AB96" s="241"/>
      <c r="AC96" s="241"/>
      <c r="AD96" s="241"/>
      <c r="AE96" s="241"/>
    </row>
    <row r="97" spans="4:31" ht="13.5">
      <c r="D97" s="241"/>
      <c r="E97" s="242"/>
      <c r="F97" s="242"/>
      <c r="G97" s="242"/>
      <c r="H97" s="242"/>
      <c r="I97" s="242"/>
      <c r="J97" s="241"/>
      <c r="K97" s="241"/>
      <c r="L97" s="241"/>
      <c r="M97" s="241"/>
      <c r="N97" s="241"/>
      <c r="O97" s="241"/>
      <c r="P97" s="241"/>
      <c r="Q97" s="241"/>
      <c r="R97" s="236"/>
      <c r="S97" s="241"/>
      <c r="T97" s="241"/>
      <c r="U97" s="241"/>
      <c r="V97" s="241"/>
      <c r="W97" s="244"/>
      <c r="X97" s="241"/>
      <c r="Y97" s="241"/>
      <c r="Z97" s="241"/>
      <c r="AA97" s="241"/>
      <c r="AB97" s="241"/>
      <c r="AC97" s="241"/>
      <c r="AD97" s="241"/>
      <c r="AE97" s="241"/>
    </row>
    <row r="98" spans="4:31" ht="13.5">
      <c r="D98" s="241"/>
      <c r="E98" s="242"/>
      <c r="F98" s="242"/>
      <c r="G98" s="242"/>
      <c r="H98" s="242"/>
      <c r="I98" s="242"/>
      <c r="J98" s="241"/>
      <c r="K98" s="241"/>
      <c r="L98" s="241"/>
      <c r="M98" s="241"/>
      <c r="N98" s="241"/>
      <c r="O98" s="241"/>
      <c r="P98" s="241"/>
      <c r="Q98" s="241"/>
      <c r="R98" s="236"/>
      <c r="S98" s="241"/>
      <c r="T98" s="241"/>
      <c r="U98" s="241"/>
      <c r="V98" s="241"/>
      <c r="W98" s="244"/>
      <c r="X98" s="241"/>
      <c r="Y98" s="241"/>
      <c r="Z98" s="241"/>
      <c r="AA98" s="241"/>
      <c r="AB98" s="241"/>
      <c r="AC98" s="241"/>
      <c r="AD98" s="241"/>
      <c r="AE98" s="241"/>
    </row>
    <row r="99" spans="4:31" ht="13.5">
      <c r="D99" s="241"/>
      <c r="E99" s="242"/>
      <c r="F99" s="242"/>
      <c r="G99" s="242"/>
      <c r="H99" s="242"/>
      <c r="I99" s="242"/>
      <c r="J99" s="241"/>
      <c r="K99" s="241"/>
      <c r="L99" s="241"/>
      <c r="M99" s="241"/>
      <c r="N99" s="241"/>
      <c r="O99" s="241"/>
      <c r="P99" s="241"/>
      <c r="Q99" s="241"/>
      <c r="R99" s="236"/>
      <c r="S99" s="241"/>
      <c r="T99" s="241"/>
      <c r="U99" s="241"/>
      <c r="V99" s="241"/>
      <c r="W99" s="244"/>
      <c r="X99" s="241"/>
      <c r="Y99" s="241"/>
      <c r="Z99" s="241"/>
      <c r="AA99" s="241"/>
      <c r="AB99" s="241"/>
      <c r="AC99" s="241"/>
      <c r="AD99" s="241"/>
      <c r="AE99" s="241"/>
    </row>
    <row r="100" spans="4:31" ht="13.5">
      <c r="D100" s="241"/>
      <c r="E100" s="242"/>
      <c r="F100" s="242"/>
      <c r="G100" s="242"/>
      <c r="H100" s="242"/>
      <c r="I100" s="242"/>
      <c r="J100" s="241"/>
      <c r="K100" s="241"/>
      <c r="L100" s="241"/>
      <c r="M100" s="241"/>
      <c r="N100" s="241"/>
      <c r="O100" s="241"/>
      <c r="P100" s="241"/>
      <c r="Q100" s="241"/>
      <c r="R100" s="236"/>
      <c r="S100" s="241"/>
      <c r="T100" s="241"/>
      <c r="U100" s="241"/>
      <c r="V100" s="241"/>
      <c r="W100" s="244"/>
      <c r="X100" s="241"/>
      <c r="Y100" s="241"/>
      <c r="Z100" s="241"/>
      <c r="AA100" s="241"/>
      <c r="AB100" s="241"/>
      <c r="AC100" s="241"/>
      <c r="AD100" s="241"/>
      <c r="AE100" s="241"/>
    </row>
    <row r="101" spans="4:31" ht="13.5">
      <c r="D101" s="241"/>
      <c r="E101" s="242"/>
      <c r="F101" s="242"/>
      <c r="G101" s="242"/>
      <c r="H101" s="242"/>
      <c r="I101" s="242"/>
      <c r="J101" s="241"/>
      <c r="K101" s="241"/>
      <c r="L101" s="241"/>
      <c r="M101" s="241"/>
      <c r="N101" s="241"/>
      <c r="O101" s="241"/>
      <c r="P101" s="241"/>
      <c r="Q101" s="241"/>
      <c r="R101" s="236"/>
      <c r="S101" s="241"/>
      <c r="T101" s="241"/>
      <c r="U101" s="241"/>
      <c r="V101" s="241"/>
      <c r="W101" s="244"/>
      <c r="X101" s="241"/>
      <c r="Y101" s="241"/>
      <c r="Z101" s="241"/>
      <c r="AA101" s="241"/>
      <c r="AB101" s="241"/>
      <c r="AC101" s="241"/>
      <c r="AD101" s="241"/>
      <c r="AE101" s="241"/>
    </row>
    <row r="102" spans="4:31" ht="13.5">
      <c r="D102" s="241"/>
      <c r="E102" s="242"/>
      <c r="F102" s="242"/>
      <c r="G102" s="242"/>
      <c r="H102" s="242"/>
      <c r="I102" s="242"/>
      <c r="J102" s="241"/>
      <c r="K102" s="241"/>
      <c r="L102" s="241"/>
      <c r="M102" s="241"/>
      <c r="N102" s="241"/>
      <c r="O102" s="241"/>
      <c r="P102" s="241"/>
      <c r="Q102" s="241"/>
      <c r="R102" s="236"/>
      <c r="S102" s="241"/>
      <c r="T102" s="241"/>
      <c r="U102" s="241"/>
      <c r="V102" s="241"/>
      <c r="W102" s="244"/>
      <c r="X102" s="241"/>
      <c r="Y102" s="241"/>
      <c r="Z102" s="241"/>
      <c r="AA102" s="241"/>
      <c r="AB102" s="241"/>
      <c r="AC102" s="241"/>
      <c r="AD102" s="241"/>
      <c r="AE102" s="241"/>
    </row>
    <row r="103" spans="4:31" ht="13.5">
      <c r="D103" s="241"/>
      <c r="E103" s="242"/>
      <c r="F103" s="242"/>
      <c r="G103" s="242"/>
      <c r="H103" s="242"/>
      <c r="I103" s="242"/>
      <c r="J103" s="241"/>
      <c r="K103" s="241"/>
      <c r="L103" s="241"/>
      <c r="M103" s="241"/>
      <c r="N103" s="241"/>
      <c r="O103" s="241"/>
      <c r="P103" s="241"/>
      <c r="Q103" s="241"/>
      <c r="R103" s="236"/>
      <c r="S103" s="241"/>
      <c r="T103" s="241"/>
      <c r="U103" s="241"/>
      <c r="V103" s="241"/>
      <c r="W103" s="244"/>
      <c r="X103" s="241"/>
      <c r="Y103" s="241"/>
      <c r="Z103" s="241"/>
      <c r="AA103" s="241"/>
      <c r="AB103" s="241"/>
      <c r="AC103" s="241"/>
      <c r="AD103" s="241"/>
      <c r="AE103" s="241"/>
    </row>
    <row r="104" spans="4:31" ht="13.5">
      <c r="D104" s="241"/>
      <c r="E104" s="242"/>
      <c r="F104" s="242"/>
      <c r="G104" s="242"/>
      <c r="H104" s="242"/>
      <c r="I104" s="242"/>
      <c r="J104" s="241"/>
      <c r="K104" s="241"/>
      <c r="L104" s="241"/>
      <c r="M104" s="241"/>
      <c r="N104" s="241"/>
      <c r="O104" s="241"/>
      <c r="P104" s="241"/>
      <c r="Q104" s="241"/>
      <c r="R104" s="236"/>
      <c r="S104" s="241"/>
      <c r="T104" s="241"/>
      <c r="U104" s="241"/>
      <c r="V104" s="241"/>
      <c r="W104" s="244"/>
      <c r="X104" s="241"/>
      <c r="Y104" s="241"/>
      <c r="Z104" s="241"/>
      <c r="AA104" s="241"/>
      <c r="AB104" s="241"/>
      <c r="AC104" s="241"/>
      <c r="AD104" s="241"/>
      <c r="AE104" s="241"/>
    </row>
    <row r="105" spans="4:31" ht="13.5">
      <c r="D105" s="241"/>
      <c r="E105" s="242"/>
      <c r="F105" s="242"/>
      <c r="G105" s="242"/>
      <c r="H105" s="242"/>
      <c r="I105" s="242"/>
      <c r="J105" s="241"/>
      <c r="K105" s="241"/>
      <c r="L105" s="241"/>
      <c r="M105" s="241"/>
      <c r="N105" s="241"/>
      <c r="O105" s="241"/>
      <c r="P105" s="241"/>
      <c r="Q105" s="241"/>
      <c r="R105" s="236"/>
      <c r="S105" s="241"/>
      <c r="T105" s="241"/>
      <c r="U105" s="241"/>
      <c r="V105" s="241"/>
      <c r="W105" s="244"/>
      <c r="X105" s="241"/>
      <c r="Y105" s="241"/>
      <c r="Z105" s="241"/>
      <c r="AA105" s="241"/>
      <c r="AB105" s="241"/>
      <c r="AC105" s="241"/>
      <c r="AD105" s="241"/>
      <c r="AE105" s="241"/>
    </row>
    <row r="106" spans="4:31" ht="13.5">
      <c r="D106" s="241"/>
      <c r="E106" s="242"/>
      <c r="F106" s="242"/>
      <c r="G106" s="242"/>
      <c r="H106" s="242"/>
      <c r="I106" s="242"/>
      <c r="J106" s="241"/>
      <c r="K106" s="241"/>
      <c r="L106" s="241"/>
      <c r="M106" s="241"/>
      <c r="N106" s="241"/>
      <c r="O106" s="241"/>
      <c r="P106" s="241"/>
      <c r="Q106" s="241"/>
      <c r="R106" s="236"/>
      <c r="S106" s="241"/>
      <c r="T106" s="241"/>
      <c r="U106" s="241"/>
      <c r="V106" s="241"/>
      <c r="W106" s="244"/>
      <c r="X106" s="241"/>
      <c r="Y106" s="241"/>
      <c r="Z106" s="241"/>
      <c r="AA106" s="241"/>
      <c r="AB106" s="241"/>
      <c r="AC106" s="241"/>
      <c r="AD106" s="241"/>
      <c r="AE106" s="241"/>
    </row>
    <row r="107" spans="4:31" ht="13.5">
      <c r="D107" s="241"/>
      <c r="E107" s="242"/>
      <c r="F107" s="242"/>
      <c r="G107" s="242"/>
      <c r="H107" s="242"/>
      <c r="I107" s="242"/>
      <c r="J107" s="241"/>
      <c r="K107" s="241"/>
      <c r="L107" s="241"/>
      <c r="M107" s="241"/>
      <c r="N107" s="241"/>
      <c r="O107" s="241"/>
      <c r="P107" s="241"/>
      <c r="Q107" s="241"/>
      <c r="R107" s="236"/>
      <c r="S107" s="241"/>
      <c r="T107" s="241"/>
      <c r="U107" s="241"/>
      <c r="V107" s="241"/>
      <c r="W107" s="244"/>
      <c r="X107" s="241"/>
      <c r="Y107" s="241"/>
      <c r="Z107" s="241"/>
      <c r="AA107" s="241"/>
      <c r="AB107" s="241"/>
      <c r="AC107" s="241"/>
      <c r="AD107" s="241"/>
      <c r="AE107" s="241"/>
    </row>
    <row r="108" spans="4:31" ht="13.5">
      <c r="D108" s="241"/>
      <c r="E108" s="242"/>
      <c r="F108" s="242"/>
      <c r="G108" s="242"/>
      <c r="H108" s="242"/>
      <c r="I108" s="242"/>
      <c r="J108" s="241"/>
      <c r="K108" s="241"/>
      <c r="L108" s="241"/>
      <c r="M108" s="241"/>
      <c r="N108" s="241"/>
      <c r="O108" s="241"/>
      <c r="P108" s="241"/>
      <c r="Q108" s="241"/>
      <c r="R108" s="236"/>
      <c r="S108" s="241"/>
      <c r="T108" s="241"/>
      <c r="U108" s="241"/>
      <c r="V108" s="241"/>
      <c r="W108" s="244"/>
      <c r="X108" s="241"/>
      <c r="Y108" s="241"/>
      <c r="Z108" s="241"/>
      <c r="AA108" s="241"/>
      <c r="AB108" s="241"/>
      <c r="AC108" s="241"/>
      <c r="AD108" s="241"/>
      <c r="AE108" s="241"/>
    </row>
    <row r="109" spans="4:31" ht="13.5">
      <c r="D109" s="241"/>
      <c r="E109" s="242"/>
      <c r="F109" s="242"/>
      <c r="G109" s="242"/>
      <c r="H109" s="242"/>
      <c r="I109" s="242"/>
      <c r="J109" s="241"/>
      <c r="K109" s="241"/>
      <c r="L109" s="241"/>
      <c r="M109" s="241"/>
      <c r="N109" s="241"/>
      <c r="O109" s="241"/>
      <c r="P109" s="241"/>
      <c r="Q109" s="241"/>
      <c r="R109" s="236"/>
      <c r="S109" s="241"/>
      <c r="T109" s="241"/>
      <c r="U109" s="241"/>
      <c r="V109" s="241"/>
      <c r="W109" s="244"/>
      <c r="X109" s="241"/>
      <c r="Y109" s="241"/>
      <c r="Z109" s="241"/>
      <c r="AA109" s="241"/>
      <c r="AB109" s="241"/>
      <c r="AC109" s="241"/>
      <c r="AD109" s="241"/>
      <c r="AE109" s="241"/>
    </row>
    <row r="110" spans="4:31" ht="13.5">
      <c r="D110" s="241"/>
      <c r="E110" s="242"/>
      <c r="F110" s="242"/>
      <c r="G110" s="242"/>
      <c r="H110" s="242"/>
      <c r="I110" s="242"/>
      <c r="J110" s="241"/>
      <c r="K110" s="241"/>
      <c r="L110" s="241"/>
      <c r="M110" s="241"/>
      <c r="N110" s="241"/>
      <c r="O110" s="241"/>
      <c r="P110" s="241"/>
      <c r="Q110" s="241"/>
      <c r="R110" s="236"/>
      <c r="S110" s="241"/>
      <c r="T110" s="241"/>
      <c r="U110" s="241"/>
      <c r="V110" s="241"/>
      <c r="W110" s="244"/>
      <c r="X110" s="241"/>
      <c r="Y110" s="241"/>
      <c r="Z110" s="241"/>
      <c r="AA110" s="241"/>
      <c r="AB110" s="241"/>
      <c r="AC110" s="241"/>
      <c r="AD110" s="241"/>
      <c r="AE110" s="241"/>
    </row>
    <row r="111" spans="4:31" ht="13.5">
      <c r="D111" s="241"/>
      <c r="E111" s="242"/>
      <c r="F111" s="242"/>
      <c r="G111" s="242"/>
      <c r="H111" s="242"/>
      <c r="I111" s="242"/>
      <c r="J111" s="241"/>
      <c r="K111" s="241"/>
      <c r="L111" s="241"/>
      <c r="M111" s="241"/>
      <c r="N111" s="241"/>
      <c r="O111" s="241"/>
      <c r="P111" s="241"/>
      <c r="Q111" s="241"/>
      <c r="R111" s="236"/>
      <c r="S111" s="241"/>
      <c r="T111" s="241"/>
      <c r="U111" s="241"/>
      <c r="V111" s="241"/>
      <c r="W111" s="244"/>
      <c r="X111" s="241"/>
      <c r="Y111" s="241"/>
      <c r="Z111" s="241"/>
      <c r="AA111" s="241"/>
      <c r="AB111" s="241"/>
      <c r="AC111" s="241"/>
      <c r="AD111" s="241"/>
      <c r="AE111" s="241"/>
    </row>
    <row r="112" spans="4:31" ht="13.5">
      <c r="D112" s="241"/>
      <c r="E112" s="242"/>
      <c r="F112" s="242"/>
      <c r="G112" s="242"/>
      <c r="H112" s="242"/>
      <c r="I112" s="242"/>
      <c r="J112" s="241"/>
      <c r="K112" s="241"/>
      <c r="L112" s="241"/>
      <c r="M112" s="241"/>
      <c r="N112" s="241"/>
      <c r="O112" s="241"/>
      <c r="P112" s="241"/>
      <c r="Q112" s="241"/>
      <c r="R112" s="236"/>
      <c r="S112" s="241"/>
      <c r="T112" s="241"/>
      <c r="U112" s="241"/>
      <c r="V112" s="241"/>
      <c r="W112" s="244"/>
      <c r="X112" s="241"/>
      <c r="Y112" s="241"/>
      <c r="Z112" s="241"/>
      <c r="AA112" s="241"/>
      <c r="AB112" s="241"/>
      <c r="AC112" s="241"/>
      <c r="AD112" s="241"/>
      <c r="AE112" s="241"/>
    </row>
    <row r="113" spans="4:31" ht="13.5">
      <c r="D113" s="241"/>
      <c r="E113" s="242"/>
      <c r="F113" s="242"/>
      <c r="G113" s="242"/>
      <c r="H113" s="242"/>
      <c r="I113" s="242"/>
      <c r="J113" s="241"/>
      <c r="K113" s="241"/>
      <c r="L113" s="241"/>
      <c r="M113" s="241"/>
      <c r="N113" s="241"/>
      <c r="O113" s="241"/>
      <c r="P113" s="241"/>
      <c r="Q113" s="241"/>
      <c r="R113" s="236"/>
      <c r="S113" s="241"/>
      <c r="T113" s="241"/>
      <c r="U113" s="241"/>
      <c r="V113" s="241"/>
      <c r="W113" s="244"/>
      <c r="X113" s="241"/>
      <c r="Y113" s="241"/>
      <c r="Z113" s="241"/>
      <c r="AA113" s="241"/>
      <c r="AB113" s="241"/>
      <c r="AC113" s="241"/>
      <c r="AD113" s="241"/>
      <c r="AE113" s="241"/>
    </row>
    <row r="114" spans="4:31" ht="13.5">
      <c r="D114" s="241"/>
      <c r="E114" s="242"/>
      <c r="F114" s="242"/>
      <c r="G114" s="242"/>
      <c r="H114" s="242"/>
      <c r="I114" s="242"/>
      <c r="J114" s="241"/>
      <c r="K114" s="241"/>
      <c r="L114" s="241"/>
      <c r="M114" s="241"/>
      <c r="N114" s="241"/>
      <c r="O114" s="241"/>
      <c r="P114" s="241"/>
      <c r="Q114" s="241"/>
      <c r="R114" s="236"/>
      <c r="S114" s="241"/>
      <c r="T114" s="241"/>
      <c r="U114" s="241"/>
      <c r="V114" s="241"/>
      <c r="W114" s="244"/>
      <c r="X114" s="241"/>
      <c r="Y114" s="241"/>
      <c r="Z114" s="241"/>
      <c r="AA114" s="241"/>
      <c r="AB114" s="241"/>
      <c r="AC114" s="241"/>
      <c r="AD114" s="241"/>
      <c r="AE114" s="241"/>
    </row>
    <row r="115" spans="4:31" ht="13.5">
      <c r="D115" s="241"/>
      <c r="E115" s="242"/>
      <c r="F115" s="242"/>
      <c r="G115" s="242"/>
      <c r="H115" s="242"/>
      <c r="I115" s="242"/>
      <c r="J115" s="241"/>
      <c r="K115" s="241"/>
      <c r="L115" s="241"/>
      <c r="M115" s="241"/>
      <c r="N115" s="241"/>
      <c r="O115" s="241"/>
      <c r="P115" s="241"/>
      <c r="Q115" s="241"/>
      <c r="R115" s="236"/>
      <c r="S115" s="241"/>
      <c r="T115" s="241"/>
      <c r="U115" s="241"/>
      <c r="V115" s="241"/>
      <c r="W115" s="244"/>
      <c r="X115" s="241"/>
      <c r="Y115" s="241"/>
      <c r="Z115" s="241"/>
      <c r="AA115" s="241"/>
      <c r="AB115" s="241"/>
      <c r="AC115" s="241"/>
      <c r="AD115" s="241"/>
      <c r="AE115" s="241"/>
    </row>
    <row r="116" spans="4:31" ht="13.5">
      <c r="D116" s="241"/>
      <c r="E116" s="242"/>
      <c r="F116" s="242"/>
      <c r="G116" s="242"/>
      <c r="H116" s="242"/>
      <c r="I116" s="242"/>
      <c r="J116" s="241"/>
      <c r="K116" s="241"/>
      <c r="L116" s="241"/>
      <c r="M116" s="241"/>
      <c r="N116" s="241"/>
      <c r="O116" s="241"/>
      <c r="P116" s="241"/>
      <c r="Q116" s="241"/>
      <c r="R116" s="236"/>
      <c r="S116" s="241"/>
      <c r="T116" s="241"/>
      <c r="U116" s="241"/>
      <c r="V116" s="241"/>
      <c r="W116" s="244"/>
      <c r="X116" s="241"/>
      <c r="Y116" s="241"/>
      <c r="Z116" s="241"/>
      <c r="AA116" s="241"/>
      <c r="AB116" s="241"/>
      <c r="AC116" s="241"/>
      <c r="AD116" s="241"/>
      <c r="AE116" s="241"/>
    </row>
    <row r="117" spans="4:31" ht="13.5">
      <c r="D117" s="241"/>
      <c r="E117" s="242"/>
      <c r="F117" s="242"/>
      <c r="G117" s="242"/>
      <c r="H117" s="242"/>
      <c r="I117" s="242"/>
      <c r="J117" s="241"/>
      <c r="K117" s="241"/>
      <c r="L117" s="241"/>
      <c r="M117" s="241"/>
      <c r="N117" s="241"/>
      <c r="O117" s="241"/>
      <c r="P117" s="241"/>
      <c r="Q117" s="241"/>
      <c r="R117" s="236"/>
      <c r="S117" s="241"/>
      <c r="T117" s="241"/>
      <c r="U117" s="241"/>
      <c r="V117" s="241"/>
      <c r="W117" s="244"/>
      <c r="X117" s="241"/>
      <c r="Y117" s="241"/>
      <c r="Z117" s="241"/>
      <c r="AA117" s="241"/>
      <c r="AB117" s="241"/>
      <c r="AC117" s="241"/>
      <c r="AD117" s="241"/>
      <c r="AE117" s="241"/>
    </row>
    <row r="118" spans="4:31" ht="13.5">
      <c r="D118" s="241"/>
      <c r="E118" s="242"/>
      <c r="F118" s="242"/>
      <c r="G118" s="242"/>
      <c r="H118" s="242"/>
      <c r="I118" s="242"/>
      <c r="J118" s="241"/>
      <c r="K118" s="241"/>
      <c r="L118" s="241"/>
      <c r="M118" s="241"/>
      <c r="N118" s="241"/>
      <c r="O118" s="241"/>
      <c r="P118" s="241"/>
      <c r="Q118" s="241"/>
      <c r="R118" s="236"/>
      <c r="S118" s="241"/>
      <c r="T118" s="241"/>
      <c r="U118" s="241"/>
      <c r="V118" s="241"/>
      <c r="W118" s="244"/>
      <c r="X118" s="241"/>
      <c r="Y118" s="241"/>
      <c r="Z118" s="241"/>
      <c r="AA118" s="241"/>
      <c r="AB118" s="241"/>
      <c r="AC118" s="241"/>
      <c r="AD118" s="241"/>
      <c r="AE118" s="241"/>
    </row>
    <row r="119" spans="4:31" ht="13.5">
      <c r="D119" s="241"/>
      <c r="E119" s="242"/>
      <c r="F119" s="242"/>
      <c r="G119" s="242"/>
      <c r="H119" s="242"/>
      <c r="I119" s="242"/>
      <c r="J119" s="241"/>
      <c r="K119" s="241"/>
      <c r="L119" s="241"/>
      <c r="M119" s="241"/>
      <c r="N119" s="241"/>
      <c r="O119" s="241"/>
      <c r="P119" s="241"/>
      <c r="Q119" s="241"/>
      <c r="R119" s="236"/>
      <c r="S119" s="241"/>
      <c r="T119" s="241"/>
      <c r="U119" s="241"/>
      <c r="V119" s="241"/>
      <c r="W119" s="244"/>
      <c r="X119" s="241"/>
      <c r="Y119" s="241"/>
      <c r="Z119" s="241"/>
      <c r="AA119" s="241"/>
      <c r="AB119" s="241"/>
      <c r="AC119" s="241"/>
      <c r="AD119" s="241"/>
      <c r="AE119" s="241"/>
    </row>
    <row r="120" spans="4:31" ht="13.5">
      <c r="D120" s="241"/>
      <c r="E120" s="242"/>
      <c r="F120" s="242"/>
      <c r="G120" s="242"/>
      <c r="H120" s="242"/>
      <c r="I120" s="242"/>
      <c r="J120" s="241"/>
      <c r="K120" s="241"/>
      <c r="L120" s="241"/>
      <c r="M120" s="241"/>
      <c r="N120" s="241"/>
      <c r="O120" s="241"/>
      <c r="P120" s="241"/>
      <c r="Q120" s="241"/>
      <c r="R120" s="236"/>
      <c r="S120" s="241"/>
      <c r="T120" s="241"/>
      <c r="U120" s="241"/>
      <c r="V120" s="241"/>
      <c r="W120" s="244"/>
      <c r="X120" s="241"/>
      <c r="Y120" s="241"/>
      <c r="Z120" s="241"/>
      <c r="AA120" s="241"/>
      <c r="AB120" s="241"/>
      <c r="AC120" s="241"/>
      <c r="AD120" s="241"/>
      <c r="AE120" s="241"/>
    </row>
    <row r="121" spans="4:31" ht="13.5">
      <c r="D121" s="241"/>
      <c r="E121" s="242"/>
      <c r="F121" s="242"/>
      <c r="G121" s="242"/>
      <c r="H121" s="242"/>
      <c r="I121" s="242"/>
      <c r="J121" s="241"/>
      <c r="K121" s="241"/>
      <c r="L121" s="241"/>
      <c r="M121" s="241"/>
      <c r="N121" s="241"/>
      <c r="O121" s="241"/>
      <c r="P121" s="241"/>
      <c r="Q121" s="241"/>
      <c r="R121" s="236"/>
      <c r="S121" s="241"/>
      <c r="T121" s="241"/>
      <c r="U121" s="241"/>
      <c r="V121" s="241"/>
      <c r="W121" s="244"/>
      <c r="X121" s="241"/>
      <c r="Y121" s="241"/>
      <c r="Z121" s="241"/>
      <c r="AA121" s="241"/>
      <c r="AB121" s="241"/>
      <c r="AC121" s="241"/>
      <c r="AD121" s="241"/>
      <c r="AE121" s="241"/>
    </row>
    <row r="122" spans="4:31" ht="13.5">
      <c r="D122" s="241"/>
      <c r="E122" s="242"/>
      <c r="F122" s="242"/>
      <c r="G122" s="242"/>
      <c r="H122" s="242"/>
      <c r="I122" s="242"/>
      <c r="J122" s="241"/>
      <c r="K122" s="241"/>
      <c r="L122" s="241"/>
      <c r="M122" s="241"/>
      <c r="N122" s="241"/>
      <c r="O122" s="241"/>
      <c r="P122" s="241"/>
      <c r="Q122" s="241"/>
      <c r="R122" s="236"/>
      <c r="S122" s="241"/>
      <c r="T122" s="241"/>
      <c r="U122" s="241"/>
      <c r="V122" s="241"/>
      <c r="W122" s="244"/>
      <c r="X122" s="241"/>
      <c r="Y122" s="241"/>
      <c r="Z122" s="241"/>
      <c r="AA122" s="241"/>
      <c r="AB122" s="241"/>
      <c r="AC122" s="241"/>
      <c r="AD122" s="241"/>
      <c r="AE122" s="241"/>
    </row>
    <row r="123" spans="4:31" ht="13.5">
      <c r="D123" s="241"/>
      <c r="E123" s="242"/>
      <c r="F123" s="242"/>
      <c r="G123" s="242"/>
      <c r="H123" s="242"/>
      <c r="I123" s="242"/>
      <c r="J123" s="241"/>
      <c r="K123" s="241"/>
      <c r="L123" s="241"/>
      <c r="M123" s="241"/>
      <c r="N123" s="241"/>
      <c r="O123" s="241"/>
      <c r="P123" s="241"/>
      <c r="Q123" s="241"/>
      <c r="R123" s="236"/>
      <c r="S123" s="241"/>
      <c r="T123" s="241"/>
      <c r="U123" s="241"/>
      <c r="V123" s="241"/>
      <c r="W123" s="244"/>
      <c r="X123" s="241"/>
      <c r="Y123" s="241"/>
      <c r="Z123" s="241"/>
      <c r="AA123" s="241"/>
      <c r="AB123" s="241"/>
      <c r="AC123" s="241"/>
      <c r="AD123" s="241"/>
      <c r="AE123" s="241"/>
    </row>
    <row r="124" spans="4:31" ht="13.5">
      <c r="D124" s="241"/>
      <c r="E124" s="242"/>
      <c r="F124" s="242"/>
      <c r="G124" s="242"/>
      <c r="H124" s="242"/>
      <c r="I124" s="242"/>
      <c r="J124" s="241"/>
      <c r="K124" s="241"/>
      <c r="L124" s="241"/>
      <c r="M124" s="241"/>
      <c r="N124" s="241"/>
      <c r="O124" s="241"/>
      <c r="P124" s="241"/>
      <c r="Q124" s="241"/>
      <c r="R124" s="236"/>
      <c r="S124" s="241"/>
      <c r="T124" s="241"/>
      <c r="U124" s="241"/>
      <c r="V124" s="241"/>
      <c r="W124" s="244"/>
      <c r="X124" s="241"/>
      <c r="Y124" s="241"/>
      <c r="Z124" s="241"/>
      <c r="AA124" s="241"/>
      <c r="AB124" s="241"/>
      <c r="AC124" s="241"/>
      <c r="AD124" s="241"/>
      <c r="AE124" s="241"/>
    </row>
    <row r="125" spans="4:31" ht="13.5">
      <c r="D125" s="241"/>
      <c r="E125" s="242"/>
      <c r="F125" s="242"/>
      <c r="G125" s="242"/>
      <c r="H125" s="242"/>
      <c r="I125" s="242"/>
      <c r="J125" s="241"/>
      <c r="K125" s="241"/>
      <c r="L125" s="241"/>
      <c r="M125" s="241"/>
      <c r="N125" s="241"/>
      <c r="O125" s="241"/>
      <c r="P125" s="241"/>
      <c r="Q125" s="241"/>
      <c r="R125" s="236"/>
      <c r="S125" s="241"/>
      <c r="T125" s="241"/>
      <c r="U125" s="241"/>
      <c r="V125" s="241"/>
      <c r="W125" s="244"/>
      <c r="X125" s="241"/>
      <c r="Y125" s="241"/>
      <c r="Z125" s="241"/>
      <c r="AA125" s="241"/>
      <c r="AB125" s="241"/>
      <c r="AC125" s="241"/>
      <c r="AD125" s="241"/>
      <c r="AE125" s="241"/>
    </row>
    <row r="126" spans="4:31" ht="13.5">
      <c r="D126" s="241"/>
      <c r="E126" s="242"/>
      <c r="F126" s="242"/>
      <c r="G126" s="242"/>
      <c r="H126" s="242"/>
      <c r="I126" s="242"/>
      <c r="J126" s="241"/>
      <c r="K126" s="241"/>
      <c r="L126" s="241"/>
      <c r="M126" s="241"/>
      <c r="N126" s="241"/>
      <c r="O126" s="241"/>
      <c r="P126" s="241"/>
      <c r="Q126" s="241"/>
      <c r="R126" s="236"/>
      <c r="S126" s="241"/>
      <c r="T126" s="241"/>
      <c r="U126" s="241"/>
      <c r="V126" s="241"/>
      <c r="W126" s="244"/>
      <c r="X126" s="241"/>
      <c r="Y126" s="241"/>
      <c r="Z126" s="241"/>
      <c r="AA126" s="241"/>
      <c r="AB126" s="241"/>
      <c r="AC126" s="241"/>
      <c r="AD126" s="241"/>
      <c r="AE126" s="241"/>
    </row>
    <row r="127" spans="4:31" ht="13.5">
      <c r="D127" s="241"/>
      <c r="E127" s="242"/>
      <c r="F127" s="242"/>
      <c r="G127" s="242"/>
      <c r="H127" s="242"/>
      <c r="I127" s="242"/>
      <c r="J127" s="241"/>
      <c r="K127" s="241"/>
      <c r="L127" s="241"/>
      <c r="M127" s="241"/>
      <c r="N127" s="241"/>
      <c r="O127" s="241"/>
      <c r="P127" s="241"/>
      <c r="Q127" s="241"/>
      <c r="R127" s="236"/>
      <c r="S127" s="241"/>
      <c r="T127" s="241"/>
      <c r="U127" s="241"/>
      <c r="V127" s="241"/>
      <c r="W127" s="244"/>
      <c r="X127" s="241"/>
      <c r="Y127" s="241"/>
      <c r="Z127" s="241"/>
      <c r="AA127" s="241"/>
      <c r="AB127" s="241"/>
      <c r="AC127" s="241"/>
      <c r="AD127" s="241"/>
      <c r="AE127" s="241"/>
    </row>
    <row r="128" spans="4:31" ht="13.5">
      <c r="D128" s="241"/>
      <c r="E128" s="242"/>
      <c r="F128" s="242"/>
      <c r="G128" s="242"/>
      <c r="H128" s="242"/>
      <c r="I128" s="242"/>
      <c r="J128" s="241"/>
      <c r="K128" s="241"/>
      <c r="L128" s="241"/>
      <c r="M128" s="241"/>
      <c r="N128" s="241"/>
      <c r="O128" s="241"/>
      <c r="P128" s="241"/>
      <c r="Q128" s="241"/>
      <c r="R128" s="236"/>
      <c r="S128" s="241"/>
      <c r="T128" s="241"/>
      <c r="U128" s="241"/>
      <c r="V128" s="241"/>
      <c r="W128" s="244"/>
      <c r="X128" s="241"/>
      <c r="Y128" s="241"/>
      <c r="Z128" s="241"/>
      <c r="AA128" s="241"/>
      <c r="AB128" s="241"/>
      <c r="AC128" s="241"/>
      <c r="AD128" s="241"/>
      <c r="AE128" s="241"/>
    </row>
    <row r="129" spans="4:31" ht="13.5">
      <c r="D129" s="241"/>
      <c r="E129" s="242"/>
      <c r="F129" s="242"/>
      <c r="G129" s="242"/>
      <c r="H129" s="242"/>
      <c r="I129" s="242"/>
      <c r="J129" s="241"/>
      <c r="K129" s="241"/>
      <c r="L129" s="241"/>
      <c r="M129" s="241"/>
      <c r="N129" s="241"/>
      <c r="O129" s="241"/>
      <c r="P129" s="241"/>
      <c r="Q129" s="241"/>
      <c r="R129" s="236"/>
      <c r="S129" s="241"/>
      <c r="T129" s="241"/>
      <c r="U129" s="241"/>
      <c r="V129" s="241"/>
      <c r="W129" s="244"/>
      <c r="X129" s="241"/>
      <c r="Y129" s="241"/>
      <c r="Z129" s="241"/>
      <c r="AA129" s="241"/>
      <c r="AB129" s="241"/>
      <c r="AC129" s="241"/>
      <c r="AD129" s="241"/>
      <c r="AE129" s="241"/>
    </row>
    <row r="130" spans="4:31" ht="13.5">
      <c r="D130" s="241"/>
      <c r="E130" s="242"/>
      <c r="F130" s="242"/>
      <c r="G130" s="242"/>
      <c r="H130" s="242"/>
      <c r="I130" s="242"/>
      <c r="J130" s="241"/>
      <c r="K130" s="241"/>
      <c r="L130" s="241"/>
      <c r="M130" s="241"/>
      <c r="N130" s="241"/>
      <c r="O130" s="241"/>
      <c r="P130" s="241"/>
      <c r="Q130" s="241"/>
      <c r="R130" s="236"/>
      <c r="S130" s="241"/>
      <c r="T130" s="241"/>
      <c r="U130" s="241"/>
      <c r="V130" s="241"/>
      <c r="W130" s="244"/>
      <c r="X130" s="241"/>
      <c r="Y130" s="241"/>
      <c r="Z130" s="241"/>
      <c r="AA130" s="241"/>
      <c r="AB130" s="241"/>
      <c r="AC130" s="241"/>
      <c r="AD130" s="241"/>
      <c r="AE130" s="241"/>
    </row>
    <row r="131" spans="4:31" ht="13.5">
      <c r="D131" s="241"/>
      <c r="E131" s="242"/>
      <c r="F131" s="242"/>
      <c r="G131" s="242"/>
      <c r="H131" s="242"/>
      <c r="I131" s="242"/>
      <c r="J131" s="241"/>
      <c r="K131" s="241"/>
      <c r="L131" s="241"/>
      <c r="M131" s="241"/>
      <c r="N131" s="241"/>
      <c r="O131" s="241"/>
      <c r="P131" s="241"/>
      <c r="Q131" s="241"/>
      <c r="R131" s="236"/>
      <c r="S131" s="241"/>
      <c r="T131" s="241"/>
      <c r="U131" s="241"/>
      <c r="V131" s="241"/>
      <c r="W131" s="244"/>
      <c r="X131" s="241"/>
      <c r="Y131" s="241"/>
      <c r="Z131" s="241"/>
      <c r="AA131" s="241"/>
      <c r="AB131" s="241"/>
      <c r="AC131" s="241"/>
      <c r="AD131" s="241"/>
      <c r="AE131" s="241"/>
    </row>
    <row r="132" spans="4:31" ht="13.5">
      <c r="D132" s="241"/>
      <c r="E132" s="242"/>
      <c r="F132" s="242"/>
      <c r="G132" s="242"/>
      <c r="H132" s="242"/>
      <c r="I132" s="242"/>
      <c r="J132" s="241"/>
      <c r="K132" s="241"/>
      <c r="L132" s="241"/>
      <c r="M132" s="241"/>
      <c r="N132" s="241"/>
      <c r="O132" s="241"/>
      <c r="P132" s="241"/>
      <c r="Q132" s="241"/>
      <c r="R132" s="236"/>
      <c r="S132" s="241"/>
      <c r="T132" s="241"/>
      <c r="U132" s="241"/>
      <c r="V132" s="241"/>
      <c r="W132" s="244"/>
      <c r="X132" s="241"/>
      <c r="Y132" s="241"/>
      <c r="Z132" s="241"/>
      <c r="AA132" s="241"/>
      <c r="AB132" s="241"/>
      <c r="AC132" s="241"/>
      <c r="AD132" s="241"/>
      <c r="AE132" s="241"/>
    </row>
    <row r="133" spans="4:31" ht="13.5">
      <c r="D133" s="241"/>
      <c r="E133" s="242"/>
      <c r="F133" s="242"/>
      <c r="G133" s="242"/>
      <c r="H133" s="242"/>
      <c r="I133" s="242"/>
      <c r="J133" s="241"/>
      <c r="K133" s="241"/>
      <c r="L133" s="241"/>
      <c r="M133" s="241"/>
      <c r="N133" s="241"/>
      <c r="O133" s="241"/>
      <c r="P133" s="241"/>
      <c r="Q133" s="241"/>
      <c r="R133" s="236"/>
      <c r="S133" s="241"/>
      <c r="T133" s="241"/>
      <c r="U133" s="241"/>
      <c r="V133" s="241"/>
      <c r="W133" s="244"/>
      <c r="X133" s="241"/>
      <c r="Y133" s="241"/>
      <c r="Z133" s="241"/>
      <c r="AA133" s="241"/>
      <c r="AB133" s="241"/>
      <c r="AC133" s="241"/>
      <c r="AD133" s="241"/>
      <c r="AE133" s="241"/>
    </row>
    <row r="134" spans="4:31" ht="13.5">
      <c r="D134" s="241"/>
      <c r="E134" s="242"/>
      <c r="F134" s="242"/>
      <c r="G134" s="242"/>
      <c r="H134" s="242"/>
      <c r="I134" s="242"/>
      <c r="J134" s="241"/>
      <c r="K134" s="241"/>
      <c r="L134" s="241"/>
      <c r="M134" s="241"/>
      <c r="N134" s="241"/>
      <c r="O134" s="241"/>
      <c r="P134" s="241"/>
      <c r="Q134" s="241"/>
      <c r="R134" s="236"/>
      <c r="S134" s="241"/>
      <c r="T134" s="241"/>
      <c r="U134" s="241"/>
      <c r="V134" s="241"/>
      <c r="W134" s="244"/>
      <c r="X134" s="241"/>
      <c r="Y134" s="241"/>
      <c r="Z134" s="241"/>
      <c r="AA134" s="241"/>
      <c r="AB134" s="241"/>
      <c r="AC134" s="241"/>
      <c r="AD134" s="241"/>
      <c r="AE134" s="241"/>
    </row>
    <row r="135" spans="4:31" ht="13.5">
      <c r="D135" s="241"/>
      <c r="E135" s="242"/>
      <c r="F135" s="242"/>
      <c r="G135" s="242"/>
      <c r="H135" s="242"/>
      <c r="I135" s="242"/>
      <c r="J135" s="241"/>
      <c r="K135" s="241"/>
      <c r="L135" s="241"/>
      <c r="M135" s="241"/>
      <c r="N135" s="241"/>
      <c r="O135" s="241"/>
      <c r="P135" s="241"/>
      <c r="Q135" s="241"/>
      <c r="R135" s="236"/>
      <c r="S135" s="241"/>
      <c r="T135" s="241"/>
      <c r="U135" s="241"/>
      <c r="V135" s="241"/>
      <c r="W135" s="244"/>
      <c r="X135" s="241"/>
      <c r="Y135" s="241"/>
      <c r="Z135" s="241"/>
      <c r="AA135" s="241"/>
      <c r="AB135" s="241"/>
      <c r="AC135" s="241"/>
      <c r="AD135" s="241"/>
      <c r="AE135" s="241"/>
    </row>
    <row r="136" spans="4:31" ht="13.5">
      <c r="D136" s="241"/>
      <c r="E136" s="242"/>
      <c r="F136" s="242"/>
      <c r="G136" s="242"/>
      <c r="H136" s="242"/>
      <c r="I136" s="242"/>
      <c r="J136" s="241"/>
      <c r="K136" s="241"/>
      <c r="L136" s="241"/>
      <c r="M136" s="241"/>
      <c r="N136" s="241"/>
      <c r="O136" s="241"/>
      <c r="P136" s="241"/>
      <c r="Q136" s="241"/>
      <c r="R136" s="236"/>
      <c r="S136" s="241"/>
      <c r="T136" s="241"/>
      <c r="U136" s="241"/>
      <c r="V136" s="241"/>
      <c r="W136" s="244"/>
      <c r="X136" s="241"/>
      <c r="Y136" s="241"/>
      <c r="Z136" s="241"/>
      <c r="AA136" s="241"/>
      <c r="AB136" s="241"/>
      <c r="AC136" s="241"/>
      <c r="AD136" s="241"/>
      <c r="AE136" s="241"/>
    </row>
    <row r="137" spans="4:31" ht="13.5">
      <c r="D137" s="241"/>
      <c r="E137" s="242"/>
      <c r="F137" s="242"/>
      <c r="G137" s="242"/>
      <c r="H137" s="242"/>
      <c r="I137" s="242"/>
      <c r="J137" s="241"/>
      <c r="K137" s="241"/>
      <c r="L137" s="241"/>
      <c r="M137" s="241"/>
      <c r="N137" s="241"/>
      <c r="O137" s="241"/>
      <c r="P137" s="241"/>
      <c r="Q137" s="241"/>
      <c r="R137" s="236"/>
      <c r="S137" s="241"/>
      <c r="T137" s="241"/>
      <c r="U137" s="241"/>
      <c r="V137" s="241"/>
      <c r="W137" s="244"/>
      <c r="X137" s="241"/>
      <c r="Y137" s="241"/>
      <c r="Z137" s="241"/>
      <c r="AA137" s="241"/>
      <c r="AB137" s="241"/>
      <c r="AC137" s="241"/>
      <c r="AD137" s="241"/>
      <c r="AE137" s="241"/>
    </row>
    <row r="138" spans="4:31" ht="13.5">
      <c r="D138" s="241"/>
      <c r="E138" s="242"/>
      <c r="F138" s="242"/>
      <c r="G138" s="242"/>
      <c r="H138" s="242"/>
      <c r="I138" s="242"/>
      <c r="J138" s="241"/>
      <c r="K138" s="241"/>
      <c r="L138" s="241"/>
      <c r="M138" s="241"/>
      <c r="N138" s="241"/>
      <c r="O138" s="241"/>
      <c r="P138" s="241"/>
      <c r="Q138" s="241"/>
      <c r="R138" s="236"/>
      <c r="S138" s="241"/>
      <c r="T138" s="241"/>
      <c r="U138" s="241"/>
      <c r="V138" s="241"/>
      <c r="W138" s="244"/>
      <c r="X138" s="241"/>
      <c r="Y138" s="241"/>
      <c r="Z138" s="241"/>
      <c r="AA138" s="241"/>
      <c r="AB138" s="241"/>
      <c r="AC138" s="241"/>
      <c r="AD138" s="241"/>
      <c r="AE138" s="241"/>
    </row>
    <row r="139" spans="4:31" ht="13.5">
      <c r="D139" s="241"/>
      <c r="E139" s="242"/>
      <c r="F139" s="242"/>
      <c r="G139" s="242"/>
      <c r="H139" s="242"/>
      <c r="I139" s="242"/>
      <c r="J139" s="241"/>
      <c r="K139" s="241"/>
      <c r="L139" s="241"/>
      <c r="M139" s="241"/>
      <c r="N139" s="241"/>
      <c r="O139" s="241"/>
      <c r="P139" s="241"/>
      <c r="Q139" s="241"/>
      <c r="R139" s="236"/>
      <c r="S139" s="241"/>
      <c r="T139" s="241"/>
      <c r="U139" s="241"/>
      <c r="V139" s="241"/>
      <c r="W139" s="244"/>
      <c r="X139" s="241"/>
      <c r="Y139" s="241"/>
      <c r="Z139" s="241"/>
      <c r="AA139" s="241"/>
      <c r="AB139" s="241"/>
      <c r="AC139" s="241"/>
      <c r="AD139" s="241"/>
      <c r="AE139" s="241"/>
    </row>
    <row r="140" spans="4:31" ht="13.5">
      <c r="D140" s="241"/>
      <c r="E140" s="242"/>
      <c r="F140" s="242"/>
      <c r="G140" s="242"/>
      <c r="H140" s="242"/>
      <c r="I140" s="242"/>
      <c r="J140" s="241"/>
      <c r="K140" s="241"/>
      <c r="L140" s="241"/>
      <c r="M140" s="241"/>
      <c r="N140" s="241"/>
      <c r="O140" s="241"/>
      <c r="P140" s="241"/>
      <c r="Q140" s="241"/>
      <c r="R140" s="236"/>
      <c r="S140" s="241"/>
      <c r="T140" s="241"/>
      <c r="U140" s="241"/>
      <c r="V140" s="241"/>
      <c r="W140" s="244"/>
      <c r="X140" s="241"/>
      <c r="Y140" s="241"/>
      <c r="Z140" s="241"/>
      <c r="AA140" s="241"/>
      <c r="AB140" s="241"/>
      <c r="AC140" s="241"/>
      <c r="AD140" s="241"/>
      <c r="AE140" s="241"/>
    </row>
    <row r="141" spans="4:31" ht="13.5">
      <c r="D141" s="241"/>
      <c r="E141" s="242"/>
      <c r="F141" s="242"/>
      <c r="G141" s="242"/>
      <c r="H141" s="242"/>
      <c r="I141" s="242"/>
      <c r="J141" s="241"/>
      <c r="K141" s="241"/>
      <c r="L141" s="241"/>
      <c r="M141" s="241"/>
      <c r="N141" s="241"/>
      <c r="O141" s="241"/>
      <c r="P141" s="241"/>
      <c r="Q141" s="241"/>
      <c r="R141" s="236"/>
      <c r="S141" s="241"/>
      <c r="T141" s="241"/>
      <c r="U141" s="241"/>
      <c r="V141" s="241"/>
      <c r="W141" s="244"/>
      <c r="X141" s="241"/>
      <c r="Y141" s="241"/>
      <c r="Z141" s="241"/>
      <c r="AA141" s="241"/>
      <c r="AB141" s="241"/>
      <c r="AC141" s="241"/>
      <c r="AD141" s="241"/>
      <c r="AE141" s="241"/>
    </row>
    <row r="142" spans="4:31" ht="13.5">
      <c r="D142" s="241"/>
      <c r="E142" s="242"/>
      <c r="F142" s="242"/>
      <c r="G142" s="242"/>
      <c r="H142" s="242"/>
      <c r="I142" s="242"/>
      <c r="J142" s="241"/>
      <c r="K142" s="241"/>
      <c r="L142" s="241"/>
      <c r="M142" s="241"/>
      <c r="N142" s="241"/>
      <c r="O142" s="241"/>
      <c r="P142" s="241"/>
      <c r="Q142" s="241"/>
      <c r="R142" s="236"/>
      <c r="S142" s="241"/>
      <c r="T142" s="241"/>
      <c r="U142" s="241"/>
      <c r="V142" s="241"/>
      <c r="W142" s="244"/>
      <c r="X142" s="241"/>
      <c r="Y142" s="241"/>
      <c r="Z142" s="241"/>
      <c r="AA142" s="241"/>
      <c r="AB142" s="241"/>
      <c r="AC142" s="241"/>
      <c r="AD142" s="241"/>
      <c r="AE142" s="241"/>
    </row>
    <row r="143" spans="4:31" ht="13.5">
      <c r="D143" s="241"/>
      <c r="E143" s="242"/>
      <c r="F143" s="242"/>
      <c r="G143" s="242"/>
      <c r="H143" s="242"/>
      <c r="I143" s="242"/>
      <c r="J143" s="241"/>
      <c r="K143" s="241"/>
      <c r="L143" s="241"/>
      <c r="M143" s="241"/>
      <c r="N143" s="241"/>
      <c r="O143" s="241"/>
      <c r="P143" s="241"/>
      <c r="Q143" s="241"/>
      <c r="R143" s="236"/>
      <c r="S143" s="241"/>
      <c r="T143" s="241"/>
      <c r="U143" s="241"/>
      <c r="V143" s="241"/>
      <c r="W143" s="244"/>
      <c r="X143" s="241"/>
      <c r="Y143" s="241"/>
      <c r="Z143" s="241"/>
      <c r="AA143" s="241"/>
      <c r="AB143" s="241"/>
      <c r="AC143" s="241"/>
      <c r="AD143" s="241"/>
      <c r="AE143" s="241"/>
    </row>
    <row r="144" spans="4:31" ht="13.5">
      <c r="D144" s="241"/>
      <c r="E144" s="242"/>
      <c r="F144" s="242"/>
      <c r="G144" s="242"/>
      <c r="H144" s="242"/>
      <c r="I144" s="242"/>
      <c r="J144" s="241"/>
      <c r="K144" s="241"/>
      <c r="L144" s="241"/>
      <c r="M144" s="241"/>
      <c r="N144" s="241"/>
      <c r="O144" s="241"/>
      <c r="P144" s="241"/>
      <c r="Q144" s="241"/>
      <c r="R144" s="236"/>
      <c r="S144" s="241"/>
      <c r="T144" s="241"/>
      <c r="U144" s="241"/>
      <c r="V144" s="241"/>
      <c r="W144" s="244"/>
      <c r="X144" s="241"/>
      <c r="Y144" s="241"/>
      <c r="Z144" s="241"/>
      <c r="AA144" s="241"/>
      <c r="AB144" s="241"/>
      <c r="AC144" s="241"/>
      <c r="AD144" s="241"/>
      <c r="AE144" s="241"/>
    </row>
    <row r="145" spans="4:31" ht="13.5">
      <c r="D145" s="241"/>
      <c r="E145" s="242"/>
      <c r="F145" s="242"/>
      <c r="G145" s="242"/>
      <c r="H145" s="242"/>
      <c r="I145" s="242"/>
      <c r="J145" s="241"/>
      <c r="K145" s="241"/>
      <c r="L145" s="241"/>
      <c r="M145" s="241"/>
      <c r="N145" s="241"/>
      <c r="O145" s="241"/>
      <c r="P145" s="241"/>
      <c r="Q145" s="241"/>
      <c r="R145" s="236"/>
      <c r="S145" s="241"/>
      <c r="T145" s="241"/>
      <c r="U145" s="241"/>
      <c r="V145" s="241"/>
      <c r="W145" s="244"/>
      <c r="X145" s="241"/>
      <c r="Y145" s="241"/>
      <c r="Z145" s="241"/>
      <c r="AA145" s="241"/>
      <c r="AB145" s="241"/>
      <c r="AC145" s="241"/>
      <c r="AD145" s="241"/>
      <c r="AE145" s="241"/>
    </row>
    <row r="146" spans="4:31" ht="13.5">
      <c r="D146" s="241"/>
      <c r="E146" s="242"/>
      <c r="F146" s="242"/>
      <c r="G146" s="242"/>
      <c r="H146" s="242"/>
      <c r="I146" s="242"/>
      <c r="J146" s="241"/>
      <c r="K146" s="241"/>
      <c r="L146" s="241"/>
      <c r="M146" s="241"/>
      <c r="N146" s="241"/>
      <c r="O146" s="241"/>
      <c r="P146" s="241"/>
      <c r="Q146" s="241"/>
      <c r="R146" s="236"/>
      <c r="S146" s="241"/>
      <c r="T146" s="241"/>
      <c r="U146" s="241"/>
      <c r="V146" s="241"/>
      <c r="W146" s="244"/>
      <c r="X146" s="241"/>
      <c r="Y146" s="241"/>
      <c r="Z146" s="241"/>
      <c r="AA146" s="241"/>
      <c r="AB146" s="241"/>
      <c r="AC146" s="241"/>
      <c r="AD146" s="241"/>
      <c r="AE146" s="241"/>
    </row>
    <row r="147" spans="4:31" ht="13.5">
      <c r="D147" s="241"/>
      <c r="E147" s="242"/>
      <c r="F147" s="242"/>
      <c r="G147" s="242"/>
      <c r="H147" s="242"/>
      <c r="I147" s="242"/>
      <c r="J147" s="241"/>
      <c r="K147" s="241"/>
      <c r="L147" s="241"/>
      <c r="M147" s="241"/>
      <c r="N147" s="241"/>
      <c r="O147" s="241"/>
      <c r="P147" s="241"/>
      <c r="Q147" s="241"/>
      <c r="R147" s="236"/>
      <c r="S147" s="241"/>
      <c r="T147" s="241"/>
      <c r="U147" s="241"/>
      <c r="V147" s="241"/>
      <c r="W147" s="244"/>
      <c r="X147" s="241"/>
      <c r="Y147" s="241"/>
      <c r="Z147" s="241"/>
      <c r="AA147" s="241"/>
      <c r="AB147" s="241"/>
      <c r="AC147" s="241"/>
      <c r="AD147" s="241"/>
      <c r="AE147" s="241"/>
    </row>
    <row r="148" spans="4:31" ht="13.5">
      <c r="D148" s="241"/>
      <c r="E148" s="242"/>
      <c r="F148" s="242"/>
      <c r="G148" s="242"/>
      <c r="H148" s="242"/>
      <c r="I148" s="242"/>
      <c r="J148" s="241"/>
      <c r="K148" s="241"/>
      <c r="L148" s="241"/>
      <c r="M148" s="241"/>
      <c r="N148" s="241"/>
      <c r="O148" s="241"/>
      <c r="P148" s="241"/>
      <c r="Q148" s="241"/>
      <c r="R148" s="236"/>
      <c r="S148" s="241"/>
      <c r="T148" s="241"/>
      <c r="U148" s="241"/>
      <c r="V148" s="241"/>
      <c r="W148" s="244"/>
      <c r="X148" s="241"/>
      <c r="Y148" s="241"/>
      <c r="Z148" s="241"/>
      <c r="AA148" s="241"/>
      <c r="AB148" s="241"/>
      <c r="AC148" s="241"/>
      <c r="AD148" s="241"/>
      <c r="AE148" s="241"/>
    </row>
    <row r="149" spans="4:31" ht="13.5">
      <c r="D149" s="241"/>
      <c r="E149" s="242"/>
      <c r="F149" s="242"/>
      <c r="G149" s="242"/>
      <c r="H149" s="242"/>
      <c r="I149" s="242"/>
      <c r="J149" s="241"/>
      <c r="K149" s="241"/>
      <c r="L149" s="241"/>
      <c r="M149" s="241"/>
      <c r="N149" s="241"/>
      <c r="O149" s="241"/>
      <c r="P149" s="241"/>
      <c r="Q149" s="241"/>
      <c r="R149" s="236"/>
      <c r="S149" s="241"/>
      <c r="T149" s="241"/>
      <c r="U149" s="241"/>
      <c r="V149" s="241"/>
      <c r="W149" s="244"/>
      <c r="X149" s="241"/>
      <c r="Y149" s="241"/>
      <c r="Z149" s="241"/>
      <c r="AA149" s="241"/>
      <c r="AB149" s="241"/>
      <c r="AC149" s="241"/>
      <c r="AD149" s="241"/>
      <c r="AE149" s="241"/>
    </row>
    <row r="150" spans="4:31" ht="13.5">
      <c r="D150" s="241"/>
      <c r="E150" s="242"/>
      <c r="F150" s="242"/>
      <c r="G150" s="242"/>
      <c r="H150" s="242"/>
      <c r="I150" s="242"/>
      <c r="J150" s="241"/>
      <c r="K150" s="241"/>
      <c r="L150" s="241"/>
      <c r="M150" s="241"/>
      <c r="N150" s="241"/>
      <c r="O150" s="241"/>
      <c r="P150" s="241"/>
      <c r="Q150" s="241"/>
      <c r="R150" s="236"/>
      <c r="S150" s="241"/>
      <c r="T150" s="241"/>
      <c r="U150" s="241"/>
      <c r="V150" s="241"/>
      <c r="W150" s="244"/>
      <c r="X150" s="241"/>
      <c r="Y150" s="241"/>
      <c r="Z150" s="241"/>
      <c r="AA150" s="241"/>
      <c r="AB150" s="241"/>
      <c r="AC150" s="241"/>
      <c r="AD150" s="241"/>
      <c r="AE150" s="241"/>
    </row>
    <row r="151" spans="4:31" ht="13.5">
      <c r="D151" s="241"/>
      <c r="E151" s="242"/>
      <c r="F151" s="242"/>
      <c r="G151" s="242"/>
      <c r="H151" s="242"/>
      <c r="I151" s="242"/>
      <c r="J151" s="241"/>
      <c r="K151" s="241"/>
      <c r="L151" s="241"/>
      <c r="M151" s="241"/>
      <c r="N151" s="241"/>
      <c r="O151" s="241"/>
      <c r="P151" s="241"/>
      <c r="Q151" s="241"/>
      <c r="R151" s="236"/>
      <c r="S151" s="241"/>
      <c r="T151" s="241"/>
      <c r="U151" s="241"/>
      <c r="V151" s="241"/>
      <c r="W151" s="244"/>
      <c r="X151" s="241"/>
      <c r="Y151" s="241"/>
      <c r="Z151" s="241"/>
      <c r="AA151" s="241"/>
      <c r="AB151" s="241"/>
      <c r="AC151" s="241"/>
      <c r="AD151" s="241"/>
      <c r="AE151" s="241"/>
    </row>
    <row r="152" spans="4:31" ht="13.5">
      <c r="D152" s="241"/>
      <c r="E152" s="242"/>
      <c r="F152" s="242"/>
      <c r="G152" s="242"/>
      <c r="H152" s="242"/>
      <c r="I152" s="242"/>
      <c r="J152" s="241"/>
      <c r="K152" s="241"/>
      <c r="L152" s="241"/>
      <c r="M152" s="241"/>
      <c r="N152" s="241"/>
      <c r="O152" s="241"/>
      <c r="P152" s="241"/>
      <c r="Q152" s="241"/>
      <c r="R152" s="236"/>
      <c r="S152" s="241"/>
      <c r="T152" s="241"/>
      <c r="U152" s="241"/>
      <c r="V152" s="241"/>
      <c r="W152" s="244"/>
      <c r="X152" s="241"/>
      <c r="Y152" s="241"/>
      <c r="Z152" s="241"/>
      <c r="AA152" s="241"/>
      <c r="AB152" s="241"/>
      <c r="AC152" s="241"/>
      <c r="AD152" s="241"/>
      <c r="AE152" s="241"/>
    </row>
    <row r="153" spans="4:31" ht="13.5">
      <c r="D153" s="241"/>
      <c r="E153" s="242"/>
      <c r="F153" s="242"/>
      <c r="G153" s="242"/>
      <c r="H153" s="242"/>
      <c r="I153" s="242"/>
      <c r="J153" s="241"/>
      <c r="K153" s="241"/>
      <c r="L153" s="241"/>
      <c r="M153" s="241"/>
      <c r="N153" s="241"/>
      <c r="O153" s="241"/>
      <c r="P153" s="241"/>
      <c r="Q153" s="241"/>
      <c r="R153" s="236"/>
      <c r="S153" s="241"/>
      <c r="T153" s="241"/>
      <c r="U153" s="241"/>
      <c r="V153" s="241"/>
      <c r="W153" s="244"/>
      <c r="X153" s="241"/>
      <c r="Y153" s="241"/>
      <c r="Z153" s="241"/>
      <c r="AA153" s="241"/>
      <c r="AB153" s="241"/>
      <c r="AC153" s="241"/>
      <c r="AD153" s="241"/>
      <c r="AE153" s="241"/>
    </row>
    <row r="154" spans="4:31" ht="13.5">
      <c r="D154" s="241"/>
      <c r="E154" s="242"/>
      <c r="F154" s="242"/>
      <c r="G154" s="242"/>
      <c r="H154" s="242"/>
      <c r="I154" s="242"/>
      <c r="J154" s="241"/>
      <c r="K154" s="241"/>
      <c r="L154" s="241"/>
      <c r="M154" s="241"/>
      <c r="N154" s="241"/>
      <c r="O154" s="241"/>
      <c r="P154" s="241"/>
      <c r="Q154" s="241"/>
      <c r="R154" s="236"/>
      <c r="S154" s="241"/>
      <c r="T154" s="241"/>
      <c r="U154" s="241"/>
      <c r="V154" s="241"/>
      <c r="W154" s="244"/>
      <c r="X154" s="241"/>
      <c r="Y154" s="241"/>
      <c r="Z154" s="241"/>
      <c r="AA154" s="241"/>
      <c r="AB154" s="241"/>
      <c r="AC154" s="241"/>
      <c r="AD154" s="241"/>
      <c r="AE154" s="241"/>
    </row>
    <row r="155" spans="4:31" ht="13.5">
      <c r="D155" s="241"/>
      <c r="E155" s="242"/>
      <c r="F155" s="242"/>
      <c r="G155" s="242"/>
      <c r="H155" s="242"/>
      <c r="I155" s="242"/>
      <c r="J155" s="241"/>
      <c r="K155" s="241"/>
      <c r="L155" s="241"/>
      <c r="M155" s="241"/>
      <c r="N155" s="241"/>
      <c r="O155" s="241"/>
      <c r="P155" s="241"/>
      <c r="Q155" s="241"/>
      <c r="R155" s="236"/>
      <c r="S155" s="241"/>
      <c r="T155" s="241"/>
      <c r="U155" s="241"/>
      <c r="V155" s="241"/>
      <c r="W155" s="244"/>
      <c r="X155" s="241"/>
      <c r="Y155" s="241"/>
      <c r="Z155" s="241"/>
      <c r="AA155" s="241"/>
      <c r="AB155" s="241"/>
      <c r="AC155" s="241"/>
      <c r="AD155" s="241"/>
      <c r="AE155" s="241"/>
    </row>
    <row r="156" spans="4:31" ht="13.5">
      <c r="D156" s="241"/>
      <c r="E156" s="242"/>
      <c r="F156" s="242"/>
      <c r="G156" s="242"/>
      <c r="H156" s="242"/>
      <c r="I156" s="242"/>
      <c r="J156" s="241"/>
      <c r="K156" s="241"/>
      <c r="L156" s="241"/>
      <c r="M156" s="241"/>
      <c r="N156" s="241"/>
      <c r="O156" s="241"/>
      <c r="P156" s="241"/>
      <c r="Q156" s="241"/>
      <c r="R156" s="236"/>
      <c r="S156" s="241"/>
      <c r="T156" s="241"/>
      <c r="U156" s="241"/>
      <c r="V156" s="241"/>
      <c r="W156" s="244"/>
      <c r="X156" s="241"/>
      <c r="Y156" s="241"/>
      <c r="Z156" s="241"/>
      <c r="AA156" s="241"/>
      <c r="AB156" s="241"/>
      <c r="AC156" s="241"/>
      <c r="AD156" s="241"/>
      <c r="AE156" s="241"/>
    </row>
    <row r="157" spans="4:31" ht="13.5">
      <c r="D157" s="241"/>
      <c r="E157" s="242"/>
      <c r="F157" s="242"/>
      <c r="G157" s="242"/>
      <c r="H157" s="242"/>
      <c r="I157" s="242"/>
      <c r="J157" s="241"/>
      <c r="K157" s="241"/>
      <c r="L157" s="241"/>
      <c r="M157" s="241"/>
      <c r="N157" s="241"/>
      <c r="O157" s="241"/>
      <c r="P157" s="241"/>
      <c r="Q157" s="241"/>
      <c r="R157" s="236"/>
      <c r="S157" s="241"/>
      <c r="T157" s="241"/>
      <c r="U157" s="241"/>
      <c r="V157" s="241"/>
      <c r="W157" s="244"/>
      <c r="X157" s="241"/>
      <c r="Y157" s="241"/>
      <c r="Z157" s="241"/>
      <c r="AA157" s="241"/>
      <c r="AB157" s="241"/>
      <c r="AC157" s="241"/>
      <c r="AD157" s="241"/>
      <c r="AE157" s="241"/>
    </row>
    <row r="158" spans="4:31" ht="13.5">
      <c r="D158" s="241"/>
      <c r="E158" s="242"/>
      <c r="F158" s="242"/>
      <c r="G158" s="242"/>
      <c r="H158" s="242"/>
      <c r="I158" s="242"/>
      <c r="J158" s="241"/>
      <c r="K158" s="241"/>
      <c r="L158" s="241"/>
      <c r="M158" s="241"/>
      <c r="N158" s="241"/>
      <c r="O158" s="241"/>
      <c r="P158" s="241"/>
      <c r="Q158" s="241"/>
      <c r="R158" s="236"/>
      <c r="S158" s="241"/>
      <c r="T158" s="241"/>
      <c r="U158" s="241"/>
      <c r="V158" s="241"/>
      <c r="W158" s="244"/>
      <c r="X158" s="241"/>
      <c r="Y158" s="241"/>
      <c r="Z158" s="241"/>
      <c r="AA158" s="241"/>
      <c r="AB158" s="241"/>
      <c r="AC158" s="241"/>
      <c r="AD158" s="241"/>
      <c r="AE158" s="241"/>
    </row>
    <row r="159" spans="4:31" ht="13.5">
      <c r="D159" s="241"/>
      <c r="E159" s="242"/>
      <c r="F159" s="242"/>
      <c r="G159" s="242"/>
      <c r="H159" s="242"/>
      <c r="I159" s="242"/>
      <c r="J159" s="241"/>
      <c r="K159" s="241"/>
      <c r="L159" s="241"/>
      <c r="M159" s="241"/>
      <c r="N159" s="241"/>
      <c r="O159" s="241"/>
      <c r="P159" s="241"/>
      <c r="Q159" s="241"/>
      <c r="R159" s="236"/>
      <c r="S159" s="241"/>
      <c r="T159" s="241"/>
      <c r="U159" s="241"/>
      <c r="V159" s="241"/>
      <c r="W159" s="244"/>
      <c r="X159" s="241"/>
      <c r="Y159" s="241"/>
      <c r="Z159" s="241"/>
      <c r="AA159" s="241"/>
      <c r="AB159" s="241"/>
      <c r="AC159" s="241"/>
      <c r="AD159" s="241"/>
      <c r="AE159" s="241"/>
    </row>
    <row r="160" spans="4:31" ht="13.5">
      <c r="D160" s="241"/>
      <c r="E160" s="242"/>
      <c r="F160" s="242"/>
      <c r="G160" s="242"/>
      <c r="H160" s="242"/>
      <c r="I160" s="242"/>
      <c r="J160" s="241"/>
      <c r="K160" s="241"/>
      <c r="L160" s="241"/>
      <c r="M160" s="241"/>
      <c r="N160" s="241"/>
      <c r="O160" s="241"/>
      <c r="P160" s="241"/>
      <c r="Q160" s="241"/>
      <c r="R160" s="236"/>
      <c r="S160" s="241"/>
      <c r="T160" s="241"/>
      <c r="U160" s="241"/>
      <c r="V160" s="241"/>
      <c r="W160" s="244"/>
      <c r="X160" s="241"/>
      <c r="Y160" s="241"/>
      <c r="Z160" s="241"/>
      <c r="AA160" s="241"/>
      <c r="AB160" s="241"/>
      <c r="AC160" s="241"/>
      <c r="AD160" s="241"/>
      <c r="AE160" s="241"/>
    </row>
    <row r="161" spans="4:31" ht="13.5">
      <c r="D161" s="241"/>
      <c r="E161" s="242"/>
      <c r="F161" s="242"/>
      <c r="G161" s="242"/>
      <c r="H161" s="242"/>
      <c r="I161" s="242"/>
      <c r="J161" s="241"/>
      <c r="K161" s="241"/>
      <c r="L161" s="241"/>
      <c r="M161" s="241"/>
      <c r="N161" s="241"/>
      <c r="O161" s="241"/>
      <c r="P161" s="241"/>
      <c r="Q161" s="241"/>
      <c r="R161" s="236"/>
      <c r="S161" s="241"/>
      <c r="T161" s="241"/>
      <c r="U161" s="241"/>
      <c r="V161" s="241"/>
      <c r="W161" s="244"/>
      <c r="X161" s="241"/>
      <c r="Y161" s="241"/>
      <c r="Z161" s="241"/>
      <c r="AA161" s="241"/>
      <c r="AB161" s="241"/>
      <c r="AC161" s="241"/>
      <c r="AD161" s="241"/>
      <c r="AE161" s="241"/>
    </row>
    <row r="162" spans="4:31" ht="13.5">
      <c r="D162" s="241"/>
      <c r="E162" s="242"/>
      <c r="F162" s="242"/>
      <c r="G162" s="242"/>
      <c r="H162" s="242"/>
      <c r="I162" s="242"/>
      <c r="J162" s="241"/>
      <c r="K162" s="241"/>
      <c r="L162" s="241"/>
      <c r="M162" s="241"/>
      <c r="N162" s="241"/>
      <c r="O162" s="241"/>
      <c r="P162" s="241"/>
      <c r="Q162" s="241"/>
      <c r="R162" s="236"/>
      <c r="S162" s="241"/>
      <c r="T162" s="241"/>
      <c r="U162" s="241"/>
      <c r="V162" s="241"/>
      <c r="W162" s="244"/>
      <c r="X162" s="241"/>
      <c r="Y162" s="241"/>
      <c r="Z162" s="241"/>
      <c r="AA162" s="241"/>
      <c r="AB162" s="241"/>
      <c r="AC162" s="241"/>
      <c r="AD162" s="241"/>
      <c r="AE162" s="241"/>
    </row>
    <row r="163" spans="4:31" ht="13.5">
      <c r="D163" s="241"/>
      <c r="E163" s="242"/>
      <c r="F163" s="242"/>
      <c r="G163" s="242"/>
      <c r="H163" s="242"/>
      <c r="I163" s="242"/>
      <c r="J163" s="241"/>
      <c r="K163" s="241"/>
      <c r="L163" s="241"/>
      <c r="M163" s="241"/>
      <c r="N163" s="241"/>
      <c r="O163" s="241"/>
      <c r="P163" s="241"/>
      <c r="Q163" s="241"/>
      <c r="R163" s="236"/>
      <c r="S163" s="241"/>
      <c r="T163" s="241"/>
      <c r="U163" s="241"/>
      <c r="V163" s="241"/>
      <c r="W163" s="244"/>
      <c r="X163" s="241"/>
      <c r="Y163" s="241"/>
      <c r="Z163" s="241"/>
      <c r="AA163" s="241"/>
      <c r="AB163" s="241"/>
      <c r="AC163" s="241"/>
      <c r="AD163" s="241"/>
      <c r="AE163" s="241"/>
    </row>
    <row r="164" spans="4:31" ht="13.5">
      <c r="D164" s="241"/>
      <c r="E164" s="242"/>
      <c r="F164" s="242"/>
      <c r="G164" s="242"/>
      <c r="H164" s="242"/>
      <c r="I164" s="242"/>
      <c r="J164" s="241"/>
      <c r="K164" s="241"/>
      <c r="L164" s="241"/>
      <c r="M164" s="241"/>
      <c r="N164" s="241"/>
      <c r="O164" s="241"/>
      <c r="P164" s="241"/>
      <c r="Q164" s="241"/>
      <c r="R164" s="236"/>
      <c r="S164" s="241"/>
      <c r="T164" s="241"/>
      <c r="U164" s="241"/>
      <c r="V164" s="241"/>
      <c r="W164" s="244"/>
      <c r="X164" s="241"/>
      <c r="Y164" s="241"/>
      <c r="Z164" s="241"/>
      <c r="AA164" s="241"/>
      <c r="AB164" s="241"/>
      <c r="AC164" s="241"/>
      <c r="AD164" s="241"/>
      <c r="AE164" s="241"/>
    </row>
    <row r="165" spans="4:31" ht="13.5">
      <c r="D165" s="241"/>
      <c r="E165" s="242"/>
      <c r="F165" s="242"/>
      <c r="G165" s="242"/>
      <c r="H165" s="242"/>
      <c r="I165" s="242"/>
      <c r="J165" s="241"/>
      <c r="K165" s="241"/>
      <c r="L165" s="241"/>
      <c r="M165" s="241"/>
      <c r="N165" s="241"/>
      <c r="O165" s="241"/>
      <c r="P165" s="241"/>
      <c r="Q165" s="241"/>
      <c r="R165" s="236"/>
      <c r="S165" s="241"/>
      <c r="T165" s="241"/>
      <c r="U165" s="241"/>
      <c r="V165" s="241"/>
      <c r="W165" s="244"/>
      <c r="X165" s="241"/>
      <c r="Y165" s="241"/>
      <c r="Z165" s="241"/>
      <c r="AA165" s="241"/>
      <c r="AB165" s="241"/>
      <c r="AC165" s="241"/>
      <c r="AD165" s="241"/>
      <c r="AE165" s="241"/>
    </row>
    <row r="166" spans="4:31" ht="13.5">
      <c r="D166" s="241"/>
      <c r="E166" s="242"/>
      <c r="F166" s="242"/>
      <c r="G166" s="242"/>
      <c r="H166" s="242"/>
      <c r="I166" s="242"/>
      <c r="J166" s="241"/>
      <c r="K166" s="241"/>
      <c r="L166" s="241"/>
      <c r="M166" s="241"/>
      <c r="N166" s="241"/>
      <c r="O166" s="241"/>
      <c r="P166" s="241"/>
      <c r="Q166" s="241"/>
      <c r="R166" s="236"/>
      <c r="S166" s="241"/>
      <c r="T166" s="241"/>
      <c r="U166" s="241"/>
      <c r="V166" s="241"/>
      <c r="W166" s="244"/>
      <c r="X166" s="241"/>
      <c r="Y166" s="241"/>
      <c r="Z166" s="241"/>
      <c r="AA166" s="241"/>
      <c r="AB166" s="241"/>
      <c r="AC166" s="241"/>
      <c r="AD166" s="241"/>
      <c r="AE166" s="241"/>
    </row>
    <row r="167" spans="4:31" ht="13.5">
      <c r="D167" s="241"/>
      <c r="E167" s="242"/>
      <c r="F167" s="242"/>
      <c r="G167" s="242"/>
      <c r="H167" s="242"/>
      <c r="I167" s="242"/>
      <c r="J167" s="241"/>
      <c r="K167" s="241"/>
      <c r="L167" s="241"/>
      <c r="M167" s="241"/>
      <c r="N167" s="241"/>
      <c r="O167" s="241"/>
      <c r="P167" s="241"/>
      <c r="Q167" s="241"/>
      <c r="R167" s="236"/>
      <c r="S167" s="241"/>
      <c r="T167" s="241"/>
      <c r="U167" s="241"/>
      <c r="V167" s="241"/>
      <c r="W167" s="244"/>
      <c r="X167" s="241"/>
      <c r="Y167" s="241"/>
      <c r="Z167" s="241"/>
      <c r="AA167" s="241"/>
      <c r="AB167" s="241"/>
      <c r="AC167" s="241"/>
      <c r="AD167" s="241"/>
      <c r="AE167" s="241"/>
    </row>
    <row r="168" spans="4:31" ht="13.5">
      <c r="D168" s="241"/>
      <c r="E168" s="242"/>
      <c r="F168" s="242"/>
      <c r="G168" s="242"/>
      <c r="H168" s="242"/>
      <c r="I168" s="242"/>
      <c r="J168" s="241"/>
      <c r="K168" s="241"/>
      <c r="L168" s="241"/>
      <c r="M168" s="241"/>
      <c r="N168" s="241"/>
      <c r="O168" s="241"/>
      <c r="P168" s="241"/>
      <c r="Q168" s="241"/>
      <c r="R168" s="236"/>
      <c r="S168" s="241"/>
      <c r="T168" s="241"/>
      <c r="U168" s="241"/>
      <c r="V168" s="241"/>
      <c r="W168" s="244"/>
      <c r="X168" s="241"/>
      <c r="Y168" s="241"/>
      <c r="Z168" s="241"/>
      <c r="AA168" s="241"/>
      <c r="AB168" s="241"/>
      <c r="AC168" s="241"/>
      <c r="AD168" s="241"/>
      <c r="AE168" s="241"/>
    </row>
    <row r="169" spans="4:31" ht="13.5">
      <c r="D169" s="241"/>
      <c r="E169" s="242"/>
      <c r="F169" s="242"/>
      <c r="G169" s="242"/>
      <c r="H169" s="242"/>
      <c r="I169" s="242"/>
      <c r="J169" s="241"/>
      <c r="K169" s="241"/>
      <c r="L169" s="241"/>
      <c r="M169" s="241"/>
      <c r="N169" s="241"/>
      <c r="O169" s="241"/>
      <c r="P169" s="241"/>
      <c r="Q169" s="241"/>
      <c r="R169" s="236"/>
      <c r="S169" s="241"/>
      <c r="T169" s="241"/>
      <c r="U169" s="241"/>
      <c r="V169" s="241"/>
      <c r="W169" s="244"/>
      <c r="X169" s="241"/>
      <c r="Y169" s="241"/>
      <c r="Z169" s="241"/>
      <c r="AA169" s="241"/>
      <c r="AB169" s="241"/>
      <c r="AC169" s="241"/>
      <c r="AD169" s="241"/>
      <c r="AE169" s="241"/>
    </row>
    <row r="170" spans="4:31" ht="13.5">
      <c r="D170" s="241"/>
      <c r="E170" s="242"/>
      <c r="F170" s="242"/>
      <c r="G170" s="242"/>
      <c r="H170" s="242"/>
      <c r="I170" s="242"/>
      <c r="J170" s="241"/>
      <c r="K170" s="241"/>
      <c r="L170" s="241"/>
      <c r="M170" s="241"/>
      <c r="N170" s="241"/>
      <c r="O170" s="241"/>
      <c r="P170" s="241"/>
      <c r="Q170" s="241"/>
      <c r="R170" s="236"/>
      <c r="S170" s="241"/>
      <c r="T170" s="241"/>
      <c r="U170" s="241"/>
      <c r="V170" s="241"/>
      <c r="W170" s="244"/>
      <c r="X170" s="241"/>
      <c r="Y170" s="241"/>
      <c r="Z170" s="241"/>
      <c r="AA170" s="241"/>
      <c r="AB170" s="241"/>
      <c r="AC170" s="241"/>
      <c r="AD170" s="241"/>
      <c r="AE170" s="241"/>
    </row>
    <row r="171" spans="4:31" ht="13.5">
      <c r="D171" s="241"/>
      <c r="E171" s="242"/>
      <c r="F171" s="242"/>
      <c r="G171" s="242"/>
      <c r="H171" s="242"/>
      <c r="I171" s="242"/>
      <c r="J171" s="241"/>
      <c r="K171" s="241"/>
      <c r="L171" s="241"/>
      <c r="M171" s="241"/>
      <c r="N171" s="241"/>
      <c r="O171" s="241"/>
      <c r="P171" s="241"/>
      <c r="Q171" s="241"/>
      <c r="R171" s="236"/>
      <c r="S171" s="241"/>
      <c r="T171" s="241"/>
      <c r="U171" s="241"/>
      <c r="V171" s="241"/>
      <c r="W171" s="244"/>
      <c r="X171" s="241"/>
      <c r="Y171" s="241"/>
      <c r="Z171" s="241"/>
      <c r="AA171" s="241"/>
      <c r="AB171" s="241"/>
      <c r="AC171" s="241"/>
      <c r="AD171" s="241"/>
      <c r="AE171" s="241"/>
    </row>
    <row r="172" spans="4:31" ht="13.5">
      <c r="D172" s="241"/>
      <c r="E172" s="242"/>
      <c r="F172" s="242"/>
      <c r="G172" s="242"/>
      <c r="H172" s="242"/>
      <c r="I172" s="242"/>
      <c r="J172" s="241"/>
      <c r="K172" s="241"/>
      <c r="L172" s="241"/>
      <c r="M172" s="241"/>
      <c r="N172" s="241"/>
      <c r="O172" s="241"/>
      <c r="P172" s="241"/>
      <c r="Q172" s="241"/>
      <c r="R172" s="236"/>
      <c r="S172" s="241"/>
      <c r="T172" s="241"/>
      <c r="U172" s="241"/>
      <c r="V172" s="241"/>
      <c r="W172" s="244"/>
      <c r="X172" s="241"/>
      <c r="Y172" s="241"/>
      <c r="Z172" s="241"/>
      <c r="AA172" s="241"/>
      <c r="AB172" s="241"/>
      <c r="AC172" s="241"/>
      <c r="AD172" s="241"/>
      <c r="AE172" s="241"/>
    </row>
    <row r="173" spans="4:31" ht="13.5">
      <c r="D173" s="241"/>
      <c r="E173" s="242"/>
      <c r="F173" s="242"/>
      <c r="G173" s="242"/>
      <c r="H173" s="242"/>
      <c r="I173" s="242"/>
      <c r="J173" s="241"/>
      <c r="K173" s="241"/>
      <c r="L173" s="241"/>
      <c r="M173" s="241"/>
      <c r="N173" s="241"/>
      <c r="O173" s="241"/>
      <c r="P173" s="241"/>
      <c r="Q173" s="241"/>
      <c r="R173" s="236"/>
      <c r="S173" s="241"/>
      <c r="T173" s="241"/>
      <c r="U173" s="241"/>
      <c r="V173" s="241"/>
      <c r="W173" s="244"/>
      <c r="X173" s="241"/>
      <c r="Y173" s="241"/>
      <c r="Z173" s="241"/>
      <c r="AA173" s="241"/>
      <c r="AB173" s="241"/>
      <c r="AC173" s="241"/>
      <c r="AD173" s="241"/>
      <c r="AE173" s="241"/>
    </row>
    <row r="174" spans="4:31" ht="13.5">
      <c r="D174" s="241"/>
      <c r="E174" s="242"/>
      <c r="F174" s="242"/>
      <c r="G174" s="242"/>
      <c r="H174" s="242"/>
      <c r="I174" s="242"/>
      <c r="J174" s="241"/>
      <c r="K174" s="241"/>
      <c r="L174" s="241"/>
      <c r="M174" s="241"/>
      <c r="N174" s="241"/>
      <c r="O174" s="241"/>
      <c r="P174" s="241"/>
      <c r="Q174" s="241"/>
      <c r="R174" s="236"/>
      <c r="S174" s="241"/>
      <c r="T174" s="241"/>
      <c r="U174" s="241"/>
      <c r="V174" s="241"/>
      <c r="W174" s="244"/>
      <c r="X174" s="241"/>
      <c r="Y174" s="241"/>
      <c r="Z174" s="241"/>
      <c r="AA174" s="241"/>
      <c r="AB174" s="241"/>
      <c r="AC174" s="241"/>
      <c r="AD174" s="241"/>
      <c r="AE174" s="241"/>
    </row>
    <row r="175" spans="4:31" ht="13.5">
      <c r="D175" s="241"/>
      <c r="E175" s="242"/>
      <c r="F175" s="242"/>
      <c r="G175" s="242"/>
      <c r="H175" s="242"/>
      <c r="I175" s="242"/>
      <c r="J175" s="241"/>
      <c r="K175" s="241"/>
      <c r="L175" s="241"/>
      <c r="M175" s="241"/>
      <c r="N175" s="241"/>
      <c r="O175" s="241"/>
      <c r="P175" s="241"/>
      <c r="Q175" s="241"/>
      <c r="R175" s="236"/>
      <c r="S175" s="241"/>
      <c r="T175" s="241"/>
      <c r="U175" s="241"/>
      <c r="V175" s="241"/>
      <c r="W175" s="244"/>
      <c r="X175" s="241"/>
      <c r="Y175" s="241"/>
      <c r="Z175" s="241"/>
      <c r="AA175" s="241"/>
      <c r="AB175" s="241"/>
      <c r="AC175" s="241"/>
      <c r="AD175" s="241"/>
      <c r="AE175" s="241"/>
    </row>
    <row r="176" spans="4:31" ht="13.5">
      <c r="D176" s="241"/>
      <c r="E176" s="242"/>
      <c r="F176" s="242"/>
      <c r="G176" s="242"/>
      <c r="H176" s="242"/>
      <c r="I176" s="242"/>
      <c r="J176" s="241"/>
      <c r="K176" s="241"/>
      <c r="L176" s="241"/>
      <c r="M176" s="241"/>
      <c r="N176" s="241"/>
      <c r="O176" s="241"/>
      <c r="P176" s="241"/>
      <c r="Q176" s="241"/>
      <c r="R176" s="236"/>
      <c r="S176" s="241"/>
      <c r="T176" s="241"/>
      <c r="U176" s="241"/>
      <c r="V176" s="241"/>
      <c r="W176" s="244"/>
      <c r="X176" s="241"/>
      <c r="Y176" s="241"/>
      <c r="Z176" s="241"/>
      <c r="AA176" s="241"/>
      <c r="AB176" s="241"/>
      <c r="AC176" s="241"/>
      <c r="AD176" s="241"/>
      <c r="AE176" s="241"/>
    </row>
    <row r="177" spans="4:31" ht="13.5">
      <c r="D177" s="241"/>
      <c r="E177" s="242"/>
      <c r="F177" s="242"/>
      <c r="G177" s="242"/>
      <c r="H177" s="242"/>
      <c r="I177" s="242"/>
      <c r="J177" s="241"/>
      <c r="K177" s="241"/>
      <c r="L177" s="241"/>
      <c r="M177" s="241"/>
      <c r="N177" s="241"/>
      <c r="O177" s="241"/>
      <c r="P177" s="241"/>
      <c r="Q177" s="241"/>
      <c r="R177" s="236"/>
      <c r="S177" s="241"/>
      <c r="T177" s="241"/>
      <c r="U177" s="241"/>
      <c r="V177" s="241"/>
      <c r="W177" s="244"/>
      <c r="X177" s="241"/>
      <c r="Y177" s="241"/>
      <c r="Z177" s="241"/>
      <c r="AA177" s="241"/>
      <c r="AB177" s="241"/>
      <c r="AC177" s="241"/>
      <c r="AD177" s="241"/>
      <c r="AE177" s="241"/>
    </row>
    <row r="178" spans="4:31" ht="13.5">
      <c r="D178" s="241"/>
      <c r="E178" s="242"/>
      <c r="F178" s="242"/>
      <c r="G178" s="242"/>
      <c r="H178" s="242"/>
      <c r="I178" s="242"/>
      <c r="J178" s="241"/>
      <c r="K178" s="241"/>
      <c r="L178" s="241"/>
      <c r="M178" s="241"/>
      <c r="N178" s="241"/>
      <c r="O178" s="241"/>
      <c r="P178" s="241"/>
      <c r="Q178" s="241"/>
      <c r="R178" s="236"/>
      <c r="S178" s="241"/>
      <c r="T178" s="241"/>
      <c r="U178" s="241"/>
      <c r="V178" s="241"/>
      <c r="W178" s="244"/>
      <c r="X178" s="241"/>
      <c r="Y178" s="241"/>
      <c r="Z178" s="241"/>
      <c r="AA178" s="241"/>
      <c r="AB178" s="241"/>
      <c r="AC178" s="241"/>
      <c r="AD178" s="241"/>
      <c r="AE178" s="241"/>
    </row>
    <row r="179" spans="4:31" ht="13.5">
      <c r="D179" s="241"/>
      <c r="E179" s="242"/>
      <c r="F179" s="242"/>
      <c r="G179" s="242"/>
      <c r="H179" s="242"/>
      <c r="I179" s="242"/>
      <c r="J179" s="241"/>
      <c r="K179" s="241"/>
      <c r="L179" s="241"/>
      <c r="M179" s="241"/>
      <c r="N179" s="241"/>
      <c r="O179" s="241"/>
      <c r="P179" s="241"/>
      <c r="Q179" s="241"/>
      <c r="R179" s="236"/>
      <c r="S179" s="241"/>
      <c r="T179" s="241"/>
      <c r="U179" s="241"/>
      <c r="V179" s="241"/>
      <c r="W179" s="244"/>
      <c r="X179" s="241"/>
      <c r="Y179" s="241"/>
      <c r="Z179" s="241"/>
      <c r="AA179" s="241"/>
      <c r="AB179" s="241"/>
      <c r="AC179" s="241"/>
      <c r="AD179" s="241"/>
      <c r="AE179" s="241"/>
    </row>
    <row r="180" spans="4:31" ht="13.5">
      <c r="D180" s="241"/>
      <c r="F180" s="242"/>
      <c r="G180" s="242"/>
      <c r="H180" s="242"/>
      <c r="I180" s="242"/>
      <c r="J180" s="241"/>
      <c r="K180" s="241"/>
      <c r="L180" s="241"/>
      <c r="M180" s="241"/>
      <c r="N180" s="241"/>
      <c r="O180" s="241"/>
      <c r="P180" s="241"/>
      <c r="Q180" s="241"/>
      <c r="R180" s="236"/>
      <c r="S180" s="241"/>
      <c r="T180" s="241"/>
      <c r="U180" s="241"/>
      <c r="V180" s="241"/>
      <c r="W180" s="244"/>
      <c r="X180" s="241"/>
      <c r="Y180" s="241"/>
      <c r="Z180" s="241"/>
      <c r="AA180" s="241"/>
      <c r="AB180" s="241"/>
      <c r="AC180" s="241"/>
      <c r="AD180" s="241"/>
      <c r="AE180" s="241"/>
    </row>
  </sheetData>
  <autoFilter ref="A5:AE54" xr:uid="{00000000-0009-0000-0000-000004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autoFilter>
  <mergeCells count="5">
    <mergeCell ref="D5:D7"/>
    <mergeCell ref="E5:AE5"/>
    <mergeCell ref="E6:Q6"/>
    <mergeCell ref="R6:R7"/>
    <mergeCell ref="S6:AE6"/>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79"/>
  <sheetViews>
    <sheetView topLeftCell="C1" workbookViewId="0">
      <selection activeCell="F21" sqref="F21"/>
    </sheetView>
  </sheetViews>
  <sheetFormatPr defaultRowHeight="10.5"/>
  <cols>
    <col min="1" max="1" width="9.33203125" hidden="1" customWidth="1"/>
    <col min="2" max="2" width="12.33203125" hidden="1" customWidth="1"/>
    <col min="3" max="3" width="70" customWidth="1"/>
    <col min="4" max="14" width="20.6640625" customWidth="1"/>
    <col min="15" max="15" width="24.1640625" customWidth="1"/>
    <col min="16" max="16" width="21.83203125" customWidth="1"/>
    <col min="17" max="17" width="22.83203125" customWidth="1"/>
    <col min="18" max="29" width="12.6640625" customWidth="1"/>
    <col min="30" max="30" width="14.5" customWidth="1"/>
    <col min="31" max="31" width="24" hidden="1" customWidth="1"/>
    <col min="32" max="32" width="23.83203125" hidden="1" customWidth="1"/>
    <col min="33" max="33" width="18.1640625" hidden="1" customWidth="1"/>
    <col min="34" max="34" width="14.83203125" customWidth="1"/>
  </cols>
  <sheetData>
    <row r="1" spans="1:37" ht="15.4">
      <c r="C1" s="21" t="s">
        <v>16</v>
      </c>
      <c r="D1" s="6"/>
      <c r="E1" s="6"/>
      <c r="F1" s="6"/>
      <c r="G1" s="6"/>
      <c r="H1" s="6"/>
      <c r="I1" s="5"/>
      <c r="J1" s="5"/>
      <c r="K1" s="5"/>
      <c r="L1" s="5"/>
      <c r="M1" s="5"/>
      <c r="N1" s="5"/>
      <c r="O1" s="5"/>
      <c r="P1" s="5"/>
      <c r="Q1" s="38"/>
      <c r="R1" s="5"/>
      <c r="S1" s="5"/>
      <c r="T1" s="5"/>
      <c r="U1" s="5"/>
      <c r="V1" s="41"/>
      <c r="W1" s="5"/>
      <c r="X1" s="5"/>
      <c r="Y1" s="5"/>
      <c r="Z1" s="5"/>
      <c r="AA1" s="5"/>
      <c r="AB1" s="5"/>
      <c r="AC1" s="5"/>
      <c r="AD1" s="5"/>
      <c r="AE1" s="46"/>
      <c r="AF1" s="38"/>
    </row>
    <row r="2" spans="1:37" ht="31.5" customHeight="1">
      <c r="C2" s="153" t="s">
        <v>184</v>
      </c>
      <c r="D2" s="153"/>
      <c r="E2" s="153"/>
      <c r="F2" s="153"/>
      <c r="G2" s="153"/>
      <c r="H2" s="311"/>
      <c r="I2" s="153"/>
      <c r="J2" s="153"/>
      <c r="K2" s="264"/>
      <c r="L2" s="153"/>
      <c r="M2" s="153"/>
      <c r="N2" s="153"/>
      <c r="O2" s="264"/>
      <c r="P2" s="337"/>
      <c r="Q2" s="293"/>
      <c r="R2" s="153"/>
      <c r="S2" s="153"/>
      <c r="T2" s="153"/>
      <c r="U2" s="153"/>
      <c r="V2" s="153"/>
      <c r="W2" s="153"/>
      <c r="X2" s="153"/>
      <c r="Y2" s="153"/>
      <c r="Z2" s="153"/>
      <c r="AA2" s="153"/>
      <c r="AB2" s="153"/>
      <c r="AC2" s="153"/>
      <c r="AD2" s="153"/>
      <c r="AE2" s="46"/>
      <c r="AF2" s="38"/>
    </row>
    <row r="3" spans="1:37" ht="18" hidden="1" customHeight="1">
      <c r="C3" s="5"/>
      <c r="D3" s="118">
        <f>+SUBTOTAL(9,D9:D26)</f>
        <v>13237143700</v>
      </c>
      <c r="E3" s="118">
        <f t="shared" ref="E3:K3" si="0">+SUBTOTAL(9,E9:E26)</f>
        <v>40366653995</v>
      </c>
      <c r="F3" s="118">
        <f t="shared" si="0"/>
        <v>29904196188</v>
      </c>
      <c r="G3" s="118">
        <f t="shared" si="0"/>
        <v>78247883913</v>
      </c>
      <c r="H3" s="118">
        <f t="shared" si="0"/>
        <v>99841667840</v>
      </c>
      <c r="I3" s="118">
        <f t="shared" si="0"/>
        <v>115393148483</v>
      </c>
      <c r="J3" s="118">
        <f t="shared" si="0"/>
        <v>65082588410</v>
      </c>
      <c r="K3" s="118">
        <f t="shared" si="0"/>
        <v>65619552198</v>
      </c>
      <c r="L3" s="118">
        <f>+SUBTOTAL(9,L9:L27)</f>
        <v>66816260917</v>
      </c>
      <c r="M3" s="118">
        <f>+SUBTOTAL(9,M9:M27)</f>
        <v>49804552226</v>
      </c>
      <c r="N3" s="118">
        <f>+SUBTOTAL(9,N9:N27)</f>
        <v>102517004504</v>
      </c>
      <c r="O3" s="118">
        <f t="shared" ref="O3" si="1">+SUBTOTAL(9,O9:O27)</f>
        <v>645735136331</v>
      </c>
      <c r="P3" s="118">
        <f>+SUBTOTAL(9,P9:P27)</f>
        <v>1372565788705</v>
      </c>
      <c r="Q3" s="118"/>
      <c r="R3" s="35"/>
      <c r="S3" s="35"/>
      <c r="T3" s="35"/>
      <c r="U3" s="35"/>
      <c r="V3" s="86"/>
      <c r="W3" s="35"/>
      <c r="X3" s="35"/>
      <c r="Y3" s="35"/>
      <c r="Z3" s="35"/>
      <c r="AA3" s="35"/>
      <c r="AB3" s="35"/>
      <c r="AC3" s="85"/>
      <c r="AD3" s="35"/>
      <c r="AE3" s="46"/>
      <c r="AF3" s="38"/>
    </row>
    <row r="4" spans="1:37" ht="18" hidden="1" customHeight="1">
      <c r="C4" s="5"/>
      <c r="D4" s="118">
        <f>+SUBTOTAL(9,D30:D51)</f>
        <v>10191759312</v>
      </c>
      <c r="E4" s="118">
        <f t="shared" ref="E4:K4" si="2">+SUBTOTAL(9,E30:E51)</f>
        <v>36414796814</v>
      </c>
      <c r="F4" s="118">
        <f t="shared" si="2"/>
        <v>25894418238</v>
      </c>
      <c r="G4" s="118">
        <f t="shared" si="2"/>
        <v>67446139929</v>
      </c>
      <c r="H4" s="118">
        <f t="shared" si="2"/>
        <v>85638316411</v>
      </c>
      <c r="I4" s="118">
        <f t="shared" si="2"/>
        <v>96138186949</v>
      </c>
      <c r="J4" s="118">
        <f t="shared" si="2"/>
        <v>56280575729</v>
      </c>
      <c r="K4" s="118">
        <f t="shared" si="2"/>
        <v>56293851323</v>
      </c>
      <c r="L4" s="118">
        <f>+SUBTOTAL(9,L30:L51)</f>
        <v>44441735818</v>
      </c>
      <c r="M4" s="118">
        <f t="shared" ref="M4:P4" si="3">+SUBTOTAL(9,M30:M51)</f>
        <v>43190945570</v>
      </c>
      <c r="N4" s="118">
        <f>+SUBTOTAL(9,N30:N51)</f>
        <v>86730298668</v>
      </c>
      <c r="O4" s="118">
        <f t="shared" si="3"/>
        <v>513722182465.46869</v>
      </c>
      <c r="P4" s="118">
        <f t="shared" si="3"/>
        <v>1122383207226.4688</v>
      </c>
      <c r="Q4" s="118"/>
      <c r="R4" s="35"/>
      <c r="S4" s="35"/>
      <c r="T4" s="35"/>
      <c r="U4" s="35"/>
      <c r="V4" s="86"/>
      <c r="W4" s="35"/>
      <c r="X4" s="35"/>
      <c r="Y4" s="35"/>
      <c r="Z4" s="35"/>
      <c r="AA4" s="35"/>
      <c r="AB4" s="35"/>
      <c r="AC4" s="85"/>
      <c r="AD4" s="35"/>
      <c r="AE4" s="46"/>
      <c r="AF4" s="38"/>
    </row>
    <row r="5" spans="1:37" ht="33" customHeight="1">
      <c r="C5" s="370" t="s">
        <v>2</v>
      </c>
      <c r="D5" s="373">
        <v>2025</v>
      </c>
      <c r="E5" s="373"/>
      <c r="F5" s="373"/>
      <c r="G5" s="373"/>
      <c r="H5" s="374"/>
      <c r="I5" s="373"/>
      <c r="J5" s="373"/>
      <c r="K5" s="373"/>
      <c r="L5" s="373"/>
      <c r="M5" s="373"/>
      <c r="N5" s="373"/>
      <c r="O5" s="373"/>
      <c r="P5" s="373"/>
      <c r="Q5" s="374"/>
      <c r="R5" s="373"/>
      <c r="S5" s="373"/>
      <c r="T5" s="373"/>
      <c r="U5" s="373"/>
      <c r="V5" s="373"/>
      <c r="W5" s="373"/>
      <c r="X5" s="373"/>
      <c r="Y5" s="373"/>
      <c r="Z5" s="373"/>
      <c r="AA5" s="373"/>
      <c r="AB5" s="373"/>
      <c r="AC5" s="373"/>
      <c r="AD5" s="373"/>
      <c r="AE5" s="257"/>
      <c r="AF5" s="257"/>
    </row>
    <row r="6" spans="1:37" ht="13.5">
      <c r="C6" s="371"/>
      <c r="D6" s="375" t="s">
        <v>5</v>
      </c>
      <c r="E6" s="376"/>
      <c r="F6" s="376"/>
      <c r="G6" s="376"/>
      <c r="H6" s="377"/>
      <c r="I6" s="376"/>
      <c r="J6" s="376"/>
      <c r="K6" s="376"/>
      <c r="L6" s="376"/>
      <c r="M6" s="376"/>
      <c r="N6" s="376"/>
      <c r="O6" s="376"/>
      <c r="P6" s="378"/>
      <c r="Q6" s="379" t="s">
        <v>185</v>
      </c>
      <c r="R6" s="375" t="s">
        <v>144</v>
      </c>
      <c r="S6" s="376"/>
      <c r="T6" s="376"/>
      <c r="U6" s="376"/>
      <c r="V6" s="376"/>
      <c r="W6" s="376"/>
      <c r="X6" s="376"/>
      <c r="Y6" s="376"/>
      <c r="Z6" s="376"/>
      <c r="AA6" s="376"/>
      <c r="AB6" s="376"/>
      <c r="AC6" s="376"/>
      <c r="AD6" s="378"/>
      <c r="AE6" s="258"/>
      <c r="AF6" s="258"/>
    </row>
    <row r="7" spans="1:37" ht="23.25">
      <c r="C7" s="372"/>
      <c r="D7" s="319">
        <v>45658</v>
      </c>
      <c r="E7" s="319">
        <v>45689</v>
      </c>
      <c r="F7" s="319">
        <v>45717</v>
      </c>
      <c r="G7" s="319">
        <v>45748</v>
      </c>
      <c r="H7" s="319">
        <v>45778</v>
      </c>
      <c r="I7" s="319">
        <v>45809</v>
      </c>
      <c r="J7" s="319">
        <v>45839</v>
      </c>
      <c r="K7" s="319">
        <v>45870</v>
      </c>
      <c r="L7" s="319">
        <v>45901</v>
      </c>
      <c r="M7" s="319">
        <v>45931</v>
      </c>
      <c r="N7" s="319">
        <v>45962</v>
      </c>
      <c r="O7" s="319">
        <v>45992</v>
      </c>
      <c r="P7" s="320" t="s">
        <v>8</v>
      </c>
      <c r="Q7" s="380"/>
      <c r="R7" s="319">
        <v>45658</v>
      </c>
      <c r="S7" s="319">
        <v>45689</v>
      </c>
      <c r="T7" s="319">
        <v>45717</v>
      </c>
      <c r="U7" s="319">
        <v>45748</v>
      </c>
      <c r="V7" s="319">
        <v>45778</v>
      </c>
      <c r="W7" s="319">
        <v>45809</v>
      </c>
      <c r="X7" s="319">
        <v>45839</v>
      </c>
      <c r="Y7" s="319">
        <v>45870</v>
      </c>
      <c r="Z7" s="319">
        <v>45901</v>
      </c>
      <c r="AA7" s="319">
        <v>45931</v>
      </c>
      <c r="AB7" s="319">
        <v>45962</v>
      </c>
      <c r="AC7" s="319">
        <v>45992</v>
      </c>
      <c r="AD7" s="336" t="s">
        <v>145</v>
      </c>
      <c r="AE7" s="258"/>
      <c r="AF7" s="258"/>
    </row>
    <row r="8" spans="1:37" ht="15" customHeight="1">
      <c r="C8" s="321" t="s">
        <v>3</v>
      </c>
      <c r="D8" s="322">
        <f>SUM(D9:D28)</f>
        <v>13237143700</v>
      </c>
      <c r="E8" s="322">
        <f t="shared" ref="E8:AG8" si="4">SUM(E9:E28)</f>
        <v>40366653995</v>
      </c>
      <c r="F8" s="322">
        <f t="shared" si="4"/>
        <v>29904196188</v>
      </c>
      <c r="G8" s="322">
        <f t="shared" si="4"/>
        <v>78247883913</v>
      </c>
      <c r="H8" s="322">
        <f t="shared" si="4"/>
        <v>99841667840</v>
      </c>
      <c r="I8" s="322">
        <f t="shared" si="4"/>
        <v>115393148483</v>
      </c>
      <c r="J8" s="322">
        <f t="shared" si="4"/>
        <v>65082588410</v>
      </c>
      <c r="K8" s="322">
        <f t="shared" si="4"/>
        <v>65619552198</v>
      </c>
      <c r="L8" s="322">
        <f t="shared" ref="L8:Q8" si="5">SUM(L9:L28)</f>
        <v>66816260917</v>
      </c>
      <c r="M8" s="322">
        <f t="shared" si="5"/>
        <v>49804552226</v>
      </c>
      <c r="N8" s="322">
        <f t="shared" si="5"/>
        <v>102517004504</v>
      </c>
      <c r="O8" s="341">
        <f>SUM(O9:O28)</f>
        <v>653245516331</v>
      </c>
      <c r="P8" s="322">
        <f t="shared" si="5"/>
        <v>1380076168705</v>
      </c>
      <c r="Q8" s="322">
        <f t="shared" si="5"/>
        <v>2980846658017.6025</v>
      </c>
      <c r="R8" s="322">
        <f t="shared" si="4"/>
        <v>527.3342243645925</v>
      </c>
      <c r="S8" s="322">
        <f t="shared" si="4"/>
        <v>1581.455592360431</v>
      </c>
      <c r="T8" s="322">
        <f t="shared" si="4"/>
        <v>1168.4521622318605</v>
      </c>
      <c r="U8" s="322">
        <f t="shared" si="4"/>
        <v>3008.0299816630145</v>
      </c>
      <c r="V8" s="322">
        <f t="shared" si="4"/>
        <v>3837.8500034595427</v>
      </c>
      <c r="W8" s="322">
        <f t="shared" si="4"/>
        <v>4423.7399999999989</v>
      </c>
      <c r="X8" s="322">
        <f t="shared" si="4"/>
        <v>2484.9218590355467</v>
      </c>
      <c r="Y8" s="322">
        <f t="shared" si="4"/>
        <v>2485.6800000000003</v>
      </c>
      <c r="Z8" s="322">
        <f t="shared" si="4"/>
        <v>2530.25</v>
      </c>
      <c r="AA8" s="322">
        <f t="shared" si="4"/>
        <v>1893.2</v>
      </c>
      <c r="AB8" s="322">
        <f>SUM(AB9:AB28)</f>
        <v>3884.25</v>
      </c>
      <c r="AC8" s="322">
        <f>SUM(AC9:AC28)</f>
        <v>24857.14</v>
      </c>
      <c r="AD8" s="322">
        <f t="shared" si="4"/>
        <v>52682.303823114991</v>
      </c>
      <c r="AE8" s="322">
        <f t="shared" si="4"/>
        <v>40366653995</v>
      </c>
      <c r="AF8" s="322">
        <f t="shared" si="4"/>
        <v>0</v>
      </c>
      <c r="AG8" s="322">
        <f t="shared" si="4"/>
        <v>0</v>
      </c>
      <c r="AH8" s="270">
        <f>+P8-'[2]IS (01)'!$L$6</f>
        <v>0</v>
      </c>
      <c r="AI8" s="270">
        <f>+AD8-'[2]IS (01)'!$G$6</f>
        <v>-6.1768850064254366E-3</v>
      </c>
      <c r="AJ8" s="270"/>
      <c r="AK8" s="270"/>
    </row>
    <row r="9" spans="1:37" ht="15" customHeight="1">
      <c r="A9" s="307"/>
      <c r="B9" s="307" t="s">
        <v>197</v>
      </c>
      <c r="C9" s="262" t="s">
        <v>133</v>
      </c>
      <c r="D9" s="313">
        <v>1547890964</v>
      </c>
      <c r="E9" s="312">
        <v>1517740000</v>
      </c>
      <c r="F9" s="312">
        <v>1649245000</v>
      </c>
      <c r="G9" s="312">
        <v>1599512000</v>
      </c>
      <c r="H9" s="323">
        <v>1593627000</v>
      </c>
      <c r="I9" s="312">
        <v>1593627000</v>
      </c>
      <c r="J9" s="312">
        <v>1593627000</v>
      </c>
      <c r="K9" s="314">
        <v>1610017000</v>
      </c>
      <c r="L9" s="314">
        <v>1699447000</v>
      </c>
      <c r="M9" s="312">
        <v>1890079545</v>
      </c>
      <c r="N9" s="312">
        <v>1593627000</v>
      </c>
      <c r="O9" s="312">
        <v>1593627000</v>
      </c>
      <c r="P9" s="324">
        <f>SUM(D9:O9)</f>
        <v>19482066509</v>
      </c>
      <c r="Q9" s="325">
        <f>+P9+'Summary 2024'!Q9</f>
        <v>118639029417</v>
      </c>
      <c r="R9" s="326">
        <f t="shared" ref="R9:R22" si="6">D9/$R$50</f>
        <v>61.66404923910445</v>
      </c>
      <c r="S9" s="326">
        <f t="shared" ref="S9:S22" si="7">E9/$S$50</f>
        <v>59.460920666013713</v>
      </c>
      <c r="T9" s="326">
        <f t="shared" ref="T9:T26" si="8">F9/$T$50</f>
        <v>64.441253467745085</v>
      </c>
      <c r="U9" s="326">
        <f t="shared" ref="U9:U26" si="9">G9/$U$50</f>
        <v>61.48894783377542</v>
      </c>
      <c r="V9" s="326">
        <f t="shared" ref="V9:V26" si="10">H9/$V$50</f>
        <v>61.258004997117048</v>
      </c>
      <c r="W9" s="326">
        <f t="shared" ref="W9:W27" si="11">ROUND(I9/$W$50,2)</f>
        <v>61.09</v>
      </c>
      <c r="X9" s="326">
        <f t="shared" ref="X9:X27" si="12">J9/$X$50</f>
        <v>60.846359436447635</v>
      </c>
      <c r="Y9" s="326">
        <f t="shared" ref="Y9:Y27" si="13">ROUND(K9/$Y$50,2)</f>
        <v>60.99</v>
      </c>
      <c r="Z9" s="326">
        <f t="shared" ref="Z9:Z27" si="14">ROUND(L9/$Z$50,2)</f>
        <v>64.36</v>
      </c>
      <c r="AA9" s="326">
        <f t="shared" ref="AA9:AA28" si="15">ROUND(M9/$AA$50,2)</f>
        <v>71.849999999999994</v>
      </c>
      <c r="AB9" s="326">
        <f t="shared" ref="AB9:AB28" si="16">ROUND(N9/$AB$50,2)</f>
        <v>60.38</v>
      </c>
      <c r="AC9" s="326">
        <f>ROUND(O9/$AC$50,2)</f>
        <v>60.64</v>
      </c>
      <c r="AD9" s="327">
        <f>SUM(R9:AC9)</f>
        <v>748.46953564020339</v>
      </c>
      <c r="AE9" s="257">
        <f>+E9+E17</f>
        <v>3926652500</v>
      </c>
      <c r="AF9" s="259"/>
    </row>
    <row r="10" spans="1:37" ht="15" customHeight="1">
      <c r="A10" s="308" t="s">
        <v>200</v>
      </c>
      <c r="B10" s="307" t="s">
        <v>198</v>
      </c>
      <c r="C10" s="262" t="s">
        <v>141</v>
      </c>
      <c r="D10" s="312">
        <v>3093843795</v>
      </c>
      <c r="E10" s="312">
        <v>2238531317</v>
      </c>
      <c r="F10" s="312">
        <v>1893615964</v>
      </c>
      <c r="G10" s="312">
        <v>1820519462</v>
      </c>
      <c r="H10" s="313">
        <v>2499781977</v>
      </c>
      <c r="I10" s="312">
        <v>1723909886</v>
      </c>
      <c r="J10" s="312">
        <v>12671382160</v>
      </c>
      <c r="K10" s="314">
        <v>2470378345</v>
      </c>
      <c r="L10" s="314">
        <v>1863283803</v>
      </c>
      <c r="M10" s="312">
        <v>6734849528</v>
      </c>
      <c r="N10" s="312">
        <v>4011403299</v>
      </c>
      <c r="O10" s="312">
        <v>67784105752</v>
      </c>
      <c r="P10" s="324">
        <f t="shared" ref="P10:P19" si="17">SUM(D10:O10)</f>
        <v>108805605288</v>
      </c>
      <c r="Q10" s="325">
        <f>+P10+'Summary 2024'!Q10</f>
        <v>1089203862198.6025</v>
      </c>
      <c r="R10" s="326">
        <f t="shared" si="6"/>
        <v>123.25088817624093</v>
      </c>
      <c r="S10" s="326">
        <f t="shared" si="7"/>
        <v>87.699561880509307</v>
      </c>
      <c r="T10" s="326">
        <f t="shared" si="8"/>
        <v>73.989605126401756</v>
      </c>
      <c r="U10" s="326">
        <f t="shared" si="9"/>
        <v>69.984986814285165</v>
      </c>
      <c r="V10" s="326">
        <f t="shared" si="10"/>
        <v>96.090024101479912</v>
      </c>
      <c r="W10" s="326">
        <f t="shared" si="11"/>
        <v>66.09</v>
      </c>
      <c r="X10" s="326">
        <f t="shared" si="12"/>
        <v>483.80673361078232</v>
      </c>
      <c r="Y10" s="326">
        <f t="shared" si="13"/>
        <v>93.58</v>
      </c>
      <c r="Z10" s="326">
        <f t="shared" si="14"/>
        <v>70.56</v>
      </c>
      <c r="AA10" s="326">
        <f t="shared" si="15"/>
        <v>256.01</v>
      </c>
      <c r="AB10" s="326">
        <f t="shared" si="16"/>
        <v>151.99</v>
      </c>
      <c r="AC10" s="326">
        <f t="shared" ref="AC10:AC28" si="18">ROUND(O10/$AC$50,2)</f>
        <v>2579.3000000000002</v>
      </c>
      <c r="AD10" s="327">
        <f t="shared" ref="AD10:AD17" si="19">SUM(R10:AC10)</f>
        <v>4152.3517997096997</v>
      </c>
      <c r="AE10" s="257">
        <f>+E10+E18+E19+E20</f>
        <v>36440001495</v>
      </c>
      <c r="AF10" s="259"/>
    </row>
    <row r="11" spans="1:37" s="309" customFormat="1" ht="15" customHeight="1">
      <c r="A11" s="308"/>
      <c r="B11" s="308" t="s">
        <v>199</v>
      </c>
      <c r="C11" s="262" t="s">
        <v>134</v>
      </c>
      <c r="D11" s="313"/>
      <c r="E11" s="313"/>
      <c r="F11" s="313"/>
      <c r="G11" s="313"/>
      <c r="H11" s="313"/>
      <c r="I11" s="313"/>
      <c r="J11" s="313"/>
      <c r="K11" s="313"/>
      <c r="L11" s="313"/>
      <c r="M11" s="313"/>
      <c r="N11" s="313"/>
      <c r="O11" s="313"/>
      <c r="P11" s="324">
        <f t="shared" si="17"/>
        <v>0</v>
      </c>
      <c r="Q11" s="325">
        <f>+P11+'Summary 2024'!Q11</f>
        <v>104618100000</v>
      </c>
      <c r="R11" s="326">
        <f t="shared" si="6"/>
        <v>0</v>
      </c>
      <c r="S11" s="326">
        <f t="shared" si="7"/>
        <v>0</v>
      </c>
      <c r="T11" s="326">
        <f t="shared" si="8"/>
        <v>0</v>
      </c>
      <c r="U11" s="326">
        <f t="shared" si="9"/>
        <v>0</v>
      </c>
      <c r="V11" s="326">
        <f t="shared" si="10"/>
        <v>0</v>
      </c>
      <c r="W11" s="326">
        <f t="shared" si="11"/>
        <v>0</v>
      </c>
      <c r="X11" s="326">
        <f t="shared" si="12"/>
        <v>0</v>
      </c>
      <c r="Y11" s="326">
        <f t="shared" si="13"/>
        <v>0</v>
      </c>
      <c r="Z11" s="326">
        <f t="shared" si="14"/>
        <v>0</v>
      </c>
      <c r="AA11" s="326">
        <f t="shared" si="15"/>
        <v>0</v>
      </c>
      <c r="AB11" s="326">
        <f t="shared" si="16"/>
        <v>0</v>
      </c>
      <c r="AC11" s="326">
        <f t="shared" si="18"/>
        <v>0</v>
      </c>
      <c r="AD11" s="327">
        <f t="shared" si="19"/>
        <v>0</v>
      </c>
      <c r="AE11" s="257"/>
      <c r="AF11" s="257"/>
    </row>
    <row r="12" spans="1:37" s="309" customFormat="1" ht="15" customHeight="1">
      <c r="A12" s="308"/>
      <c r="B12" s="308" t="s">
        <v>199</v>
      </c>
      <c r="C12" s="262" t="s">
        <v>137</v>
      </c>
      <c r="D12" s="313"/>
      <c r="E12" s="313"/>
      <c r="F12" s="313"/>
      <c r="G12" s="313"/>
      <c r="H12" s="313"/>
      <c r="I12" s="313">
        <v>9548000000</v>
      </c>
      <c r="J12" s="313"/>
      <c r="K12" s="313"/>
      <c r="L12" s="313">
        <v>4774000000</v>
      </c>
      <c r="M12" s="313"/>
      <c r="N12" s="313"/>
      <c r="O12" s="313"/>
      <c r="P12" s="324">
        <f t="shared" si="17"/>
        <v>14322000000</v>
      </c>
      <c r="Q12" s="325">
        <f>+P12+'Summary 2024'!Q12</f>
        <v>33418000000</v>
      </c>
      <c r="R12" s="326">
        <f t="shared" si="6"/>
        <v>0</v>
      </c>
      <c r="S12" s="326">
        <f t="shared" si="7"/>
        <v>0</v>
      </c>
      <c r="T12" s="326">
        <f t="shared" si="8"/>
        <v>0</v>
      </c>
      <c r="U12" s="326">
        <f t="shared" si="9"/>
        <v>0</v>
      </c>
      <c r="V12" s="326">
        <f t="shared" si="10"/>
        <v>0</v>
      </c>
      <c r="W12" s="326">
        <f t="shared" si="11"/>
        <v>366.03</v>
      </c>
      <c r="X12" s="326">
        <f t="shared" si="12"/>
        <v>0</v>
      </c>
      <c r="Y12" s="326">
        <f t="shared" si="13"/>
        <v>0</v>
      </c>
      <c r="Z12" s="326">
        <f t="shared" si="14"/>
        <v>180.79</v>
      </c>
      <c r="AA12" s="326">
        <f t="shared" si="15"/>
        <v>0</v>
      </c>
      <c r="AB12" s="326">
        <f t="shared" si="16"/>
        <v>0</v>
      </c>
      <c r="AC12" s="326">
        <f t="shared" si="18"/>
        <v>0</v>
      </c>
      <c r="AD12" s="327">
        <f t="shared" si="19"/>
        <v>546.81999999999994</v>
      </c>
      <c r="AE12" s="257"/>
      <c r="AF12" s="257"/>
    </row>
    <row r="13" spans="1:37" s="309" customFormat="1" ht="15" customHeight="1">
      <c r="A13" s="308"/>
      <c r="B13" s="308" t="s">
        <v>199</v>
      </c>
      <c r="C13" s="262" t="s">
        <v>139</v>
      </c>
      <c r="D13" s="313"/>
      <c r="E13" s="313"/>
      <c r="F13" s="313"/>
      <c r="G13" s="313"/>
      <c r="H13" s="313"/>
      <c r="I13" s="313"/>
      <c r="J13" s="313"/>
      <c r="K13" s="313"/>
      <c r="L13" s="313"/>
      <c r="M13" s="313"/>
      <c r="N13" s="313"/>
      <c r="O13" s="313"/>
      <c r="P13" s="324">
        <f t="shared" si="17"/>
        <v>0</v>
      </c>
      <c r="Q13" s="325">
        <f>+P13+'Summary 2024'!Q14</f>
        <v>39781808000</v>
      </c>
      <c r="R13" s="326">
        <f t="shared" si="6"/>
        <v>0</v>
      </c>
      <c r="S13" s="326">
        <f t="shared" si="7"/>
        <v>0</v>
      </c>
      <c r="T13" s="326">
        <f t="shared" si="8"/>
        <v>0</v>
      </c>
      <c r="U13" s="326">
        <f t="shared" si="9"/>
        <v>0</v>
      </c>
      <c r="V13" s="326">
        <f t="shared" si="10"/>
        <v>0</v>
      </c>
      <c r="W13" s="326">
        <f t="shared" si="11"/>
        <v>0</v>
      </c>
      <c r="X13" s="326">
        <f t="shared" si="12"/>
        <v>0</v>
      </c>
      <c r="Y13" s="326">
        <f t="shared" si="13"/>
        <v>0</v>
      </c>
      <c r="Z13" s="326">
        <f t="shared" si="14"/>
        <v>0</v>
      </c>
      <c r="AA13" s="326">
        <f t="shared" si="15"/>
        <v>0</v>
      </c>
      <c r="AB13" s="326">
        <f t="shared" si="16"/>
        <v>0</v>
      </c>
      <c r="AC13" s="326">
        <f t="shared" si="18"/>
        <v>0</v>
      </c>
      <c r="AD13" s="327">
        <f t="shared" si="19"/>
        <v>0</v>
      </c>
      <c r="AE13" s="257"/>
      <c r="AF13" s="257"/>
    </row>
    <row r="14" spans="1:37" s="309" customFormat="1" ht="15" customHeight="1">
      <c r="A14" s="308"/>
      <c r="B14" s="308" t="s">
        <v>199</v>
      </c>
      <c r="C14" s="262" t="s">
        <v>140</v>
      </c>
      <c r="D14" s="313"/>
      <c r="E14" s="313"/>
      <c r="F14" s="313"/>
      <c r="G14" s="313"/>
      <c r="H14" s="313"/>
      <c r="I14" s="313"/>
      <c r="J14" s="313"/>
      <c r="K14" s="318"/>
      <c r="L14" s="313"/>
      <c r="M14" s="313"/>
      <c r="N14" s="313"/>
      <c r="O14" s="313"/>
      <c r="P14" s="324">
        <f t="shared" si="17"/>
        <v>0</v>
      </c>
      <c r="Q14" s="325">
        <f>+P14+'Summary 2024'!Q15</f>
        <v>0</v>
      </c>
      <c r="R14" s="326">
        <f t="shared" si="6"/>
        <v>0</v>
      </c>
      <c r="S14" s="326">
        <f t="shared" si="7"/>
        <v>0</v>
      </c>
      <c r="T14" s="326">
        <f t="shared" si="8"/>
        <v>0</v>
      </c>
      <c r="U14" s="326">
        <f t="shared" si="9"/>
        <v>0</v>
      </c>
      <c r="V14" s="326">
        <f t="shared" si="10"/>
        <v>0</v>
      </c>
      <c r="W14" s="326">
        <f t="shared" si="11"/>
        <v>0</v>
      </c>
      <c r="X14" s="326">
        <f t="shared" si="12"/>
        <v>0</v>
      </c>
      <c r="Y14" s="326">
        <f t="shared" si="13"/>
        <v>0</v>
      </c>
      <c r="Z14" s="326">
        <f t="shared" si="14"/>
        <v>0</v>
      </c>
      <c r="AA14" s="326">
        <f t="shared" si="15"/>
        <v>0</v>
      </c>
      <c r="AB14" s="326">
        <f t="shared" si="16"/>
        <v>0</v>
      </c>
      <c r="AC14" s="326">
        <f t="shared" si="18"/>
        <v>0</v>
      </c>
      <c r="AD14" s="327">
        <f t="shared" si="19"/>
        <v>0</v>
      </c>
      <c r="AE14" s="257"/>
      <c r="AF14" s="257"/>
    </row>
    <row r="15" spans="1:37" s="309" customFormat="1" ht="15" customHeight="1">
      <c r="A15" s="308" t="s">
        <v>201</v>
      </c>
      <c r="B15" s="308" t="s">
        <v>198</v>
      </c>
      <c r="C15" s="263" t="s">
        <v>146</v>
      </c>
      <c r="D15" s="313"/>
      <c r="E15" s="313"/>
      <c r="F15" s="313"/>
      <c r="G15" s="313"/>
      <c r="H15" s="313"/>
      <c r="I15" s="313"/>
      <c r="J15" s="313"/>
      <c r="K15" s="318"/>
      <c r="L15" s="313"/>
      <c r="M15" s="313">
        <v>737199552</v>
      </c>
      <c r="N15" s="313">
        <v>13015353428</v>
      </c>
      <c r="O15" s="313">
        <v>124973923913</v>
      </c>
      <c r="P15" s="324">
        <f t="shared" si="17"/>
        <v>138726476893</v>
      </c>
      <c r="Q15" s="325">
        <f>+P15+'Summary 2024'!Q16</f>
        <v>138726476893</v>
      </c>
      <c r="R15" s="326">
        <f t="shared" si="6"/>
        <v>0</v>
      </c>
      <c r="S15" s="326">
        <f t="shared" si="7"/>
        <v>0</v>
      </c>
      <c r="T15" s="326">
        <f t="shared" si="8"/>
        <v>0</v>
      </c>
      <c r="U15" s="326">
        <f t="shared" si="9"/>
        <v>0</v>
      </c>
      <c r="V15" s="326">
        <f t="shared" si="10"/>
        <v>0</v>
      </c>
      <c r="W15" s="326">
        <f t="shared" si="11"/>
        <v>0</v>
      </c>
      <c r="X15" s="326">
        <f t="shared" si="12"/>
        <v>0</v>
      </c>
      <c r="Y15" s="326">
        <f t="shared" si="13"/>
        <v>0</v>
      </c>
      <c r="Z15" s="326">
        <f t="shared" si="14"/>
        <v>0</v>
      </c>
      <c r="AA15" s="326">
        <f t="shared" si="15"/>
        <v>28.02</v>
      </c>
      <c r="AB15" s="326">
        <f t="shared" si="16"/>
        <v>493.14</v>
      </c>
      <c r="AC15" s="326">
        <f t="shared" si="18"/>
        <v>4755.4799999999996</v>
      </c>
      <c r="AD15" s="327">
        <f t="shared" si="19"/>
        <v>5276.6399999999994</v>
      </c>
      <c r="AE15" s="257"/>
      <c r="AF15" s="257"/>
    </row>
    <row r="16" spans="1:37" s="309" customFormat="1" ht="15" customHeight="1">
      <c r="A16" s="308"/>
      <c r="B16" s="308" t="s">
        <v>199</v>
      </c>
      <c r="C16" s="263" t="s">
        <v>147</v>
      </c>
      <c r="D16" s="313"/>
      <c r="E16" s="313"/>
      <c r="F16" s="313"/>
      <c r="G16" s="313"/>
      <c r="H16" s="313"/>
      <c r="I16" s="313"/>
      <c r="J16" s="313"/>
      <c r="K16" s="313"/>
      <c r="L16" s="313"/>
      <c r="M16" s="313"/>
      <c r="N16" s="313"/>
      <c r="O16" s="313"/>
      <c r="P16" s="324">
        <f t="shared" si="17"/>
        <v>0</v>
      </c>
      <c r="Q16" s="325">
        <f>+P16+'Summary 2024'!Q17</f>
        <v>23822780000</v>
      </c>
      <c r="R16" s="326">
        <f t="shared" si="6"/>
        <v>0</v>
      </c>
      <c r="S16" s="326">
        <f t="shared" si="7"/>
        <v>0</v>
      </c>
      <c r="T16" s="326">
        <f t="shared" si="8"/>
        <v>0</v>
      </c>
      <c r="U16" s="326">
        <f t="shared" si="9"/>
        <v>0</v>
      </c>
      <c r="V16" s="326">
        <f t="shared" si="10"/>
        <v>0</v>
      </c>
      <c r="W16" s="326">
        <f t="shared" si="11"/>
        <v>0</v>
      </c>
      <c r="X16" s="326">
        <f t="shared" si="12"/>
        <v>0</v>
      </c>
      <c r="Y16" s="326">
        <f t="shared" si="13"/>
        <v>0</v>
      </c>
      <c r="Z16" s="326">
        <f t="shared" si="14"/>
        <v>0</v>
      </c>
      <c r="AA16" s="326">
        <f t="shared" si="15"/>
        <v>0</v>
      </c>
      <c r="AB16" s="326">
        <f t="shared" si="16"/>
        <v>0</v>
      </c>
      <c r="AC16" s="326">
        <f t="shared" si="18"/>
        <v>0</v>
      </c>
      <c r="AD16" s="327">
        <f t="shared" si="19"/>
        <v>0</v>
      </c>
      <c r="AE16" s="257"/>
      <c r="AF16" s="257"/>
    </row>
    <row r="17" spans="1:37" s="309" customFormat="1" ht="15" customHeight="1">
      <c r="A17" s="308"/>
      <c r="B17" s="308" t="s">
        <v>197</v>
      </c>
      <c r="C17" s="263" t="s">
        <v>149</v>
      </c>
      <c r="D17" s="313">
        <v>2408912500</v>
      </c>
      <c r="E17" s="313">
        <v>2408912500</v>
      </c>
      <c r="F17" s="313">
        <v>2408912500</v>
      </c>
      <c r="G17" s="313">
        <v>2408912500</v>
      </c>
      <c r="H17" s="313">
        <v>2408912500</v>
      </c>
      <c r="I17" s="313">
        <v>2408912500</v>
      </c>
      <c r="J17" s="313">
        <v>2408912500</v>
      </c>
      <c r="K17" s="313">
        <v>2408912500</v>
      </c>
      <c r="L17" s="314">
        <v>2408912500</v>
      </c>
      <c r="M17" s="313">
        <v>2408912500</v>
      </c>
      <c r="N17" s="313">
        <v>2408912500</v>
      </c>
      <c r="O17" s="313">
        <v>2408912500</v>
      </c>
      <c r="P17" s="324">
        <f t="shared" si="17"/>
        <v>28906950000</v>
      </c>
      <c r="Q17" s="325">
        <f>+P17+'Summary 2024'!Q18</f>
        <v>71425425000</v>
      </c>
      <c r="R17" s="326">
        <f t="shared" si="6"/>
        <v>95.964962951159265</v>
      </c>
      <c r="S17" s="326">
        <f t="shared" si="7"/>
        <v>94.374632713026443</v>
      </c>
      <c r="T17" s="326">
        <f t="shared" si="8"/>
        <v>94.123881530105891</v>
      </c>
      <c r="U17" s="326">
        <f t="shared" si="9"/>
        <v>92.604178679890822</v>
      </c>
      <c r="V17" s="326">
        <f t="shared" si="10"/>
        <v>92.597059388814145</v>
      </c>
      <c r="W17" s="326">
        <f t="shared" si="11"/>
        <v>92.35</v>
      </c>
      <c r="X17" s="326">
        <f t="shared" si="12"/>
        <v>91.9748195945172</v>
      </c>
      <c r="Y17" s="326">
        <f t="shared" si="13"/>
        <v>91.25</v>
      </c>
      <c r="Z17" s="326">
        <f t="shared" si="14"/>
        <v>91.22</v>
      </c>
      <c r="AA17" s="326">
        <f t="shared" si="15"/>
        <v>91.57</v>
      </c>
      <c r="AB17" s="326">
        <f t="shared" si="16"/>
        <v>91.27</v>
      </c>
      <c r="AC17" s="326">
        <f t="shared" si="18"/>
        <v>91.66</v>
      </c>
      <c r="AD17" s="327">
        <f t="shared" si="19"/>
        <v>1110.9595348575137</v>
      </c>
      <c r="AE17" s="257"/>
      <c r="AF17" s="257"/>
    </row>
    <row r="18" spans="1:37" s="309" customFormat="1" ht="15" customHeight="1">
      <c r="A18" s="308" t="s">
        <v>201</v>
      </c>
      <c r="B18" s="308" t="s">
        <v>198</v>
      </c>
      <c r="C18" s="263" t="s">
        <v>156</v>
      </c>
      <c r="D18" s="313">
        <v>2858472803</v>
      </c>
      <c r="E18" s="313">
        <v>11024864381</v>
      </c>
      <c r="F18" s="313">
        <v>16812427160</v>
      </c>
      <c r="G18" s="313">
        <v>53248156281</v>
      </c>
      <c r="H18" s="313">
        <v>85300899534</v>
      </c>
      <c r="I18" s="313">
        <v>69940401341</v>
      </c>
      <c r="J18" s="313">
        <v>36645644861</v>
      </c>
      <c r="K18" s="313">
        <v>54645217029</v>
      </c>
      <c r="L18" s="313">
        <v>43546418269</v>
      </c>
      <c r="M18" s="313">
        <v>32003094724</v>
      </c>
      <c r="N18" s="313">
        <v>72176183860</v>
      </c>
      <c r="O18" s="313">
        <v>206353057391</v>
      </c>
      <c r="P18" s="324">
        <f t="shared" si="17"/>
        <v>684554837634</v>
      </c>
      <c r="Q18" s="325">
        <f>+P18+'Summary 2024'!Q19</f>
        <v>876953553304</v>
      </c>
      <c r="R18" s="326">
        <f t="shared" si="6"/>
        <v>113.87430495578042</v>
      </c>
      <c r="S18" s="326">
        <f t="shared" si="7"/>
        <v>431.92416771792358</v>
      </c>
      <c r="T18" s="326">
        <f t="shared" si="8"/>
        <v>656.91506114953313</v>
      </c>
      <c r="U18" s="326">
        <f t="shared" si="9"/>
        <v>2046.9825195479184</v>
      </c>
      <c r="V18" s="326">
        <f t="shared" si="10"/>
        <v>3278.9121481453008</v>
      </c>
      <c r="W18" s="326">
        <f t="shared" si="11"/>
        <v>2681.25</v>
      </c>
      <c r="X18" s="326">
        <f t="shared" si="12"/>
        <v>1399.1693658508648</v>
      </c>
      <c r="Y18" s="326">
        <f t="shared" si="13"/>
        <v>2069.9699999999998</v>
      </c>
      <c r="Z18" s="326">
        <f t="shared" si="14"/>
        <v>1649.05</v>
      </c>
      <c r="AA18" s="326">
        <f t="shared" si="15"/>
        <v>1216.52</v>
      </c>
      <c r="AB18" s="326">
        <f t="shared" si="16"/>
        <v>2734.67</v>
      </c>
      <c r="AC18" s="326">
        <f t="shared" si="18"/>
        <v>7852.1</v>
      </c>
      <c r="AD18" s="327">
        <f>SUM(R18:AC18)</f>
        <v>26131.337567367322</v>
      </c>
      <c r="AE18" s="257"/>
      <c r="AF18" s="257"/>
    </row>
    <row r="19" spans="1:37" s="309" customFormat="1" ht="15" customHeight="1">
      <c r="A19" s="308" t="s">
        <v>201</v>
      </c>
      <c r="B19" s="308" t="s">
        <v>198</v>
      </c>
      <c r="C19" s="263" t="s">
        <v>173</v>
      </c>
      <c r="D19" s="313">
        <v>1734109808</v>
      </c>
      <c r="E19" s="313">
        <v>1699714593</v>
      </c>
      <c r="F19" s="313">
        <v>189610078</v>
      </c>
      <c r="G19" s="313">
        <v>182340554</v>
      </c>
      <c r="H19" s="313">
        <v>26878710</v>
      </c>
      <c r="I19" s="313">
        <v>179146570</v>
      </c>
      <c r="J19" s="313">
        <v>1297341872</v>
      </c>
      <c r="K19" s="313">
        <v>131949087</v>
      </c>
      <c r="L19" s="313">
        <v>383420863</v>
      </c>
      <c r="M19" s="313">
        <v>53466518</v>
      </c>
      <c r="N19" s="313"/>
      <c r="O19" s="313">
        <v>2613185055</v>
      </c>
      <c r="P19" s="324">
        <f t="shared" si="17"/>
        <v>8491163708</v>
      </c>
      <c r="Q19" s="325">
        <f>+P19+'Summary 2024'!Q23</f>
        <v>42736170732</v>
      </c>
      <c r="R19" s="326">
        <f t="shared" si="6"/>
        <v>69.082535574854589</v>
      </c>
      <c r="S19" s="326">
        <f t="shared" si="7"/>
        <v>66.590189735553381</v>
      </c>
      <c r="T19" s="326">
        <f t="shared" si="8"/>
        <v>7.4086694799359201</v>
      </c>
      <c r="U19" s="326">
        <f t="shared" si="9"/>
        <v>7.0095934340522046</v>
      </c>
      <c r="V19" s="326">
        <f t="shared" si="10"/>
        <v>1.0332004612723429</v>
      </c>
      <c r="W19" s="326">
        <f t="shared" si="11"/>
        <v>6.87</v>
      </c>
      <c r="X19" s="326">
        <f t="shared" si="12"/>
        <v>49.53388079874766</v>
      </c>
      <c r="Y19" s="326">
        <f t="shared" si="13"/>
        <v>5</v>
      </c>
      <c r="Z19" s="326">
        <f t="shared" si="14"/>
        <v>14.52</v>
      </c>
      <c r="AA19" s="326">
        <f t="shared" si="15"/>
        <v>2.0299999999999998</v>
      </c>
      <c r="AB19" s="326">
        <f t="shared" si="16"/>
        <v>0</v>
      </c>
      <c r="AC19" s="326">
        <f t="shared" si="18"/>
        <v>99.44</v>
      </c>
      <c r="AD19" s="327">
        <f t="shared" ref="AD19:AD20" si="20">SUM(R19:AC19)</f>
        <v>328.51806948441612</v>
      </c>
      <c r="AE19" s="257"/>
      <c r="AF19" s="257"/>
    </row>
    <row r="20" spans="1:37" s="309" customFormat="1" ht="15" customHeight="1">
      <c r="A20" s="308" t="s">
        <v>200</v>
      </c>
      <c r="B20" s="308" t="s">
        <v>198</v>
      </c>
      <c r="C20" s="263" t="s">
        <v>175</v>
      </c>
      <c r="D20" s="313">
        <v>569213830</v>
      </c>
      <c r="E20" s="313">
        <v>21476891204</v>
      </c>
      <c r="F20" s="313">
        <v>6083722501</v>
      </c>
      <c r="G20" s="313">
        <v>16236898752</v>
      </c>
      <c r="H20" s="313">
        <v>7372590181</v>
      </c>
      <c r="I20" s="313">
        <v>27005426277</v>
      </c>
      <c r="J20" s="313">
        <v>10247736006</v>
      </c>
      <c r="K20" s="313">
        <v>3981600905</v>
      </c>
      <c r="L20" s="313">
        <v>1529045605</v>
      </c>
      <c r="M20" s="313">
        <v>4496869715</v>
      </c>
      <c r="N20" s="313">
        <v>5507805698</v>
      </c>
      <c r="O20" s="313">
        <v>47411666831</v>
      </c>
      <c r="P20" s="324">
        <f>SUM(D20:O20)</f>
        <v>151919467505</v>
      </c>
      <c r="Q20" s="325">
        <f>+P20+'Summary 2024'!Q24</f>
        <v>215629151305</v>
      </c>
      <c r="R20" s="326">
        <f t="shared" si="6"/>
        <v>22.676034977292645</v>
      </c>
      <c r="S20" s="326">
        <f t="shared" si="7"/>
        <v>841.40611964740447</v>
      </c>
      <c r="T20" s="326">
        <f t="shared" si="8"/>
        <v>237.71040913531044</v>
      </c>
      <c r="U20" s="326">
        <f t="shared" si="9"/>
        <v>624.18401383923424</v>
      </c>
      <c r="V20" s="326">
        <f t="shared" si="10"/>
        <v>283.39766215644818</v>
      </c>
      <c r="W20" s="326">
        <f t="shared" si="11"/>
        <v>1035.29</v>
      </c>
      <c r="X20" s="326">
        <f t="shared" si="12"/>
        <v>391.26936756901227</v>
      </c>
      <c r="Y20" s="326">
        <f t="shared" si="13"/>
        <v>150.82</v>
      </c>
      <c r="Z20" s="326">
        <f t="shared" si="14"/>
        <v>57.9</v>
      </c>
      <c r="AA20" s="326">
        <f t="shared" si="15"/>
        <v>170.94</v>
      </c>
      <c r="AB20" s="326">
        <f t="shared" si="16"/>
        <v>208.68</v>
      </c>
      <c r="AC20" s="326">
        <f t="shared" si="18"/>
        <v>1804.1</v>
      </c>
      <c r="AD20" s="327">
        <f t="shared" si="20"/>
        <v>5828.3736073247019</v>
      </c>
      <c r="AE20" s="257"/>
      <c r="AF20" s="257"/>
    </row>
    <row r="21" spans="1:37" s="309" customFormat="1" ht="15" customHeight="1">
      <c r="A21" s="308"/>
      <c r="B21" s="308" t="s">
        <v>199</v>
      </c>
      <c r="C21" s="263" t="s">
        <v>176</v>
      </c>
      <c r="D21" s="313">
        <v>1024700000</v>
      </c>
      <c r="E21" s="313"/>
      <c r="F21" s="313"/>
      <c r="G21" s="313"/>
      <c r="H21" s="313"/>
      <c r="I21" s="313"/>
      <c r="J21" s="313"/>
      <c r="K21" s="313"/>
      <c r="L21" s="313"/>
      <c r="M21" s="313"/>
      <c r="N21" s="313"/>
      <c r="O21" s="313"/>
      <c r="P21" s="324">
        <f>SUM(D21:O21)</f>
        <v>1024700000</v>
      </c>
      <c r="Q21" s="325">
        <f>+P21+'Summary 2024'!Q25</f>
        <v>2049400000</v>
      </c>
      <c r="R21" s="326">
        <f t="shared" si="6"/>
        <v>40.821448490160144</v>
      </c>
      <c r="S21" s="326">
        <f t="shared" si="7"/>
        <v>0</v>
      </c>
      <c r="T21" s="326">
        <f t="shared" si="8"/>
        <v>0</v>
      </c>
      <c r="U21" s="326">
        <f t="shared" si="9"/>
        <v>0</v>
      </c>
      <c r="V21" s="326">
        <f t="shared" si="10"/>
        <v>0</v>
      </c>
      <c r="W21" s="326">
        <f t="shared" si="11"/>
        <v>0</v>
      </c>
      <c r="X21" s="326">
        <f t="shared" si="12"/>
        <v>0</v>
      </c>
      <c r="Y21" s="326">
        <f t="shared" si="13"/>
        <v>0</v>
      </c>
      <c r="Z21" s="326">
        <f t="shared" si="14"/>
        <v>0</v>
      </c>
      <c r="AA21" s="326">
        <f t="shared" si="15"/>
        <v>0</v>
      </c>
      <c r="AB21" s="326">
        <f t="shared" si="16"/>
        <v>0</v>
      </c>
      <c r="AC21" s="326">
        <f t="shared" si="18"/>
        <v>0</v>
      </c>
      <c r="AD21" s="327">
        <f t="shared" ref="AD21:AD28" si="21">SUM(R21:AC21)</f>
        <v>40.821448490160144</v>
      </c>
      <c r="AE21" s="257"/>
      <c r="AF21" s="257"/>
    </row>
    <row r="22" spans="1:37" s="309" customFormat="1" ht="15" customHeight="1">
      <c r="A22" s="308"/>
      <c r="B22" s="308" t="s">
        <v>199</v>
      </c>
      <c r="C22" s="263" t="s">
        <v>191</v>
      </c>
      <c r="D22" s="313"/>
      <c r="E22" s="313"/>
      <c r="F22" s="313"/>
      <c r="G22" s="313"/>
      <c r="H22" s="313"/>
      <c r="I22" s="313"/>
      <c r="J22" s="313"/>
      <c r="K22" s="313"/>
      <c r="L22" s="313"/>
      <c r="M22" s="313"/>
      <c r="N22" s="313"/>
      <c r="O22" s="313">
        <v>185970256437</v>
      </c>
      <c r="P22" s="324">
        <f t="shared" ref="P22" si="22">SUM(D22:O22)</f>
        <v>185970256437</v>
      </c>
      <c r="Q22" s="325">
        <f>+P22+'Summary 2024'!Q26</f>
        <v>185970256437</v>
      </c>
      <c r="R22" s="326">
        <f t="shared" si="6"/>
        <v>0</v>
      </c>
      <c r="S22" s="326">
        <f t="shared" si="7"/>
        <v>0</v>
      </c>
      <c r="T22" s="326">
        <f t="shared" si="8"/>
        <v>0</v>
      </c>
      <c r="U22" s="326">
        <f t="shared" si="9"/>
        <v>0</v>
      </c>
      <c r="V22" s="326">
        <f t="shared" si="10"/>
        <v>0</v>
      </c>
      <c r="W22" s="326">
        <f t="shared" si="11"/>
        <v>0</v>
      </c>
      <c r="X22" s="326">
        <f t="shared" si="12"/>
        <v>0</v>
      </c>
      <c r="Y22" s="326">
        <f t="shared" si="13"/>
        <v>0</v>
      </c>
      <c r="Z22" s="326">
        <f t="shared" si="14"/>
        <v>0</v>
      </c>
      <c r="AA22" s="326">
        <f t="shared" si="15"/>
        <v>0</v>
      </c>
      <c r="AB22" s="326">
        <f t="shared" si="16"/>
        <v>0</v>
      </c>
      <c r="AC22" s="326">
        <f t="shared" si="18"/>
        <v>7076.49</v>
      </c>
      <c r="AD22" s="327">
        <f t="shared" si="21"/>
        <v>7076.49</v>
      </c>
      <c r="AE22" s="257"/>
      <c r="AF22" s="257"/>
    </row>
    <row r="23" spans="1:37" s="309" customFormat="1" ht="15" customHeight="1">
      <c r="A23" s="308"/>
      <c r="B23" s="308" t="s">
        <v>199</v>
      </c>
      <c r="C23" s="263" t="s">
        <v>187</v>
      </c>
      <c r="D23" s="313"/>
      <c r="E23" s="313"/>
      <c r="F23" s="313"/>
      <c r="G23" s="313"/>
      <c r="H23" s="313"/>
      <c r="I23" s="313"/>
      <c r="J23" s="313"/>
      <c r="K23" s="313"/>
      <c r="L23" s="313"/>
      <c r="M23" s="313"/>
      <c r="N23" s="313"/>
      <c r="O23" s="313"/>
      <c r="P23" s="324">
        <f t="shared" ref="P23:P28" si="23">SUM(D23:O23)</f>
        <v>0</v>
      </c>
      <c r="Q23" s="325">
        <f>+P23</f>
        <v>0</v>
      </c>
      <c r="R23" s="328"/>
      <c r="S23" s="328"/>
      <c r="T23" s="326">
        <f t="shared" si="8"/>
        <v>0</v>
      </c>
      <c r="U23" s="326">
        <f t="shared" si="9"/>
        <v>0</v>
      </c>
      <c r="V23" s="326">
        <f t="shared" si="10"/>
        <v>0</v>
      </c>
      <c r="W23" s="326">
        <f t="shared" si="11"/>
        <v>0</v>
      </c>
      <c r="X23" s="326">
        <f t="shared" si="12"/>
        <v>0</v>
      </c>
      <c r="Y23" s="326">
        <f t="shared" si="13"/>
        <v>0</v>
      </c>
      <c r="Z23" s="326">
        <f t="shared" si="14"/>
        <v>0</v>
      </c>
      <c r="AA23" s="326">
        <f t="shared" si="15"/>
        <v>0</v>
      </c>
      <c r="AB23" s="326">
        <f t="shared" si="16"/>
        <v>0</v>
      </c>
      <c r="AC23" s="326">
        <f t="shared" si="18"/>
        <v>0</v>
      </c>
      <c r="AD23" s="327">
        <f t="shared" si="21"/>
        <v>0</v>
      </c>
      <c r="AE23" s="257"/>
      <c r="AF23" s="257"/>
    </row>
    <row r="24" spans="1:37" s="309" customFormat="1" ht="15" customHeight="1">
      <c r="A24" s="308"/>
      <c r="B24" s="308" t="s">
        <v>199</v>
      </c>
      <c r="C24" s="263" t="s">
        <v>188</v>
      </c>
      <c r="D24" s="313"/>
      <c r="E24" s="313"/>
      <c r="F24" s="313">
        <v>223600000</v>
      </c>
      <c r="G24" s="313"/>
      <c r="H24" s="313"/>
      <c r="I24" s="313"/>
      <c r="J24" s="313"/>
      <c r="K24" s="313"/>
      <c r="L24" s="313"/>
      <c r="M24" s="313"/>
      <c r="N24" s="313"/>
      <c r="O24" s="313"/>
      <c r="P24" s="324">
        <f t="shared" si="23"/>
        <v>223600000</v>
      </c>
      <c r="Q24" s="325">
        <f t="shared" ref="Q24:Q25" si="24">+P24</f>
        <v>223600000</v>
      </c>
      <c r="R24" s="328"/>
      <c r="S24" s="328"/>
      <c r="T24" s="326">
        <f t="shared" si="8"/>
        <v>8.7367639588950112</v>
      </c>
      <c r="U24" s="326">
        <f t="shared" si="9"/>
        <v>0</v>
      </c>
      <c r="V24" s="326">
        <f t="shared" si="10"/>
        <v>0</v>
      </c>
      <c r="W24" s="326">
        <f t="shared" si="11"/>
        <v>0</v>
      </c>
      <c r="X24" s="326">
        <f t="shared" si="12"/>
        <v>0</v>
      </c>
      <c r="Y24" s="326">
        <f t="shared" si="13"/>
        <v>0</v>
      </c>
      <c r="Z24" s="326">
        <f t="shared" si="14"/>
        <v>0</v>
      </c>
      <c r="AA24" s="326">
        <f t="shared" si="15"/>
        <v>0</v>
      </c>
      <c r="AB24" s="326">
        <f t="shared" si="16"/>
        <v>0</v>
      </c>
      <c r="AC24" s="326">
        <f t="shared" si="18"/>
        <v>0</v>
      </c>
      <c r="AD24" s="327">
        <f t="shared" si="21"/>
        <v>8.7367639588950112</v>
      </c>
      <c r="AE24" s="257"/>
      <c r="AF24" s="257"/>
    </row>
    <row r="25" spans="1:37" s="309" customFormat="1" ht="15" customHeight="1">
      <c r="A25" s="308"/>
      <c r="B25" s="308" t="s">
        <v>199</v>
      </c>
      <c r="C25" s="263" t="s">
        <v>189</v>
      </c>
      <c r="D25" s="313"/>
      <c r="E25" s="313"/>
      <c r="F25" s="313"/>
      <c r="G25" s="313">
        <v>1503000000</v>
      </c>
      <c r="H25" s="313"/>
      <c r="I25" s="313">
        <v>901800000</v>
      </c>
      <c r="J25" s="313"/>
      <c r="K25" s="313"/>
      <c r="L25" s="313"/>
      <c r="M25" s="313"/>
      <c r="N25" s="313">
        <v>601200000</v>
      </c>
      <c r="O25" s="313"/>
      <c r="P25" s="324">
        <f t="shared" si="23"/>
        <v>3006000000</v>
      </c>
      <c r="Q25" s="325">
        <f t="shared" si="24"/>
        <v>3006000000</v>
      </c>
      <c r="R25" s="328"/>
      <c r="S25" s="328"/>
      <c r="T25" s="326">
        <f t="shared" si="8"/>
        <v>0</v>
      </c>
      <c r="U25" s="326">
        <f t="shared" si="9"/>
        <v>57.778802906239186</v>
      </c>
      <c r="V25" s="326">
        <f t="shared" si="10"/>
        <v>0</v>
      </c>
      <c r="W25" s="326">
        <f t="shared" si="11"/>
        <v>34.57</v>
      </c>
      <c r="X25" s="326">
        <f t="shared" si="12"/>
        <v>0</v>
      </c>
      <c r="Y25" s="326">
        <f t="shared" si="13"/>
        <v>0</v>
      </c>
      <c r="Z25" s="326">
        <f t="shared" si="14"/>
        <v>0</v>
      </c>
      <c r="AA25" s="326">
        <f t="shared" si="15"/>
        <v>0</v>
      </c>
      <c r="AB25" s="326">
        <f t="shared" si="16"/>
        <v>22.78</v>
      </c>
      <c r="AC25" s="326">
        <f t="shared" si="18"/>
        <v>0</v>
      </c>
      <c r="AD25" s="327">
        <f t="shared" si="21"/>
        <v>115.12880290623919</v>
      </c>
      <c r="AE25" s="257"/>
      <c r="AF25" s="257"/>
    </row>
    <row r="26" spans="1:37" s="309" customFormat="1" ht="15" customHeight="1">
      <c r="A26" s="308" t="s">
        <v>201</v>
      </c>
      <c r="B26" s="308" t="s">
        <v>198</v>
      </c>
      <c r="C26" s="263" t="s">
        <v>190</v>
      </c>
      <c r="D26" s="313"/>
      <c r="E26" s="313"/>
      <c r="F26" s="313">
        <v>643062985</v>
      </c>
      <c r="G26" s="313">
        <v>1248544364</v>
      </c>
      <c r="H26" s="313">
        <v>638977938</v>
      </c>
      <c r="I26" s="313">
        <v>2091924909</v>
      </c>
      <c r="J26" s="313">
        <v>217944011</v>
      </c>
      <c r="K26" s="313">
        <v>371477332</v>
      </c>
      <c r="L26" s="313">
        <v>491732877</v>
      </c>
      <c r="M26" s="313">
        <v>1480080144</v>
      </c>
      <c r="N26" s="313">
        <v>3202518719</v>
      </c>
      <c r="O26" s="313">
        <v>6626401452</v>
      </c>
      <c r="P26" s="324">
        <f t="shared" si="23"/>
        <v>17012664731</v>
      </c>
      <c r="Q26" s="325">
        <f>+P26</f>
        <v>17012664731</v>
      </c>
      <c r="R26" s="328"/>
      <c r="S26" s="328"/>
      <c r="T26" s="326">
        <f t="shared" si="8"/>
        <v>25.126518383933107</v>
      </c>
      <c r="U26" s="326">
        <f t="shared" si="9"/>
        <v>47.996938607619271</v>
      </c>
      <c r="V26" s="326">
        <f t="shared" si="10"/>
        <v>24.561904209110129</v>
      </c>
      <c r="W26" s="326">
        <f t="shared" si="11"/>
        <v>80.2</v>
      </c>
      <c r="X26" s="326">
        <f t="shared" si="12"/>
        <v>8.3213321751746783</v>
      </c>
      <c r="Y26" s="326">
        <f t="shared" si="13"/>
        <v>14.07</v>
      </c>
      <c r="Z26" s="326">
        <f t="shared" si="14"/>
        <v>18.62</v>
      </c>
      <c r="AA26" s="326">
        <f t="shared" si="15"/>
        <v>56.26</v>
      </c>
      <c r="AB26" s="326">
        <f t="shared" si="16"/>
        <v>121.34</v>
      </c>
      <c r="AC26" s="326">
        <f t="shared" si="18"/>
        <v>252.15</v>
      </c>
      <c r="AD26" s="327">
        <f t="shared" si="21"/>
        <v>648.64669337583712</v>
      </c>
      <c r="AE26" s="257"/>
      <c r="AF26" s="257"/>
    </row>
    <row r="27" spans="1:37" s="309" customFormat="1" ht="15" customHeight="1">
      <c r="A27" s="308"/>
      <c r="B27" s="308" t="s">
        <v>199</v>
      </c>
      <c r="C27" s="263" t="s">
        <v>206</v>
      </c>
      <c r="D27" s="313"/>
      <c r="E27" s="313"/>
      <c r="F27" s="313"/>
      <c r="G27" s="313"/>
      <c r="H27" s="313"/>
      <c r="I27" s="313"/>
      <c r="J27" s="313"/>
      <c r="K27" s="313"/>
      <c r="L27" s="313">
        <v>10120000000</v>
      </c>
      <c r="M27" s="313"/>
      <c r="N27" s="313"/>
      <c r="O27" s="313"/>
      <c r="P27" s="324">
        <f t="shared" si="23"/>
        <v>10120000000</v>
      </c>
      <c r="Q27" s="325">
        <f>+P27</f>
        <v>10120000000</v>
      </c>
      <c r="R27" s="328"/>
      <c r="S27" s="328"/>
      <c r="T27" s="328"/>
      <c r="U27" s="328"/>
      <c r="V27" s="328"/>
      <c r="W27" s="326">
        <f t="shared" si="11"/>
        <v>0</v>
      </c>
      <c r="X27" s="326">
        <f t="shared" si="12"/>
        <v>0</v>
      </c>
      <c r="Y27" s="326">
        <f t="shared" si="13"/>
        <v>0</v>
      </c>
      <c r="Z27" s="326">
        <f t="shared" si="14"/>
        <v>383.23</v>
      </c>
      <c r="AA27" s="326">
        <f t="shared" si="15"/>
        <v>0</v>
      </c>
      <c r="AB27" s="326">
        <f t="shared" si="16"/>
        <v>0</v>
      </c>
      <c r="AC27" s="326">
        <f t="shared" si="18"/>
        <v>0</v>
      </c>
      <c r="AD27" s="327">
        <f t="shared" si="21"/>
        <v>383.23</v>
      </c>
      <c r="AE27" s="257"/>
      <c r="AF27" s="257"/>
    </row>
    <row r="28" spans="1:37" ht="15" customHeight="1">
      <c r="A28" s="308"/>
      <c r="B28" s="308" t="s">
        <v>199</v>
      </c>
      <c r="C28" s="263" t="s">
        <v>214</v>
      </c>
      <c r="D28" s="313"/>
      <c r="E28" s="313"/>
      <c r="F28" s="313"/>
      <c r="G28" s="313"/>
      <c r="H28" s="313"/>
      <c r="I28" s="313"/>
      <c r="J28" s="313"/>
      <c r="K28" s="313"/>
      <c r="L28" s="313"/>
      <c r="M28" s="313"/>
      <c r="N28" s="313"/>
      <c r="O28" s="313">
        <v>7510380000</v>
      </c>
      <c r="P28" s="324">
        <f t="shared" si="23"/>
        <v>7510380000</v>
      </c>
      <c r="Q28" s="325">
        <f>+P28</f>
        <v>7510380000</v>
      </c>
      <c r="R28" s="328"/>
      <c r="S28" s="328"/>
      <c r="T28" s="328"/>
      <c r="U28" s="328"/>
      <c r="V28" s="328"/>
      <c r="W28" s="328"/>
      <c r="X28" s="328"/>
      <c r="Y28" s="328"/>
      <c r="Z28" s="328"/>
      <c r="AA28" s="326">
        <f t="shared" si="15"/>
        <v>0</v>
      </c>
      <c r="AB28" s="326">
        <f t="shared" si="16"/>
        <v>0</v>
      </c>
      <c r="AC28" s="326">
        <f t="shared" si="18"/>
        <v>285.77999999999997</v>
      </c>
      <c r="AD28" s="327">
        <f t="shared" si="21"/>
        <v>285.77999999999997</v>
      </c>
      <c r="AE28" s="257"/>
      <c r="AF28" s="257"/>
    </row>
    <row r="29" spans="1:37" ht="15" customHeight="1">
      <c r="C29" s="321" t="s">
        <v>15</v>
      </c>
      <c r="D29" s="322">
        <f t="shared" ref="D29:L29" si="25">SUM(D30:D49)</f>
        <v>10191759312</v>
      </c>
      <c r="E29" s="322">
        <f t="shared" si="25"/>
        <v>36414796814</v>
      </c>
      <c r="F29" s="322">
        <f t="shared" si="25"/>
        <v>25894418238</v>
      </c>
      <c r="G29" s="322">
        <f t="shared" si="25"/>
        <v>67446139929</v>
      </c>
      <c r="H29" s="322">
        <f t="shared" si="25"/>
        <v>85638316411</v>
      </c>
      <c r="I29" s="322">
        <f t="shared" si="25"/>
        <v>96138186949</v>
      </c>
      <c r="J29" s="322">
        <f t="shared" si="25"/>
        <v>56280575729</v>
      </c>
      <c r="K29" s="322">
        <f t="shared" si="25"/>
        <v>56293851323</v>
      </c>
      <c r="L29" s="322">
        <f t="shared" si="25"/>
        <v>44441735818</v>
      </c>
      <c r="M29" s="322">
        <f>SUM(M30:M49)</f>
        <v>43190945570</v>
      </c>
      <c r="N29" s="322">
        <f>SUM(N30:N49)</f>
        <v>86730298668</v>
      </c>
      <c r="O29" s="322">
        <f>SUM(O30:O49)</f>
        <v>513722182465.46869</v>
      </c>
      <c r="P29" s="322">
        <f>SUM(P30:P49)</f>
        <v>1122383207226.4688</v>
      </c>
      <c r="Q29" s="322">
        <f>SUM(Q30:Q49)</f>
        <v>2416433785367.4688</v>
      </c>
      <c r="R29" s="322">
        <f t="shared" ref="R29:AD29" si="26">SUM(R30:R49)</f>
        <v>406.01383602900165</v>
      </c>
      <c r="S29" s="322">
        <f t="shared" si="26"/>
        <v>1426.6325882076394</v>
      </c>
      <c r="T29" s="322">
        <f t="shared" si="26"/>
        <v>1011.7773702965656</v>
      </c>
      <c r="U29" s="322">
        <f t="shared" si="26"/>
        <v>2592.7859120055355</v>
      </c>
      <c r="V29" s="322">
        <f t="shared" si="26"/>
        <v>3291.8822375936961</v>
      </c>
      <c r="W29" s="322">
        <f t="shared" si="26"/>
        <v>3685.5599999999995</v>
      </c>
      <c r="X29" s="322">
        <f t="shared" si="26"/>
        <v>2148.8517326180754</v>
      </c>
      <c r="Y29" s="322">
        <f t="shared" si="26"/>
        <v>2132.4399999999996</v>
      </c>
      <c r="Z29" s="322">
        <f t="shared" si="26"/>
        <v>1682.94</v>
      </c>
      <c r="AA29" s="322">
        <f t="shared" si="26"/>
        <v>1641.81</v>
      </c>
      <c r="AB29" s="322">
        <f>SUM(AB30:AB49)</f>
        <v>3286.1099999999992</v>
      </c>
      <c r="AC29" s="322">
        <f t="shared" si="26"/>
        <v>19548.03</v>
      </c>
      <c r="AD29" s="322">
        <f t="shared" si="26"/>
        <v>42854.83367675051</v>
      </c>
      <c r="AE29" s="224">
        <f t="shared" ref="AE29:AF29" si="27">SUM(AE30:AE48)</f>
        <v>0</v>
      </c>
      <c r="AF29" s="224">
        <f t="shared" si="27"/>
        <v>0</v>
      </c>
      <c r="AG29" s="224">
        <f t="shared" ref="AG29" si="28">SUM(AG30:AG48)</f>
        <v>0</v>
      </c>
      <c r="AH29" s="265">
        <f>+O29-'[2]IS (01)'!$K$14</f>
        <v>0.46868896484375</v>
      </c>
      <c r="AI29" s="270">
        <f>+AD29-'[2]IS (01)'!$G$14</f>
        <v>1.36767505100579E-2</v>
      </c>
      <c r="AJ29" s="270"/>
      <c r="AK29" s="270"/>
    </row>
    <row r="30" spans="1:37" ht="15" customHeight="1">
      <c r="B30" t="s">
        <v>197</v>
      </c>
      <c r="C30" s="262" t="s">
        <v>133</v>
      </c>
      <c r="D30" s="312">
        <v>903565667</v>
      </c>
      <c r="E30" s="312">
        <v>1137445101</v>
      </c>
      <c r="F30" s="312">
        <v>1260883853</v>
      </c>
      <c r="G30" s="312">
        <v>1118198380</v>
      </c>
      <c r="H30" s="313">
        <v>1335815812</v>
      </c>
      <c r="I30" s="329">
        <v>1147017815</v>
      </c>
      <c r="J30" s="314">
        <v>1156968062</v>
      </c>
      <c r="K30" s="314">
        <v>1363679353</v>
      </c>
      <c r="L30" s="314">
        <v>1217997739</v>
      </c>
      <c r="M30" s="314">
        <v>1546468056</v>
      </c>
      <c r="N30" s="314">
        <v>1071999684</v>
      </c>
      <c r="O30" s="312">
        <v>1759922764</v>
      </c>
      <c r="P30" s="324">
        <f>SUM(D30:O30)</f>
        <v>15019962286</v>
      </c>
      <c r="Q30" s="325">
        <f>+P30+'Summary 2024'!Q28</f>
        <v>105339303893</v>
      </c>
      <c r="R30" s="326">
        <f t="shared" ref="R30:R43" si="29">D30/$R$50</f>
        <v>35.995763963030832</v>
      </c>
      <c r="S30" s="326">
        <f>E30/$S$50</f>
        <v>44.562001998041133</v>
      </c>
      <c r="T30" s="326">
        <f t="shared" ref="T30:T47" si="30">F30/$T$50</f>
        <v>49.266746883913569</v>
      </c>
      <c r="U30" s="326">
        <f t="shared" ref="U30:U47" si="31">G30/$U$50</f>
        <v>42.986136931534233</v>
      </c>
      <c r="V30" s="326">
        <f t="shared" ref="V30:V47" si="32">H30/$V$50</f>
        <v>51.347907438016527</v>
      </c>
      <c r="W30" s="326">
        <f>ROUND(I30/$W$50,2)</f>
        <v>43.97</v>
      </c>
      <c r="X30" s="326">
        <f>J30/$X$50</f>
        <v>44.174260700240538</v>
      </c>
      <c r="Y30" s="326">
        <f t="shared" ref="Y30:Y48" si="33">ROUND(K30/$Y$50,2)</f>
        <v>51.66</v>
      </c>
      <c r="Z30" s="326">
        <f t="shared" ref="Z30:Z49" si="34">ROUND(L30/$Z$50,2)</f>
        <v>46.12</v>
      </c>
      <c r="AA30" s="326">
        <f t="shared" ref="AA30:AA41" si="35">ROUND(M30/$AA$50,2)</f>
        <v>58.79</v>
      </c>
      <c r="AB30" s="326">
        <f>ROUND(N30/$AB$50,2)</f>
        <v>40.619999999999997</v>
      </c>
      <c r="AC30" s="326">
        <f>ROUND(O30/$AC$50,2)</f>
        <v>66.97</v>
      </c>
      <c r="AD30" s="327">
        <f>SUM(R30:AC30)</f>
        <v>576.46281791477679</v>
      </c>
      <c r="AE30" s="257"/>
      <c r="AF30" s="257"/>
    </row>
    <row r="31" spans="1:37" ht="15" customHeight="1">
      <c r="A31" s="309" t="s">
        <v>200</v>
      </c>
      <c r="B31" t="s">
        <v>198</v>
      </c>
      <c r="C31" s="262" t="s">
        <v>141</v>
      </c>
      <c r="D31" s="312">
        <v>2690406564</v>
      </c>
      <c r="E31" s="312">
        <v>1946626833</v>
      </c>
      <c r="F31" s="312">
        <v>1646688442</v>
      </c>
      <c r="G31" s="312">
        <v>1583123724</v>
      </c>
      <c r="H31" s="313">
        <v>2173810407</v>
      </c>
      <c r="I31" s="312">
        <v>1499112037</v>
      </c>
      <c r="J31" s="312">
        <v>11019033926</v>
      </c>
      <c r="K31" s="314">
        <v>2148241009</v>
      </c>
      <c r="L31" s="315">
        <v>2529917749</v>
      </c>
      <c r="M31" s="312">
        <v>5862686514</v>
      </c>
      <c r="N31" s="312">
        <v>3491926572</v>
      </c>
      <c r="O31" s="312">
        <v>59006064057</v>
      </c>
      <c r="P31" s="324">
        <f>SUM(D31:O31)</f>
        <v>95597637834</v>
      </c>
      <c r="Q31" s="325">
        <f>+P31+'Summary 2024'!Q29</f>
        <v>948151962044</v>
      </c>
      <c r="R31" s="326">
        <f t="shared" si="29"/>
        <v>107.17897235280057</v>
      </c>
      <c r="S31" s="326">
        <f t="shared" ref="S31:S43" si="36">E31/$S$50</f>
        <v>76.263539000979435</v>
      </c>
      <c r="T31" s="326">
        <f t="shared" si="30"/>
        <v>64.341360606415819</v>
      </c>
      <c r="U31" s="326">
        <f t="shared" si="31"/>
        <v>60.858944527736135</v>
      </c>
      <c r="V31" s="326">
        <f t="shared" si="32"/>
        <v>83.559884950989812</v>
      </c>
      <c r="W31" s="326">
        <f t="shared" ref="W31:W48" si="37">ROUND(I31/$W$50,2)</f>
        <v>57.47</v>
      </c>
      <c r="X31" s="326">
        <f t="shared" ref="X31:X48" si="38">J31/$X$50</f>
        <v>420.71833553510749</v>
      </c>
      <c r="Y31" s="326">
        <f t="shared" si="33"/>
        <v>81.38</v>
      </c>
      <c r="Z31" s="326">
        <f t="shared" si="34"/>
        <v>95.8</v>
      </c>
      <c r="AA31" s="326">
        <f t="shared" si="35"/>
        <v>222.86</v>
      </c>
      <c r="AB31" s="326">
        <f t="shared" ref="AB31:AB49" si="39">ROUND(N31/$AB$50,2)</f>
        <v>132.31</v>
      </c>
      <c r="AC31" s="326">
        <f t="shared" ref="AC31:AC49" si="40">ROUND(O31/$AC$50,2)</f>
        <v>2245.2800000000002</v>
      </c>
      <c r="AD31" s="327">
        <f t="shared" ref="AD31:AD42" si="41">SUM(R31:AC31)</f>
        <v>3648.0210369740294</v>
      </c>
      <c r="AE31" s="257"/>
      <c r="AF31" s="259"/>
    </row>
    <row r="32" spans="1:37" ht="15" customHeight="1">
      <c r="B32" t="s">
        <v>199</v>
      </c>
      <c r="C32" s="262" t="s">
        <v>134</v>
      </c>
      <c r="D32" s="314"/>
      <c r="E32" s="314"/>
      <c r="F32" s="314"/>
      <c r="G32" s="314"/>
      <c r="H32" s="314"/>
      <c r="I32" s="314"/>
      <c r="J32" s="314"/>
      <c r="K32" s="316"/>
      <c r="L32" s="315"/>
      <c r="M32" s="312"/>
      <c r="N32" s="312"/>
      <c r="O32" s="312"/>
      <c r="P32" s="324">
        <f>SUM(D32:O32)</f>
        <v>0</v>
      </c>
      <c r="Q32" s="325">
        <f>+P32+'Summary 2024'!Q30</f>
        <v>20208965609</v>
      </c>
      <c r="R32" s="326">
        <f t="shared" si="29"/>
        <v>0</v>
      </c>
      <c r="S32" s="326">
        <f t="shared" si="36"/>
        <v>0</v>
      </c>
      <c r="T32" s="326">
        <f t="shared" si="30"/>
        <v>0</v>
      </c>
      <c r="U32" s="326">
        <f t="shared" si="31"/>
        <v>0</v>
      </c>
      <c r="V32" s="326">
        <f t="shared" si="32"/>
        <v>0</v>
      </c>
      <c r="W32" s="326">
        <f t="shared" si="37"/>
        <v>0</v>
      </c>
      <c r="X32" s="326">
        <f t="shared" si="38"/>
        <v>0</v>
      </c>
      <c r="Y32" s="326">
        <f t="shared" si="33"/>
        <v>0</v>
      </c>
      <c r="Z32" s="326">
        <f t="shared" si="34"/>
        <v>0</v>
      </c>
      <c r="AA32" s="326">
        <f t="shared" si="35"/>
        <v>0</v>
      </c>
      <c r="AB32" s="326">
        <f t="shared" si="39"/>
        <v>0</v>
      </c>
      <c r="AC32" s="326">
        <f t="shared" si="40"/>
        <v>0</v>
      </c>
      <c r="AD32" s="327">
        <f t="shared" si="41"/>
        <v>0</v>
      </c>
      <c r="AE32" s="257"/>
      <c r="AF32" s="257"/>
    </row>
    <row r="33" spans="1:32" ht="15" customHeight="1">
      <c r="B33" t="s">
        <v>199</v>
      </c>
      <c r="C33" s="262" t="s">
        <v>137</v>
      </c>
      <c r="D33" s="316"/>
      <c r="E33" s="316"/>
      <c r="F33" s="316"/>
      <c r="G33" s="316"/>
      <c r="H33" s="316"/>
      <c r="I33" s="316">
        <v>4135012251</v>
      </c>
      <c r="J33" s="316"/>
      <c r="K33" s="316"/>
      <c r="L33" s="317">
        <v>715906760</v>
      </c>
      <c r="M33" s="316">
        <v>27392494</v>
      </c>
      <c r="N33" s="316"/>
      <c r="O33" s="313"/>
      <c r="P33" s="324">
        <f>SUM(D33:O33)</f>
        <v>4878311505</v>
      </c>
      <c r="Q33" s="325">
        <f>+P33+'Summary 2024'!Q31</f>
        <v>13286709567</v>
      </c>
      <c r="R33" s="326">
        <f t="shared" si="29"/>
        <v>0</v>
      </c>
      <c r="S33" s="326">
        <f t="shared" si="36"/>
        <v>0</v>
      </c>
      <c r="T33" s="326">
        <f t="shared" si="30"/>
        <v>0</v>
      </c>
      <c r="U33" s="326">
        <f t="shared" si="31"/>
        <v>0</v>
      </c>
      <c r="V33" s="326">
        <f t="shared" si="32"/>
        <v>0</v>
      </c>
      <c r="W33" s="326">
        <f t="shared" si="37"/>
        <v>158.52000000000001</v>
      </c>
      <c r="X33" s="326">
        <f t="shared" si="38"/>
        <v>0</v>
      </c>
      <c r="Y33" s="326">
        <f t="shared" si="33"/>
        <v>0</v>
      </c>
      <c r="Z33" s="326">
        <f t="shared" si="34"/>
        <v>27.11</v>
      </c>
      <c r="AA33" s="326">
        <f t="shared" si="35"/>
        <v>1.04</v>
      </c>
      <c r="AB33" s="326">
        <f t="shared" si="39"/>
        <v>0</v>
      </c>
      <c r="AC33" s="326">
        <f t="shared" si="40"/>
        <v>0</v>
      </c>
      <c r="AD33" s="327">
        <f t="shared" si="41"/>
        <v>186.67</v>
      </c>
      <c r="AE33" s="257"/>
      <c r="AF33" s="284"/>
    </row>
    <row r="34" spans="1:32" ht="15" customHeight="1">
      <c r="B34" t="s">
        <v>199</v>
      </c>
      <c r="C34" s="262" t="s">
        <v>139</v>
      </c>
      <c r="D34" s="314"/>
      <c r="E34" s="314"/>
      <c r="F34" s="314"/>
      <c r="G34" s="314"/>
      <c r="H34" s="314"/>
      <c r="I34" s="314"/>
      <c r="J34" s="314"/>
      <c r="K34" s="314"/>
      <c r="L34" s="315"/>
      <c r="M34" s="314"/>
      <c r="N34" s="314"/>
      <c r="O34" s="312"/>
      <c r="P34" s="324">
        <f t="shared" ref="P34:P40" si="42">SUM(D34:O34)</f>
        <v>0</v>
      </c>
      <c r="Q34" s="325">
        <f>+P34+'Summary 2024'!Q33</f>
        <v>21060715417</v>
      </c>
      <c r="R34" s="326">
        <f t="shared" si="29"/>
        <v>0</v>
      </c>
      <c r="S34" s="326">
        <f t="shared" si="36"/>
        <v>0</v>
      </c>
      <c r="T34" s="326">
        <f t="shared" si="30"/>
        <v>0</v>
      </c>
      <c r="U34" s="326">
        <f t="shared" si="31"/>
        <v>0</v>
      </c>
      <c r="V34" s="326">
        <f t="shared" si="32"/>
        <v>0</v>
      </c>
      <c r="W34" s="326">
        <f t="shared" si="37"/>
        <v>0</v>
      </c>
      <c r="X34" s="326">
        <f t="shared" si="38"/>
        <v>0</v>
      </c>
      <c r="Y34" s="326">
        <f t="shared" si="33"/>
        <v>0</v>
      </c>
      <c r="Z34" s="326">
        <f t="shared" si="34"/>
        <v>0</v>
      </c>
      <c r="AA34" s="326">
        <f t="shared" si="35"/>
        <v>0</v>
      </c>
      <c r="AB34" s="326">
        <f t="shared" si="39"/>
        <v>0</v>
      </c>
      <c r="AC34" s="326">
        <f t="shared" si="40"/>
        <v>0</v>
      </c>
      <c r="AD34" s="327">
        <f t="shared" si="41"/>
        <v>0</v>
      </c>
      <c r="AE34" s="257"/>
      <c r="AF34" s="260"/>
    </row>
    <row r="35" spans="1:32" ht="15" customHeight="1">
      <c r="B35" t="s">
        <v>199</v>
      </c>
      <c r="C35" s="263" t="s">
        <v>140</v>
      </c>
      <c r="D35" s="316"/>
      <c r="E35" s="316"/>
      <c r="F35" s="316"/>
      <c r="G35" s="316"/>
      <c r="H35" s="316"/>
      <c r="I35" s="316"/>
      <c r="J35" s="316"/>
      <c r="K35" s="316"/>
      <c r="L35" s="317"/>
      <c r="M35" s="316"/>
      <c r="N35" s="316"/>
      <c r="O35" s="313"/>
      <c r="P35" s="324">
        <f t="shared" si="42"/>
        <v>0</v>
      </c>
      <c r="Q35" s="325">
        <f>+P35+'Summary 2024'!Q34</f>
        <v>0</v>
      </c>
      <c r="R35" s="326">
        <f t="shared" si="29"/>
        <v>0</v>
      </c>
      <c r="S35" s="326">
        <f t="shared" si="36"/>
        <v>0</v>
      </c>
      <c r="T35" s="326">
        <f t="shared" si="30"/>
        <v>0</v>
      </c>
      <c r="U35" s="326">
        <f t="shared" si="31"/>
        <v>0</v>
      </c>
      <c r="V35" s="326">
        <f t="shared" si="32"/>
        <v>0</v>
      </c>
      <c r="W35" s="326">
        <f t="shared" si="37"/>
        <v>0</v>
      </c>
      <c r="X35" s="326">
        <f t="shared" si="38"/>
        <v>0</v>
      </c>
      <c r="Y35" s="326">
        <f t="shared" si="33"/>
        <v>0</v>
      </c>
      <c r="Z35" s="326">
        <f t="shared" si="34"/>
        <v>0</v>
      </c>
      <c r="AA35" s="326">
        <f t="shared" si="35"/>
        <v>0</v>
      </c>
      <c r="AB35" s="326">
        <f t="shared" si="39"/>
        <v>0</v>
      </c>
      <c r="AC35" s="326">
        <f t="shared" si="40"/>
        <v>0</v>
      </c>
      <c r="AD35" s="327">
        <f t="shared" si="41"/>
        <v>0</v>
      </c>
      <c r="AE35" s="257"/>
      <c r="AF35" s="260"/>
    </row>
    <row r="36" spans="1:32" ht="15" customHeight="1">
      <c r="A36" s="309" t="s">
        <v>201</v>
      </c>
      <c r="B36" t="s">
        <v>198</v>
      </c>
      <c r="C36" s="263" t="s">
        <v>146</v>
      </c>
      <c r="D36" s="316"/>
      <c r="E36" s="316"/>
      <c r="F36" s="316"/>
      <c r="G36" s="316"/>
      <c r="H36" s="316"/>
      <c r="I36" s="316"/>
      <c r="J36" s="316"/>
      <c r="K36" s="316"/>
      <c r="L36" s="317"/>
      <c r="M36" s="316">
        <v>626619619</v>
      </c>
      <c r="N36" s="316">
        <v>11063050414</v>
      </c>
      <c r="O36" s="313">
        <v>106227835326</v>
      </c>
      <c r="P36" s="324">
        <f>SUM(D36:O36)</f>
        <v>117917505359</v>
      </c>
      <c r="Q36" s="325">
        <f>+P36+'Summary 2024'!Q35</f>
        <v>117917505359</v>
      </c>
      <c r="R36" s="326">
        <f t="shared" si="29"/>
        <v>0</v>
      </c>
      <c r="S36" s="326">
        <f t="shared" si="36"/>
        <v>0</v>
      </c>
      <c r="T36" s="326">
        <f t="shared" si="30"/>
        <v>0</v>
      </c>
      <c r="U36" s="326">
        <f t="shared" si="31"/>
        <v>0</v>
      </c>
      <c r="V36" s="326">
        <f t="shared" si="32"/>
        <v>0</v>
      </c>
      <c r="W36" s="326">
        <f t="shared" si="37"/>
        <v>0</v>
      </c>
      <c r="X36" s="326">
        <f t="shared" si="38"/>
        <v>0</v>
      </c>
      <c r="Y36" s="326">
        <f t="shared" si="33"/>
        <v>0</v>
      </c>
      <c r="Z36" s="326">
        <f t="shared" si="34"/>
        <v>0</v>
      </c>
      <c r="AA36" s="326">
        <f>ROUND(M36/$AA$50,2)</f>
        <v>23.82</v>
      </c>
      <c r="AB36" s="326">
        <f t="shared" si="39"/>
        <v>419.17</v>
      </c>
      <c r="AC36" s="326">
        <f t="shared" si="40"/>
        <v>4042.16</v>
      </c>
      <c r="AD36" s="327">
        <f t="shared" si="41"/>
        <v>4485.1499999999996</v>
      </c>
      <c r="AE36" s="257"/>
      <c r="AF36" s="260"/>
    </row>
    <row r="37" spans="1:32" ht="15" customHeight="1">
      <c r="B37" t="s">
        <v>199</v>
      </c>
      <c r="C37" s="263" t="s">
        <v>147</v>
      </c>
      <c r="D37" s="316"/>
      <c r="E37" s="316"/>
      <c r="F37" s="316"/>
      <c r="G37" s="316"/>
      <c r="H37" s="316"/>
      <c r="I37" s="316"/>
      <c r="J37" s="316"/>
      <c r="K37" s="316"/>
      <c r="L37" s="317"/>
      <c r="M37" s="316"/>
      <c r="N37" s="316"/>
      <c r="O37" s="313"/>
      <c r="P37" s="324">
        <f t="shared" si="42"/>
        <v>0</v>
      </c>
      <c r="Q37" s="325">
        <f>+P37+'Summary 2024'!Q36</f>
        <v>10046168062</v>
      </c>
      <c r="R37" s="326">
        <f t="shared" si="29"/>
        <v>0</v>
      </c>
      <c r="S37" s="326">
        <f t="shared" si="36"/>
        <v>0</v>
      </c>
      <c r="T37" s="326">
        <f t="shared" si="30"/>
        <v>0</v>
      </c>
      <c r="U37" s="326">
        <f t="shared" si="31"/>
        <v>0</v>
      </c>
      <c r="V37" s="326">
        <f t="shared" si="32"/>
        <v>0</v>
      </c>
      <c r="W37" s="326">
        <f t="shared" si="37"/>
        <v>0</v>
      </c>
      <c r="X37" s="326">
        <f t="shared" si="38"/>
        <v>0</v>
      </c>
      <c r="Y37" s="326">
        <f t="shared" si="33"/>
        <v>0</v>
      </c>
      <c r="Z37" s="326">
        <f t="shared" si="34"/>
        <v>0</v>
      </c>
      <c r="AA37" s="326">
        <f t="shared" si="35"/>
        <v>0</v>
      </c>
      <c r="AB37" s="326">
        <f t="shared" si="39"/>
        <v>0</v>
      </c>
      <c r="AC37" s="326">
        <f t="shared" si="40"/>
        <v>0</v>
      </c>
      <c r="AD37" s="327">
        <f t="shared" si="41"/>
        <v>0</v>
      </c>
      <c r="AE37" s="257"/>
      <c r="AF37" s="260"/>
    </row>
    <row r="38" spans="1:32" ht="15" customHeight="1">
      <c r="B38" t="s">
        <v>197</v>
      </c>
      <c r="C38" s="263" t="s">
        <v>149</v>
      </c>
      <c r="D38" s="316">
        <v>1673828718</v>
      </c>
      <c r="E38" s="316">
        <v>2311159808</v>
      </c>
      <c r="F38" s="316">
        <v>1976302835</v>
      </c>
      <c r="G38" s="316">
        <v>2152165579</v>
      </c>
      <c r="H38" s="316">
        <v>2220394521</v>
      </c>
      <c r="I38" s="316">
        <v>2176632026</v>
      </c>
      <c r="J38" s="316">
        <v>2086044206</v>
      </c>
      <c r="K38" s="316">
        <v>2143762787</v>
      </c>
      <c r="L38" s="317">
        <v>2068567908</v>
      </c>
      <c r="M38" s="316">
        <v>2172529825</v>
      </c>
      <c r="N38" s="316">
        <v>2037000572</v>
      </c>
      <c r="O38" s="331">
        <v>2598277574</v>
      </c>
      <c r="P38" s="324">
        <f t="shared" si="42"/>
        <v>25616666359</v>
      </c>
      <c r="Q38" s="325">
        <f>+P38+'Summary 2024'!Q37</f>
        <v>63927690790</v>
      </c>
      <c r="R38" s="326">
        <f t="shared" si="29"/>
        <v>66.681089873316864</v>
      </c>
      <c r="S38" s="326">
        <f t="shared" si="36"/>
        <v>90.54494840352595</v>
      </c>
      <c r="T38" s="326">
        <f t="shared" si="30"/>
        <v>77.220444457468844</v>
      </c>
      <c r="U38" s="326">
        <f t="shared" si="31"/>
        <v>82.734232076269564</v>
      </c>
      <c r="V38" s="326">
        <f t="shared" si="32"/>
        <v>85.350548568133775</v>
      </c>
      <c r="W38" s="326">
        <f t="shared" si="37"/>
        <v>83.44</v>
      </c>
      <c r="X38" s="326">
        <f t="shared" si="38"/>
        <v>79.647367645374359</v>
      </c>
      <c r="Y38" s="326">
        <f t="shared" si="33"/>
        <v>81.209999999999994</v>
      </c>
      <c r="Z38" s="326">
        <f t="shared" si="34"/>
        <v>78.33</v>
      </c>
      <c r="AA38" s="326">
        <f t="shared" si="35"/>
        <v>82.58</v>
      </c>
      <c r="AB38" s="326">
        <f t="shared" si="39"/>
        <v>77.180000000000007</v>
      </c>
      <c r="AC38" s="326">
        <f t="shared" si="40"/>
        <v>98.87</v>
      </c>
      <c r="AD38" s="327">
        <f t="shared" si="41"/>
        <v>983.78863102408957</v>
      </c>
      <c r="AE38" s="257"/>
      <c r="AF38" s="260"/>
    </row>
    <row r="39" spans="1:32" ht="15" customHeight="1">
      <c r="A39" s="309" t="s">
        <v>201</v>
      </c>
      <c r="B39" t="s">
        <v>198</v>
      </c>
      <c r="C39" s="273" t="s">
        <v>156</v>
      </c>
      <c r="D39" s="316">
        <v>2429701883</v>
      </c>
      <c r="E39" s="316">
        <v>9371134724</v>
      </c>
      <c r="F39" s="316">
        <v>14290563086</v>
      </c>
      <c r="G39" s="316">
        <v>45260932839</v>
      </c>
      <c r="H39" s="316">
        <v>72505764604</v>
      </c>
      <c r="I39" s="316">
        <v>59449341139</v>
      </c>
      <c r="J39" s="316">
        <v>31148798132</v>
      </c>
      <c r="K39" s="316">
        <v>46448434474</v>
      </c>
      <c r="L39" s="317">
        <v>35258549755</v>
      </c>
      <c r="M39" s="316">
        <v>27103420922</v>
      </c>
      <c r="N39" s="330">
        <v>61126010111</v>
      </c>
      <c r="O39" s="313">
        <v>174760404304</v>
      </c>
      <c r="P39" s="324">
        <f t="shared" si="42"/>
        <v>579153055973</v>
      </c>
      <c r="Q39" s="325">
        <f>+P39+'Summary 2024'!Q38</f>
        <v>742691964293</v>
      </c>
      <c r="R39" s="326">
        <f t="shared" si="29"/>
        <v>96.793159230340208</v>
      </c>
      <c r="S39" s="326">
        <f t="shared" si="36"/>
        <v>367.13554256611167</v>
      </c>
      <c r="T39" s="326">
        <f t="shared" si="30"/>
        <v>558.3778019771031</v>
      </c>
      <c r="U39" s="326">
        <f t="shared" si="31"/>
        <v>1739.935141621497</v>
      </c>
      <c r="V39" s="326">
        <f t="shared" si="32"/>
        <v>2787.0753259273497</v>
      </c>
      <c r="W39" s="326">
        <f t="shared" si="37"/>
        <v>2279.06</v>
      </c>
      <c r="X39" s="326">
        <f t="shared" si="38"/>
        <v>1189.2939609789623</v>
      </c>
      <c r="Y39" s="326">
        <f t="shared" si="33"/>
        <v>1759.48</v>
      </c>
      <c r="Z39" s="326">
        <f t="shared" si="34"/>
        <v>1335.2</v>
      </c>
      <c r="AA39" s="326">
        <f t="shared" si="35"/>
        <v>1030.27</v>
      </c>
      <c r="AB39" s="326">
        <f t="shared" si="39"/>
        <v>2315.9899999999998</v>
      </c>
      <c r="AC39" s="326">
        <f t="shared" si="40"/>
        <v>6649.94</v>
      </c>
      <c r="AD39" s="327">
        <f t="shared" si="41"/>
        <v>22108.550932301365</v>
      </c>
      <c r="AE39" s="257"/>
      <c r="AF39" s="260"/>
    </row>
    <row r="40" spans="1:32" ht="15" customHeight="1">
      <c r="A40" s="309" t="s">
        <v>201</v>
      </c>
      <c r="B40" t="s">
        <v>198</v>
      </c>
      <c r="C40" s="263" t="s">
        <v>173</v>
      </c>
      <c r="D40" s="316">
        <v>1513531040</v>
      </c>
      <c r="E40" s="316">
        <v>1483510897</v>
      </c>
      <c r="F40" s="316">
        <v>165491676</v>
      </c>
      <c r="G40" s="316">
        <v>159146836</v>
      </c>
      <c r="H40" s="316">
        <v>23459738</v>
      </c>
      <c r="I40" s="316">
        <v>156359126</v>
      </c>
      <c r="J40" s="316">
        <v>1132319986</v>
      </c>
      <c r="K40" s="316">
        <v>115165163</v>
      </c>
      <c r="L40" s="316">
        <v>66183951</v>
      </c>
      <c r="M40" s="316">
        <v>46307351</v>
      </c>
      <c r="N40" s="316"/>
      <c r="O40" s="313">
        <v>2263279576</v>
      </c>
      <c r="P40" s="324">
        <f t="shared" si="42"/>
        <v>7124755340</v>
      </c>
      <c r="Q40" s="325">
        <f>+P40+'Summary 2024'!Q42</f>
        <v>37013797470</v>
      </c>
      <c r="R40" s="326">
        <f t="shared" si="29"/>
        <v>60.295237032905746</v>
      </c>
      <c r="S40" s="326">
        <f t="shared" si="36"/>
        <v>58.119917610186093</v>
      </c>
      <c r="T40" s="326">
        <f t="shared" si="30"/>
        <v>6.4662867190247333</v>
      </c>
      <c r="U40" s="326">
        <f t="shared" si="31"/>
        <v>6.1179731672625222</v>
      </c>
      <c r="V40" s="326">
        <f t="shared" si="32"/>
        <v>0.90177735921583702</v>
      </c>
      <c r="W40" s="326">
        <f t="shared" si="37"/>
        <v>5.99</v>
      </c>
      <c r="X40" s="326">
        <f t="shared" si="38"/>
        <v>43.233171165667599</v>
      </c>
      <c r="Y40" s="326">
        <f t="shared" si="33"/>
        <v>4.3600000000000003</v>
      </c>
      <c r="Z40" s="326">
        <f t="shared" si="34"/>
        <v>2.5099999999999998</v>
      </c>
      <c r="AA40" s="326">
        <f t="shared" si="35"/>
        <v>1.76</v>
      </c>
      <c r="AB40" s="326">
        <f t="shared" si="39"/>
        <v>0</v>
      </c>
      <c r="AC40" s="326">
        <f t="shared" si="40"/>
        <v>86.12</v>
      </c>
      <c r="AD40" s="327">
        <f>SUM(R40:AC40)</f>
        <v>275.87436305426252</v>
      </c>
      <c r="AE40" s="257"/>
      <c r="AF40" s="260"/>
    </row>
    <row r="41" spans="1:32" ht="15" customHeight="1">
      <c r="A41" s="309" t="s">
        <v>200</v>
      </c>
      <c r="B41" t="s">
        <v>198</v>
      </c>
      <c r="C41" s="263" t="s">
        <v>175</v>
      </c>
      <c r="D41" s="316">
        <v>570370718</v>
      </c>
      <c r="E41" s="316">
        <v>20164919451</v>
      </c>
      <c r="F41" s="316">
        <v>5820211023</v>
      </c>
      <c r="G41" s="316">
        <v>15064838392</v>
      </c>
      <c r="H41" s="316">
        <v>6817478526</v>
      </c>
      <c r="I41" s="316">
        <v>24937974654</v>
      </c>
      <c r="J41" s="316">
        <v>9547887305</v>
      </c>
      <c r="K41" s="316">
        <v>3751531849</v>
      </c>
      <c r="L41" s="316">
        <v>1879751425</v>
      </c>
      <c r="M41" s="316">
        <v>4518956882</v>
      </c>
      <c r="N41" s="316">
        <v>5083585312</v>
      </c>
      <c r="O41" s="313">
        <v>43643974393</v>
      </c>
      <c r="P41" s="324">
        <f t="shared" ref="P41:P48" si="43">SUM(D41:O41)</f>
        <v>141801479930</v>
      </c>
      <c r="Q41" s="325">
        <f>+P41+'Summary 2024'!Q43</f>
        <v>200557675871</v>
      </c>
      <c r="R41" s="326">
        <f t="shared" si="29"/>
        <v>22.722122460361724</v>
      </c>
      <c r="S41" s="326">
        <f t="shared" si="36"/>
        <v>790.00663862879526</v>
      </c>
      <c r="T41" s="326">
        <f t="shared" si="30"/>
        <v>227.4141766498652</v>
      </c>
      <c r="U41" s="326">
        <f t="shared" si="31"/>
        <v>579.12729758197827</v>
      </c>
      <c r="V41" s="326">
        <f t="shared" si="32"/>
        <v>262.05952435133577</v>
      </c>
      <c r="W41" s="326">
        <f t="shared" si="37"/>
        <v>956.03</v>
      </c>
      <c r="X41" s="326">
        <f t="shared" si="38"/>
        <v>364.54840613187736</v>
      </c>
      <c r="Y41" s="326">
        <f t="shared" si="33"/>
        <v>142.11000000000001</v>
      </c>
      <c r="Z41" s="326">
        <f t="shared" si="34"/>
        <v>71.180000000000007</v>
      </c>
      <c r="AA41" s="326">
        <f t="shared" si="35"/>
        <v>171.78</v>
      </c>
      <c r="AB41" s="326">
        <f t="shared" si="39"/>
        <v>192.61</v>
      </c>
      <c r="AC41" s="326">
        <f t="shared" si="40"/>
        <v>1660.73</v>
      </c>
      <c r="AD41" s="327">
        <f t="shared" si="41"/>
        <v>5440.318165804214</v>
      </c>
      <c r="AE41" s="257"/>
      <c r="AF41" s="260"/>
    </row>
    <row r="42" spans="1:32" ht="15" customHeight="1">
      <c r="B42" t="s">
        <v>199</v>
      </c>
      <c r="C42" s="263" t="s">
        <v>176</v>
      </c>
      <c r="D42" s="316">
        <v>410354722</v>
      </c>
      <c r="E42" s="316"/>
      <c r="F42" s="316"/>
      <c r="G42" s="316"/>
      <c r="H42" s="316"/>
      <c r="I42" s="316"/>
      <c r="J42" s="316"/>
      <c r="K42" s="316"/>
      <c r="L42" s="316"/>
      <c r="M42" s="316"/>
      <c r="N42" s="316"/>
      <c r="O42" s="313"/>
      <c r="P42" s="324">
        <f>SUM(D42:O42)</f>
        <v>410354722</v>
      </c>
      <c r="Q42" s="325">
        <f>+P42+'Summary 2024'!Q44</f>
        <v>1367849074</v>
      </c>
      <c r="R42" s="326">
        <f t="shared" si="29"/>
        <v>16.347491116245717</v>
      </c>
      <c r="S42" s="326">
        <f t="shared" si="36"/>
        <v>0</v>
      </c>
      <c r="T42" s="326">
        <f t="shared" si="30"/>
        <v>0</v>
      </c>
      <c r="U42" s="326">
        <f t="shared" si="31"/>
        <v>0</v>
      </c>
      <c r="V42" s="326">
        <f t="shared" si="32"/>
        <v>0</v>
      </c>
      <c r="W42" s="326">
        <f t="shared" si="37"/>
        <v>0</v>
      </c>
      <c r="X42" s="326">
        <f t="shared" si="38"/>
        <v>0</v>
      </c>
      <c r="Y42" s="326">
        <f t="shared" si="33"/>
        <v>0</v>
      </c>
      <c r="Z42" s="326">
        <f t="shared" si="34"/>
        <v>0</v>
      </c>
      <c r="AA42" s="326">
        <f>ROUND(M42/$AA$50,2)</f>
        <v>0</v>
      </c>
      <c r="AB42" s="326">
        <f t="shared" si="39"/>
        <v>0</v>
      </c>
      <c r="AC42" s="326">
        <f t="shared" si="40"/>
        <v>0</v>
      </c>
      <c r="AD42" s="327">
        <f t="shared" si="41"/>
        <v>16.347491116245717</v>
      </c>
      <c r="AE42" s="257"/>
      <c r="AF42" s="260"/>
    </row>
    <row r="43" spans="1:32" ht="15" customHeight="1">
      <c r="B43" t="s">
        <v>199</v>
      </c>
      <c r="C43" s="263" t="s">
        <v>191</v>
      </c>
      <c r="D43" s="316"/>
      <c r="E43" s="316"/>
      <c r="F43" s="316"/>
      <c r="G43" s="316"/>
      <c r="H43" s="316"/>
      <c r="I43" s="316"/>
      <c r="J43" s="316"/>
      <c r="K43" s="316"/>
      <c r="L43" s="316"/>
      <c r="M43" s="316"/>
      <c r="N43" s="316"/>
      <c r="O43" s="313">
        <v>115559500144.46867</v>
      </c>
      <c r="P43" s="324">
        <f t="shared" si="43"/>
        <v>115559500144.46867</v>
      </c>
      <c r="Q43" s="325">
        <f>+P43+'Summary 2024'!Q45</f>
        <v>115559500144.46867</v>
      </c>
      <c r="R43" s="326">
        <f t="shared" si="29"/>
        <v>0</v>
      </c>
      <c r="S43" s="326">
        <f t="shared" si="36"/>
        <v>0</v>
      </c>
      <c r="T43" s="326">
        <f t="shared" si="30"/>
        <v>0</v>
      </c>
      <c r="U43" s="326">
        <f t="shared" si="31"/>
        <v>0</v>
      </c>
      <c r="V43" s="326">
        <f t="shared" si="32"/>
        <v>0</v>
      </c>
      <c r="W43" s="326">
        <f t="shared" si="37"/>
        <v>0</v>
      </c>
      <c r="X43" s="326">
        <f t="shared" si="38"/>
        <v>0</v>
      </c>
      <c r="Y43" s="326">
        <f t="shared" si="33"/>
        <v>0</v>
      </c>
      <c r="Z43" s="326">
        <f t="shared" si="34"/>
        <v>0</v>
      </c>
      <c r="AA43" s="326">
        <f t="shared" ref="AA43:AA48" si="44">ROUND(M43/$AA$50,2)</f>
        <v>0</v>
      </c>
      <c r="AB43" s="326">
        <f t="shared" si="39"/>
        <v>0</v>
      </c>
      <c r="AC43" s="326">
        <f t="shared" si="40"/>
        <v>4397.24</v>
      </c>
      <c r="AD43" s="327">
        <f>SUM(R43:AC43)</f>
        <v>4397.24</v>
      </c>
      <c r="AE43" s="257"/>
      <c r="AF43" s="260"/>
    </row>
    <row r="44" spans="1:32" ht="15" customHeight="1">
      <c r="B44" t="s">
        <v>199</v>
      </c>
      <c r="C44" s="263" t="s">
        <v>187</v>
      </c>
      <c r="D44" s="316"/>
      <c r="E44" s="316"/>
      <c r="F44" s="316"/>
      <c r="G44" s="316"/>
      <c r="H44" s="316"/>
      <c r="I44" s="316"/>
      <c r="J44" s="316"/>
      <c r="K44" s="316"/>
      <c r="L44" s="316"/>
      <c r="M44" s="316"/>
      <c r="N44" s="316"/>
      <c r="O44" s="313"/>
      <c r="P44" s="324">
        <f t="shared" si="43"/>
        <v>0</v>
      </c>
      <c r="Q44" s="325">
        <f t="shared" ref="Q44:Q48" si="45">+P44</f>
        <v>0</v>
      </c>
      <c r="R44" s="328"/>
      <c r="S44" s="328"/>
      <c r="T44" s="326">
        <f t="shared" si="30"/>
        <v>0</v>
      </c>
      <c r="U44" s="326">
        <f t="shared" si="31"/>
        <v>0</v>
      </c>
      <c r="V44" s="326">
        <f t="shared" si="32"/>
        <v>0</v>
      </c>
      <c r="W44" s="326">
        <f t="shared" si="37"/>
        <v>0</v>
      </c>
      <c r="X44" s="326">
        <f t="shared" si="38"/>
        <v>0</v>
      </c>
      <c r="Y44" s="326">
        <f t="shared" si="33"/>
        <v>0</v>
      </c>
      <c r="Z44" s="326">
        <f t="shared" si="34"/>
        <v>0</v>
      </c>
      <c r="AA44" s="326">
        <f t="shared" si="44"/>
        <v>0</v>
      </c>
      <c r="AB44" s="326">
        <f t="shared" si="39"/>
        <v>0</v>
      </c>
      <c r="AC44" s="326">
        <f t="shared" si="40"/>
        <v>0</v>
      </c>
      <c r="AD44" s="327">
        <f t="shared" ref="AD44:AD47" si="46">SUM(R44:AC44)</f>
        <v>0</v>
      </c>
      <c r="AE44" s="257"/>
      <c r="AF44" s="260"/>
    </row>
    <row r="45" spans="1:32" ht="15" customHeight="1">
      <c r="B45" t="s">
        <v>199</v>
      </c>
      <c r="C45" s="263" t="s">
        <v>203</v>
      </c>
      <c r="D45" s="316"/>
      <c r="E45" s="316"/>
      <c r="F45" s="316">
        <v>175069751</v>
      </c>
      <c r="G45" s="316"/>
      <c r="H45" s="316">
        <v>5937588</v>
      </c>
      <c r="I45" s="316"/>
      <c r="J45" s="316"/>
      <c r="K45" s="316"/>
      <c r="L45" s="316"/>
      <c r="M45" s="316"/>
      <c r="N45" s="316"/>
      <c r="O45" s="313"/>
      <c r="P45" s="324">
        <f t="shared" si="43"/>
        <v>181007339</v>
      </c>
      <c r="Q45" s="325">
        <f t="shared" si="45"/>
        <v>181007339</v>
      </c>
      <c r="R45" s="328"/>
      <c r="S45" s="328"/>
      <c r="T45" s="326">
        <f t="shared" si="30"/>
        <v>6.8405326065721095</v>
      </c>
      <c r="U45" s="326">
        <f t="shared" si="31"/>
        <v>0</v>
      </c>
      <c r="V45" s="326">
        <f t="shared" si="32"/>
        <v>0.22823709398423986</v>
      </c>
      <c r="W45" s="326">
        <f t="shared" si="37"/>
        <v>0</v>
      </c>
      <c r="X45" s="326">
        <f t="shared" si="38"/>
        <v>0</v>
      </c>
      <c r="Y45" s="326">
        <f t="shared" si="33"/>
        <v>0</v>
      </c>
      <c r="Z45" s="326">
        <f t="shared" si="34"/>
        <v>0</v>
      </c>
      <c r="AA45" s="326">
        <f t="shared" si="44"/>
        <v>0</v>
      </c>
      <c r="AB45" s="326">
        <f t="shared" si="39"/>
        <v>0</v>
      </c>
      <c r="AC45" s="326">
        <f t="shared" si="40"/>
        <v>0</v>
      </c>
      <c r="AD45" s="327">
        <f t="shared" si="46"/>
        <v>7.0687697005563495</v>
      </c>
      <c r="AE45" s="257"/>
      <c r="AF45" s="260"/>
    </row>
    <row r="46" spans="1:32" ht="15" customHeight="1">
      <c r="B46" t="s">
        <v>199</v>
      </c>
      <c r="C46" s="263" t="s">
        <v>189</v>
      </c>
      <c r="D46" s="316"/>
      <c r="E46" s="316"/>
      <c r="F46" s="316"/>
      <c r="G46" s="316">
        <v>1022000000</v>
      </c>
      <c r="H46" s="316"/>
      <c r="I46" s="316">
        <v>817600000</v>
      </c>
      <c r="J46" s="316"/>
      <c r="K46" s="316"/>
      <c r="L46" s="316"/>
      <c r="M46" s="316"/>
      <c r="N46" s="316">
        <v>204400000</v>
      </c>
      <c r="O46" s="313"/>
      <c r="P46" s="324">
        <f t="shared" si="43"/>
        <v>2044000000</v>
      </c>
      <c r="Q46" s="325">
        <f t="shared" si="45"/>
        <v>2044000000</v>
      </c>
      <c r="R46" s="328"/>
      <c r="S46" s="328"/>
      <c r="T46" s="326">
        <f t="shared" si="30"/>
        <v>0</v>
      </c>
      <c r="U46" s="326">
        <f t="shared" si="31"/>
        <v>39.28804828355053</v>
      </c>
      <c r="V46" s="326">
        <f t="shared" si="32"/>
        <v>0</v>
      </c>
      <c r="W46" s="326">
        <f t="shared" si="37"/>
        <v>31.34</v>
      </c>
      <c r="X46" s="326">
        <f t="shared" si="38"/>
        <v>0</v>
      </c>
      <c r="Y46" s="326">
        <f t="shared" si="33"/>
        <v>0</v>
      </c>
      <c r="Z46" s="326">
        <f t="shared" si="34"/>
        <v>0</v>
      </c>
      <c r="AA46" s="326">
        <f t="shared" si="44"/>
        <v>0</v>
      </c>
      <c r="AB46" s="326">
        <f t="shared" si="39"/>
        <v>7.74</v>
      </c>
      <c r="AC46" s="326">
        <f t="shared" si="40"/>
        <v>0</v>
      </c>
      <c r="AD46" s="327">
        <f t="shared" si="46"/>
        <v>78.368048283550522</v>
      </c>
      <c r="AE46" s="257"/>
      <c r="AF46" s="260"/>
    </row>
    <row r="47" spans="1:32" ht="15" customHeight="1">
      <c r="A47" s="309" t="s">
        <v>201</v>
      </c>
      <c r="B47" t="s">
        <v>198</v>
      </c>
      <c r="C47" s="263" t="s">
        <v>190</v>
      </c>
      <c r="D47" s="316"/>
      <c r="E47" s="316"/>
      <c r="F47" s="316">
        <v>559207572</v>
      </c>
      <c r="G47" s="316">
        <v>1085734179</v>
      </c>
      <c r="H47" s="316">
        <v>555655215</v>
      </c>
      <c r="I47" s="316">
        <v>1819137901</v>
      </c>
      <c r="J47" s="316">
        <v>189524112</v>
      </c>
      <c r="K47" s="316">
        <v>323036688</v>
      </c>
      <c r="L47" s="316">
        <v>191479202</v>
      </c>
      <c r="M47" s="316">
        <v>1225802375</v>
      </c>
      <c r="N47" s="316">
        <v>2652326003</v>
      </c>
      <c r="O47" s="313">
        <v>5487985682</v>
      </c>
      <c r="P47" s="324">
        <f t="shared" si="43"/>
        <v>14089888929</v>
      </c>
      <c r="Q47" s="325">
        <f t="shared" si="45"/>
        <v>14089888929</v>
      </c>
      <c r="R47" s="328"/>
      <c r="S47" s="328"/>
      <c r="T47" s="326">
        <f t="shared" si="30"/>
        <v>21.850020396202087</v>
      </c>
      <c r="U47" s="326">
        <f t="shared" si="31"/>
        <v>41.738137815707532</v>
      </c>
      <c r="V47" s="326">
        <f t="shared" si="32"/>
        <v>21.359031904670381</v>
      </c>
      <c r="W47" s="326">
        <f t="shared" si="37"/>
        <v>69.739999999999995</v>
      </c>
      <c r="X47" s="326">
        <f t="shared" si="38"/>
        <v>7.2362304608453289</v>
      </c>
      <c r="Y47" s="326">
        <f t="shared" si="33"/>
        <v>12.24</v>
      </c>
      <c r="Z47" s="326">
        <f t="shared" si="34"/>
        <v>7.25</v>
      </c>
      <c r="AA47" s="326">
        <f t="shared" si="44"/>
        <v>46.6</v>
      </c>
      <c r="AB47" s="326">
        <f t="shared" si="39"/>
        <v>100.49</v>
      </c>
      <c r="AC47" s="326">
        <f t="shared" si="40"/>
        <v>208.83</v>
      </c>
      <c r="AD47" s="327">
        <f t="shared" si="46"/>
        <v>537.33342057742527</v>
      </c>
      <c r="AE47" s="257"/>
      <c r="AF47" s="260"/>
    </row>
    <row r="48" spans="1:32" ht="15" customHeight="1">
      <c r="A48" s="309"/>
      <c r="B48" t="s">
        <v>199</v>
      </c>
      <c r="C48" s="263" t="s">
        <v>206</v>
      </c>
      <c r="D48" s="316"/>
      <c r="E48" s="316"/>
      <c r="F48" s="316"/>
      <c r="G48" s="316"/>
      <c r="H48" s="316"/>
      <c r="I48" s="316"/>
      <c r="J48" s="316"/>
      <c r="K48" s="316"/>
      <c r="L48" s="318">
        <v>513381329</v>
      </c>
      <c r="M48" s="316">
        <v>60761532</v>
      </c>
      <c r="N48" s="316"/>
      <c r="O48" s="313"/>
      <c r="P48" s="324">
        <f t="shared" si="43"/>
        <v>574142861</v>
      </c>
      <c r="Q48" s="325">
        <f t="shared" si="45"/>
        <v>574142861</v>
      </c>
      <c r="R48" s="328"/>
      <c r="S48" s="328"/>
      <c r="T48" s="328"/>
      <c r="U48" s="328"/>
      <c r="V48" s="328"/>
      <c r="W48" s="326">
        <f t="shared" si="37"/>
        <v>0</v>
      </c>
      <c r="X48" s="326">
        <f t="shared" si="38"/>
        <v>0</v>
      </c>
      <c r="Y48" s="326">
        <f t="shared" si="33"/>
        <v>0</v>
      </c>
      <c r="Z48" s="326">
        <f t="shared" si="34"/>
        <v>19.440000000000001</v>
      </c>
      <c r="AA48" s="326">
        <f t="shared" si="44"/>
        <v>2.31</v>
      </c>
      <c r="AB48" s="326">
        <f t="shared" si="39"/>
        <v>0</v>
      </c>
      <c r="AC48" s="326">
        <f t="shared" si="40"/>
        <v>0</v>
      </c>
      <c r="AD48" s="327">
        <f>SUM(R48:AC48)</f>
        <v>21.75</v>
      </c>
      <c r="AE48" s="257"/>
      <c r="AF48" s="260"/>
    </row>
    <row r="49" spans="1:34" ht="15" customHeight="1">
      <c r="A49" s="309"/>
      <c r="B49" t="s">
        <v>199</v>
      </c>
      <c r="C49" s="263" t="s">
        <v>214</v>
      </c>
      <c r="D49" s="316"/>
      <c r="E49" s="316"/>
      <c r="F49" s="316"/>
      <c r="G49" s="316"/>
      <c r="H49" s="316"/>
      <c r="I49" s="316"/>
      <c r="J49" s="316"/>
      <c r="K49" s="316"/>
      <c r="L49" s="318"/>
      <c r="M49" s="316"/>
      <c r="N49" s="316"/>
      <c r="O49" s="313">
        <v>2414938645</v>
      </c>
      <c r="P49" s="324">
        <f>SUM(D49:O49)</f>
        <v>2414938645</v>
      </c>
      <c r="Q49" s="325">
        <f>+P49</f>
        <v>2414938645</v>
      </c>
      <c r="R49" s="328"/>
      <c r="S49" s="328"/>
      <c r="T49" s="328"/>
      <c r="U49" s="328"/>
      <c r="V49" s="328"/>
      <c r="W49" s="326">
        <f t="shared" ref="W49" si="47">ROUND(I49/$W$50,2)</f>
        <v>0</v>
      </c>
      <c r="X49" s="326">
        <f t="shared" ref="X49" si="48">J49/$X$50</f>
        <v>0</v>
      </c>
      <c r="Y49" s="326">
        <f t="shared" ref="Y49" si="49">ROUND(K49/$Y$50,2)</f>
        <v>0</v>
      </c>
      <c r="Z49" s="326">
        <f t="shared" si="34"/>
        <v>0</v>
      </c>
      <c r="AA49" s="326">
        <f t="shared" ref="AA49" si="50">ROUND(M49/$AA$50,2)</f>
        <v>0</v>
      </c>
      <c r="AB49" s="326">
        <f t="shared" si="39"/>
        <v>0</v>
      </c>
      <c r="AC49" s="326">
        <f t="shared" si="40"/>
        <v>91.89</v>
      </c>
      <c r="AD49" s="327">
        <f>SUM(R49:AC49)</f>
        <v>91.89</v>
      </c>
      <c r="AE49" s="257"/>
      <c r="AF49" s="260"/>
    </row>
    <row r="50" spans="1:34" ht="13.5">
      <c r="C50" s="332" t="s">
        <v>19</v>
      </c>
      <c r="D50" s="332"/>
      <c r="E50" s="332"/>
      <c r="F50" s="332"/>
      <c r="G50" s="333"/>
      <c r="H50" s="333"/>
      <c r="I50" s="332"/>
      <c r="J50" s="334"/>
      <c r="K50" s="332"/>
      <c r="L50" s="332"/>
      <c r="M50" s="332"/>
      <c r="N50" s="332"/>
      <c r="O50" s="332"/>
      <c r="P50" s="332"/>
      <c r="Q50" s="332"/>
      <c r="R50" s="332">
        <v>25102000</v>
      </c>
      <c r="S50" s="332">
        <v>25525000</v>
      </c>
      <c r="T50" s="332">
        <v>25593000</v>
      </c>
      <c r="U50" s="332">
        <v>26013000</v>
      </c>
      <c r="V50" s="332">
        <f>26015*1000</f>
        <v>26015000</v>
      </c>
      <c r="W50" s="332">
        <v>26085000</v>
      </c>
      <c r="X50" s="332">
        <v>26191000</v>
      </c>
      <c r="Y50" s="332">
        <v>26399000</v>
      </c>
      <c r="Z50" s="335">
        <v>26407000</v>
      </c>
      <c r="AA50" s="332">
        <v>26307000</v>
      </c>
      <c r="AB50" s="332">
        <v>26393000</v>
      </c>
      <c r="AC50" s="332">
        <v>26280000</v>
      </c>
      <c r="AD50" s="332"/>
      <c r="AE50" s="236"/>
      <c r="AF50" s="236"/>
    </row>
    <row r="51" spans="1:34" ht="13.5">
      <c r="C51" s="241"/>
      <c r="D51" s="242"/>
      <c r="E51" s="242"/>
      <c r="F51" s="242"/>
      <c r="G51" s="242"/>
      <c r="H51" s="242"/>
      <c r="I51" s="241"/>
      <c r="J51" s="243"/>
      <c r="K51" s="241"/>
      <c r="L51" s="242"/>
      <c r="M51" s="241"/>
      <c r="N51" s="241"/>
      <c r="O51" s="241"/>
      <c r="P51" s="236"/>
      <c r="Q51" s="236"/>
      <c r="R51" s="241"/>
      <c r="S51" s="241"/>
      <c r="T51" s="241"/>
      <c r="U51" s="241"/>
      <c r="V51" s="244"/>
      <c r="W51" s="241"/>
      <c r="X51" s="241"/>
      <c r="Y51" s="241"/>
      <c r="Z51" s="241"/>
      <c r="AA51" s="241"/>
      <c r="AB51" s="241"/>
      <c r="AC51" s="241"/>
      <c r="AD51" s="241"/>
      <c r="AE51" s="236"/>
      <c r="AF51" s="236"/>
    </row>
    <row r="52" spans="1:34" ht="12.75" customHeight="1" thickBot="1">
      <c r="C52" s="245" t="s">
        <v>38</v>
      </c>
      <c r="D52" s="247">
        <f t="shared" ref="D52:AD52" si="51">IFERROR(D31/D10,0)</f>
        <v>0.86959999995733461</v>
      </c>
      <c r="E52" s="247">
        <f t="shared" si="51"/>
        <v>0.86959999988242287</v>
      </c>
      <c r="F52" s="247">
        <f t="shared" si="51"/>
        <v>0.86959999984453029</v>
      </c>
      <c r="G52" s="247">
        <f t="shared" si="51"/>
        <v>0.86959999991474957</v>
      </c>
      <c r="H52" s="247">
        <f t="shared" si="51"/>
        <v>0.869599999920313</v>
      </c>
      <c r="I52" s="247">
        <f t="shared" si="51"/>
        <v>0.86960000007796234</v>
      </c>
      <c r="J52" s="247">
        <f t="shared" si="51"/>
        <v>0.86959999997348358</v>
      </c>
      <c r="K52" s="247">
        <f t="shared" si="51"/>
        <v>0.86960000007610172</v>
      </c>
      <c r="L52" s="247">
        <v>210</v>
      </c>
      <c r="M52" s="247">
        <f t="shared" si="51"/>
        <v>0.87049999998158833</v>
      </c>
      <c r="N52" s="247">
        <f t="shared" si="51"/>
        <v>0.8705000000549683</v>
      </c>
      <c r="O52" s="247">
        <f>IFERROR(O31/O10,0)</f>
        <v>0.87049999999828864</v>
      </c>
      <c r="P52" s="247">
        <f t="shared" si="51"/>
        <v>0.87860949425317258</v>
      </c>
      <c r="Q52" s="338">
        <f>IFERROR(Q31/Q10,0)</f>
        <v>0.87050000000010697</v>
      </c>
      <c r="R52" s="247">
        <f t="shared" si="51"/>
        <v>0.86959999995733461</v>
      </c>
      <c r="S52" s="247">
        <f t="shared" si="51"/>
        <v>0.86959999988242287</v>
      </c>
      <c r="T52" s="247">
        <f t="shared" si="51"/>
        <v>0.86959999984453018</v>
      </c>
      <c r="U52" s="247">
        <f t="shared" si="51"/>
        <v>0.86959999991474968</v>
      </c>
      <c r="V52" s="247">
        <f t="shared" si="51"/>
        <v>0.869599999920313</v>
      </c>
      <c r="W52" s="247">
        <f t="shared" si="51"/>
        <v>0.86957179603570878</v>
      </c>
      <c r="X52" s="247">
        <f t="shared" si="51"/>
        <v>0.86959999997348358</v>
      </c>
      <c r="Y52" s="247">
        <f t="shared" si="51"/>
        <v>0.86963026287668299</v>
      </c>
      <c r="Z52" s="247">
        <f t="shared" si="51"/>
        <v>1.3577097505668934</v>
      </c>
      <c r="AA52" s="247">
        <f t="shared" si="51"/>
        <v>0.87051287059099258</v>
      </c>
      <c r="AB52" s="247">
        <f t="shared" si="51"/>
        <v>0.87051779722350153</v>
      </c>
      <c r="AC52" s="247">
        <f>IFERROR(AC31/AC10,0)</f>
        <v>0.87049974799364171</v>
      </c>
      <c r="AD52" s="247">
        <f t="shared" si="51"/>
        <v>0.87854334433538861</v>
      </c>
      <c r="AE52" s="256"/>
      <c r="AF52" s="256"/>
    </row>
    <row r="53" spans="1:34" ht="12.75" customHeight="1" thickTop="1">
      <c r="C53" s="245"/>
      <c r="D53" s="247"/>
      <c r="E53" s="247"/>
      <c r="F53" s="247"/>
      <c r="G53" s="247"/>
      <c r="H53" s="247"/>
      <c r="I53" s="247"/>
      <c r="J53" s="247"/>
      <c r="K53" s="247"/>
      <c r="L53" s="247"/>
      <c r="M53" s="247"/>
      <c r="N53" s="247"/>
      <c r="O53" s="247"/>
      <c r="P53" s="247"/>
      <c r="Q53" s="304"/>
      <c r="R53" s="247"/>
      <c r="S53" s="247"/>
      <c r="T53" s="247"/>
      <c r="U53" s="247"/>
      <c r="V53" s="247"/>
      <c r="W53" s="247"/>
      <c r="X53" s="247"/>
      <c r="Y53" s="247"/>
      <c r="Z53" s="247"/>
      <c r="AA53" s="247"/>
      <c r="AB53" s="247"/>
      <c r="AC53" s="247"/>
      <c r="AD53" s="247"/>
      <c r="AE53" s="236"/>
      <c r="AF53" s="236"/>
    </row>
    <row r="54" spans="1:34" ht="12.75" customHeight="1" thickBot="1">
      <c r="C54" s="245" t="s">
        <v>215</v>
      </c>
      <c r="D54" s="247"/>
      <c r="E54" s="247"/>
      <c r="F54" s="247"/>
      <c r="G54" s="247"/>
      <c r="H54" s="247"/>
      <c r="I54" s="247"/>
      <c r="J54" s="247"/>
      <c r="K54" s="247"/>
      <c r="L54" s="247"/>
      <c r="M54" s="247">
        <f>+M36/M15</f>
        <v>0.84999999972870299</v>
      </c>
      <c r="N54" s="247">
        <f>+N36/N15</f>
        <v>0.85000000001536646</v>
      </c>
      <c r="O54" s="247">
        <f>+O36/O15</f>
        <v>0.84999999999959996</v>
      </c>
      <c r="P54" s="247">
        <f t="shared" ref="P54:Q54" si="52">+P36/P15</f>
        <v>0.8499999999996396</v>
      </c>
      <c r="Q54" s="339">
        <f t="shared" si="52"/>
        <v>0.8499999999996396</v>
      </c>
      <c r="R54" s="247"/>
      <c r="S54" s="247"/>
      <c r="T54" s="247"/>
      <c r="U54" s="247"/>
      <c r="V54" s="247"/>
      <c r="W54" s="247"/>
      <c r="X54" s="247"/>
      <c r="Y54" s="247"/>
      <c r="Z54" s="247"/>
      <c r="AA54" s="247">
        <f>+AA36/AA15</f>
        <v>0.8501070663811563</v>
      </c>
      <c r="AB54" s="247">
        <f>+AB36/AB15</f>
        <v>0.85000202782171397</v>
      </c>
      <c r="AC54" s="247">
        <f>+AC36/AC15</f>
        <v>0.85000042056742964</v>
      </c>
      <c r="AD54" s="247">
        <f t="shared" ref="AD54" si="53">+AD36/AD15</f>
        <v>0.85000113708723735</v>
      </c>
      <c r="AE54" s="236"/>
      <c r="AF54" s="236"/>
    </row>
    <row r="55" spans="1:34" ht="12.75" customHeight="1" thickTop="1">
      <c r="C55" s="245"/>
      <c r="D55" s="247"/>
      <c r="E55" s="247"/>
      <c r="F55" s="247"/>
      <c r="G55" s="247"/>
      <c r="H55" s="247"/>
      <c r="I55" s="247"/>
      <c r="J55" s="247"/>
      <c r="K55" s="247"/>
      <c r="L55" s="247"/>
      <c r="M55" s="247"/>
      <c r="N55" s="247"/>
      <c r="O55" s="247"/>
      <c r="P55" s="247"/>
      <c r="Q55" s="304"/>
      <c r="R55" s="247"/>
      <c r="S55" s="247"/>
      <c r="T55" s="247"/>
      <c r="U55" s="247"/>
      <c r="V55" s="247"/>
      <c r="W55" s="247"/>
      <c r="X55" s="247"/>
      <c r="Y55" s="247"/>
      <c r="Z55" s="247"/>
      <c r="AA55" s="247"/>
      <c r="AB55" s="247"/>
      <c r="AC55" s="247"/>
      <c r="AD55" s="247"/>
      <c r="AE55" s="236"/>
      <c r="AF55" s="236"/>
    </row>
    <row r="56" spans="1:34" ht="12.75" customHeight="1" thickBot="1">
      <c r="C56" s="245" t="s">
        <v>160</v>
      </c>
      <c r="D56" s="247">
        <f t="shared" ref="D56:AD56" si="54">IFERROR(D39/D18,0)</f>
        <v>0.85000000015742672</v>
      </c>
      <c r="E56" s="247">
        <f t="shared" si="54"/>
        <v>0.85000000001360565</v>
      </c>
      <c r="F56" s="247">
        <f t="shared" si="54"/>
        <v>0.85</v>
      </c>
      <c r="G56" s="247">
        <f t="shared" si="54"/>
        <v>0.85000000000281695</v>
      </c>
      <c r="H56" s="247">
        <f t="shared" si="54"/>
        <v>0.85000000000117237</v>
      </c>
      <c r="I56" s="247">
        <f t="shared" si="54"/>
        <v>0.84999999998784681</v>
      </c>
      <c r="J56" s="247">
        <f t="shared" si="54"/>
        <v>0.85000000000409326</v>
      </c>
      <c r="K56" s="247">
        <f t="shared" si="54"/>
        <v>0.84999999998810505</v>
      </c>
      <c r="L56" s="247">
        <f t="shared" si="54"/>
        <v>0.80967737776266202</v>
      </c>
      <c r="M56" s="247">
        <f t="shared" si="54"/>
        <v>0.84690000000763677</v>
      </c>
      <c r="N56" s="247">
        <f t="shared" si="54"/>
        <v>0.84689999999952892</v>
      </c>
      <c r="O56" s="247">
        <f t="shared" si="54"/>
        <v>0.84689999999787791</v>
      </c>
      <c r="P56" s="247">
        <f t="shared" si="54"/>
        <v>0.84602872426510634</v>
      </c>
      <c r="Q56" s="338">
        <f t="shared" si="54"/>
        <v>0.84689999999982024</v>
      </c>
      <c r="R56" s="247">
        <f t="shared" si="54"/>
        <v>0.85000000015742672</v>
      </c>
      <c r="S56" s="247">
        <f t="shared" si="54"/>
        <v>0.85000000001360565</v>
      </c>
      <c r="T56" s="247">
        <f t="shared" si="54"/>
        <v>0.84999999999999987</v>
      </c>
      <c r="U56" s="247">
        <f t="shared" si="54"/>
        <v>0.85000000000281706</v>
      </c>
      <c r="V56" s="247">
        <f t="shared" si="54"/>
        <v>0.85000000000117237</v>
      </c>
      <c r="W56" s="247">
        <f t="shared" si="54"/>
        <v>0.84999906759906763</v>
      </c>
      <c r="X56" s="247">
        <f t="shared" si="54"/>
        <v>0.85000000000409337</v>
      </c>
      <c r="Y56" s="247">
        <f t="shared" si="54"/>
        <v>0.85000265704333888</v>
      </c>
      <c r="Z56" s="247">
        <f t="shared" si="54"/>
        <v>0.80967829962705806</v>
      </c>
      <c r="AA56" s="247">
        <f t="shared" si="54"/>
        <v>0.84689935225068225</v>
      </c>
      <c r="AB56" s="247">
        <f t="shared" si="54"/>
        <v>0.84689926023980944</v>
      </c>
      <c r="AC56" s="247">
        <f>IFERROR(AC39/AC18,0)</f>
        <v>0.84689955553291463</v>
      </c>
      <c r="AD56" s="247">
        <f t="shared" si="54"/>
        <v>0.84605508138666452</v>
      </c>
      <c r="AE56" s="248"/>
      <c r="AF56" s="248"/>
      <c r="AG56" s="279"/>
      <c r="AH56" s="279"/>
    </row>
    <row r="57" spans="1:34" ht="12.75" customHeight="1" thickTop="1">
      <c r="C57" s="245"/>
      <c r="D57" s="280"/>
      <c r="E57" s="280"/>
      <c r="F57" s="280"/>
      <c r="G57" s="280"/>
      <c r="H57" s="280"/>
      <c r="I57" s="245"/>
      <c r="J57" s="245"/>
      <c r="K57" s="245"/>
      <c r="L57" s="245"/>
      <c r="M57" s="245"/>
      <c r="N57" s="245"/>
      <c r="O57" s="245"/>
      <c r="P57" s="245"/>
      <c r="Q57" s="304"/>
      <c r="R57" s="245"/>
      <c r="S57" s="245"/>
      <c r="T57" s="245"/>
      <c r="U57" s="245"/>
      <c r="V57" s="250"/>
      <c r="W57" s="245"/>
      <c r="X57" s="245"/>
      <c r="Y57" s="245"/>
      <c r="Z57" s="245"/>
      <c r="AA57" s="245"/>
      <c r="AB57" s="245"/>
      <c r="AC57" s="245"/>
      <c r="AD57" s="245"/>
      <c r="AE57" s="236"/>
      <c r="AF57" s="236"/>
    </row>
    <row r="58" spans="1:34" ht="12.75" customHeight="1" thickBot="1">
      <c r="C58" s="245" t="s">
        <v>178</v>
      </c>
      <c r="D58" s="247">
        <f t="shared" ref="D58:AD58" si="55">IFERROR(D40/D19,0)</f>
        <v>0.87279999975641676</v>
      </c>
      <c r="E58" s="247">
        <f t="shared" si="55"/>
        <v>0.87280000013508152</v>
      </c>
      <c r="F58" s="247">
        <f t="shared" si="55"/>
        <v>0.87279999958651988</v>
      </c>
      <c r="G58" s="247">
        <f t="shared" si="55"/>
        <v>0.87280000257101331</v>
      </c>
      <c r="H58" s="247">
        <f t="shared" si="55"/>
        <v>0.87279999672603337</v>
      </c>
      <c r="I58" s="247">
        <f t="shared" si="55"/>
        <v>0.8727999983477216</v>
      </c>
      <c r="J58" s="247">
        <f t="shared" si="55"/>
        <v>0.87280000009126357</v>
      </c>
      <c r="K58" s="247">
        <f t="shared" si="55"/>
        <v>0.87279999898748828</v>
      </c>
      <c r="L58" s="247">
        <f t="shared" si="55"/>
        <v>0.17261437075217265</v>
      </c>
      <c r="M58" s="247">
        <f t="shared" si="55"/>
        <v>0.86609999551495009</v>
      </c>
      <c r="N58" s="247">
        <f t="shared" si="55"/>
        <v>0</v>
      </c>
      <c r="O58" s="247">
        <f>IFERROR(O40/O19,0)</f>
        <v>0.86609999994814757</v>
      </c>
      <c r="P58" s="247">
        <f>IFERROR(P40/P19,0)</f>
        <v>0.83907878649040413</v>
      </c>
      <c r="Q58" s="338">
        <f t="shared" si="55"/>
        <v>0.86609999997694698</v>
      </c>
      <c r="R58" s="247">
        <f t="shared" si="55"/>
        <v>0.87279999975641687</v>
      </c>
      <c r="S58" s="247">
        <f t="shared" si="55"/>
        <v>0.87280000013508152</v>
      </c>
      <c r="T58" s="247">
        <f t="shared" si="55"/>
        <v>0.87279999958651988</v>
      </c>
      <c r="U58" s="247">
        <f t="shared" si="55"/>
        <v>0.87280000257101331</v>
      </c>
      <c r="V58" s="247">
        <f t="shared" si="55"/>
        <v>0.87279999672603337</v>
      </c>
      <c r="W58" s="247">
        <f t="shared" si="55"/>
        <v>0.87190684133915575</v>
      </c>
      <c r="X58" s="247">
        <f t="shared" si="55"/>
        <v>0.87280000009126357</v>
      </c>
      <c r="Y58" s="247">
        <f t="shared" si="55"/>
        <v>0.87200000000000011</v>
      </c>
      <c r="Z58" s="247">
        <f t="shared" si="55"/>
        <v>0.17286501377410468</v>
      </c>
      <c r="AA58" s="247">
        <f>IFERROR(AA40/AA19,0)</f>
        <v>0.86699507389162567</v>
      </c>
      <c r="AB58" s="247">
        <f t="shared" si="55"/>
        <v>0</v>
      </c>
      <c r="AC58" s="247">
        <f t="shared" si="55"/>
        <v>0.86604987932421562</v>
      </c>
      <c r="AD58" s="247">
        <f t="shared" si="55"/>
        <v>0.83975400040316239</v>
      </c>
      <c r="AE58" s="236"/>
      <c r="AF58" s="236"/>
    </row>
    <row r="59" spans="1:34" ht="12.75" customHeight="1" thickTop="1">
      <c r="C59" s="245"/>
      <c r="D59" s="242"/>
      <c r="E59" s="242"/>
      <c r="F59" s="242"/>
      <c r="G59" s="242"/>
      <c r="H59" s="242"/>
      <c r="I59" s="241"/>
      <c r="J59" s="241"/>
      <c r="K59" s="241"/>
      <c r="L59" s="241"/>
      <c r="M59" s="241"/>
      <c r="N59" s="241"/>
      <c r="O59" s="241"/>
      <c r="P59" s="242"/>
      <c r="Q59" s="305"/>
      <c r="R59" s="241"/>
      <c r="S59" s="241"/>
      <c r="T59" s="241"/>
      <c r="U59" s="241"/>
      <c r="V59" s="241"/>
      <c r="W59" s="241"/>
      <c r="X59" s="241"/>
      <c r="Y59" s="241"/>
      <c r="Z59" s="241"/>
      <c r="AA59" s="241"/>
      <c r="AB59" s="241"/>
      <c r="AC59" s="241"/>
      <c r="AD59" s="241"/>
      <c r="AE59" s="236"/>
      <c r="AF59" s="236"/>
    </row>
    <row r="60" spans="1:34" ht="12.75" customHeight="1" thickBot="1">
      <c r="C60" s="245" t="s">
        <v>179</v>
      </c>
      <c r="D60" s="247">
        <f t="shared" ref="D60:AB60" si="56">IFERROR(D41/D20,0)</f>
        <v>1.0020324312921209</v>
      </c>
      <c r="E60" s="247">
        <f t="shared" si="56"/>
        <v>0.93891239935341997</v>
      </c>
      <c r="F60" s="247">
        <f t="shared" si="56"/>
        <v>0.95668581564055788</v>
      </c>
      <c r="G60" s="247">
        <f t="shared" si="56"/>
        <v>0.92781501086495166</v>
      </c>
      <c r="H60" s="247">
        <f t="shared" si="56"/>
        <v>0.92470602035759619</v>
      </c>
      <c r="I60" s="247">
        <f t="shared" si="56"/>
        <v>0.92344310355282899</v>
      </c>
      <c r="J60" s="247">
        <f t="shared" si="56"/>
        <v>0.93170699356518927</v>
      </c>
      <c r="K60" s="247">
        <f t="shared" si="56"/>
        <v>0.94221694702975256</v>
      </c>
      <c r="L60" s="247">
        <f t="shared" si="56"/>
        <v>1.2293625637150305</v>
      </c>
      <c r="M60" s="247">
        <f t="shared" si="56"/>
        <v>1.0049116759879266</v>
      </c>
      <c r="N60" s="247">
        <f t="shared" si="56"/>
        <v>0.92297833125194606</v>
      </c>
      <c r="O60" s="247">
        <f>IFERROR(O41/O20,0)</f>
        <v>0.92053237758060635</v>
      </c>
      <c r="P60" s="247">
        <f t="shared" si="56"/>
        <v>0.93339900579452073</v>
      </c>
      <c r="Q60" s="339">
        <f t="shared" si="56"/>
        <v>0.9301046479903734</v>
      </c>
      <c r="R60" s="247">
        <f t="shared" si="56"/>
        <v>1.0020324312921209</v>
      </c>
      <c r="S60" s="247">
        <f t="shared" si="56"/>
        <v>0.93891239935341997</v>
      </c>
      <c r="T60" s="247">
        <f t="shared" si="56"/>
        <v>0.95668581564055788</v>
      </c>
      <c r="U60" s="247">
        <f t="shared" si="56"/>
        <v>0.92781501086495166</v>
      </c>
      <c r="V60" s="247">
        <f t="shared" si="56"/>
        <v>0.9247060203575963</v>
      </c>
      <c r="W60" s="247">
        <f t="shared" si="56"/>
        <v>0.92344174096146969</v>
      </c>
      <c r="X60" s="247">
        <f t="shared" si="56"/>
        <v>0.93170699356518916</v>
      </c>
      <c r="Y60" s="247">
        <f t="shared" si="56"/>
        <v>0.94224903858904663</v>
      </c>
      <c r="Z60" s="247">
        <f t="shared" si="56"/>
        <v>1.2293609671848016</v>
      </c>
      <c r="AA60" s="247">
        <f t="shared" si="56"/>
        <v>1.0049140049140048</v>
      </c>
      <c r="AB60" s="247">
        <f t="shared" si="56"/>
        <v>0.92299214107724747</v>
      </c>
      <c r="AC60" s="247">
        <f>IFERROR(AC41/AC20,0)</f>
        <v>0.92053101269330972</v>
      </c>
      <c r="AD60" s="247">
        <f>IFERROR(AD41/AD20,0)</f>
        <v>0.9334196007900375</v>
      </c>
      <c r="AE60" s="236"/>
      <c r="AF60" s="236"/>
    </row>
    <row r="61" spans="1:34" ht="12.75" customHeight="1" thickTop="1">
      <c r="C61" s="241"/>
      <c r="D61" s="306" t="s">
        <v>205</v>
      </c>
      <c r="E61" s="242"/>
      <c r="F61" s="242"/>
      <c r="G61" s="242"/>
      <c r="H61" s="242"/>
      <c r="I61" s="241"/>
      <c r="J61" s="241"/>
      <c r="K61" s="241"/>
      <c r="L61" s="241"/>
      <c r="M61" s="241"/>
      <c r="N61" s="241"/>
      <c r="O61" s="241"/>
      <c r="P61" s="241"/>
      <c r="Q61" s="236"/>
      <c r="R61" s="241"/>
      <c r="S61" s="241"/>
      <c r="T61" s="241"/>
      <c r="U61" s="241"/>
      <c r="V61" s="244"/>
      <c r="W61" s="241"/>
      <c r="X61" s="241"/>
      <c r="Y61" s="241"/>
      <c r="Z61" s="241"/>
      <c r="AA61" s="241"/>
      <c r="AB61" s="241"/>
      <c r="AC61" s="241"/>
      <c r="AD61" s="241"/>
      <c r="AE61" s="236"/>
      <c r="AF61" s="236"/>
    </row>
    <row r="62" spans="1:34" ht="12.75" customHeight="1" thickBot="1">
      <c r="C62" s="245" t="s">
        <v>193</v>
      </c>
      <c r="D62" s="247"/>
      <c r="E62" s="247"/>
      <c r="F62" s="247">
        <f t="shared" ref="F62:Q62" si="57">IFERROR(F47/F26,0)</f>
        <v>0.86960000037943408</v>
      </c>
      <c r="G62" s="247">
        <f t="shared" si="57"/>
        <v>0.86960000005254123</v>
      </c>
      <c r="H62" s="247">
        <f t="shared" si="57"/>
        <v>0.86960000018028794</v>
      </c>
      <c r="I62" s="247">
        <f t="shared" si="57"/>
        <v>0.86960000006386462</v>
      </c>
      <c r="J62" s="247">
        <f t="shared" si="57"/>
        <v>0.86960000015783867</v>
      </c>
      <c r="K62" s="247">
        <f t="shared" si="57"/>
        <v>0.86960000024981332</v>
      </c>
      <c r="L62" s="247">
        <f t="shared" si="57"/>
        <v>0.38939678625555885</v>
      </c>
      <c r="M62" s="247">
        <f t="shared" si="57"/>
        <v>0.82819999982379333</v>
      </c>
      <c r="N62" s="247">
        <f t="shared" si="57"/>
        <v>0.82819999997633109</v>
      </c>
      <c r="O62" s="247">
        <f>IFERROR(O47/O26,0)</f>
        <v>0.82819999991754201</v>
      </c>
      <c r="P62" s="247">
        <f>IFERROR(P47/P26,0)</f>
        <v>0.82819999992862969</v>
      </c>
      <c r="Q62" s="339">
        <f t="shared" si="57"/>
        <v>0.82819999992862969</v>
      </c>
      <c r="R62" s="247"/>
      <c r="S62" s="247"/>
      <c r="T62" s="247">
        <f t="shared" ref="T62:AB62" si="58">IFERROR(T47/T26,0)</f>
        <v>0.86960000037943408</v>
      </c>
      <c r="U62" s="247">
        <f t="shared" si="58"/>
        <v>0.86960000005254112</v>
      </c>
      <c r="V62" s="247">
        <f t="shared" si="58"/>
        <v>0.86960000018028782</v>
      </c>
      <c r="W62" s="247">
        <f t="shared" si="58"/>
        <v>0.86957605985037401</v>
      </c>
      <c r="X62" s="247">
        <f t="shared" si="58"/>
        <v>0.86960000015783878</v>
      </c>
      <c r="Y62" s="247">
        <f t="shared" si="58"/>
        <v>0.86993603411513865</v>
      </c>
      <c r="Z62" s="247">
        <f t="shared" si="58"/>
        <v>0.38936627282491942</v>
      </c>
      <c r="AA62" s="247">
        <f t="shared" si="58"/>
        <v>0.8282971916103804</v>
      </c>
      <c r="AB62" s="247">
        <f t="shared" si="58"/>
        <v>0.8281687819350585</v>
      </c>
      <c r="AC62" s="247">
        <f>IFERROR(AC47/AC26,0)</f>
        <v>0.82819750148721005</v>
      </c>
      <c r="AD62" s="247">
        <f>IFERROR(AD47/AD26,0)</f>
        <v>0.82839152047613229</v>
      </c>
      <c r="AE62" s="236"/>
      <c r="AF62" s="236"/>
    </row>
    <row r="63" spans="1:34" ht="13.9" thickTop="1">
      <c r="C63" s="241"/>
      <c r="D63" s="242"/>
      <c r="E63" s="242"/>
      <c r="F63" s="242"/>
      <c r="G63" s="242"/>
      <c r="H63" s="242"/>
      <c r="I63" s="241"/>
      <c r="J63" s="241"/>
      <c r="K63" s="242"/>
      <c r="L63" s="242"/>
      <c r="M63" s="241"/>
      <c r="N63" s="241"/>
      <c r="O63" s="241"/>
      <c r="P63" s="241"/>
      <c r="Q63" s="236"/>
      <c r="R63" s="241"/>
      <c r="S63" s="241"/>
      <c r="T63" s="241"/>
      <c r="U63" s="241"/>
      <c r="V63" s="244"/>
      <c r="W63" s="241"/>
      <c r="X63" s="241"/>
      <c r="Y63" s="241"/>
      <c r="Z63" s="241"/>
      <c r="AA63" s="241"/>
      <c r="AB63" s="241"/>
      <c r="AC63" s="241"/>
      <c r="AD63" s="241"/>
      <c r="AE63" s="236"/>
      <c r="AF63" s="236"/>
    </row>
    <row r="64" spans="1:34" ht="13.5">
      <c r="C64" s="241"/>
      <c r="D64" s="242"/>
      <c r="E64" s="242"/>
      <c r="F64" s="242"/>
      <c r="G64" s="242"/>
      <c r="H64" s="242"/>
      <c r="I64" s="241"/>
      <c r="J64" s="241"/>
      <c r="K64" s="242"/>
      <c r="L64" s="242"/>
      <c r="M64" s="241"/>
      <c r="N64" s="241"/>
      <c r="O64" s="241"/>
      <c r="P64" s="241"/>
      <c r="Q64" s="248"/>
      <c r="R64" s="241"/>
      <c r="S64" s="241"/>
      <c r="T64" s="241"/>
      <c r="U64" s="241"/>
      <c r="V64" s="244"/>
      <c r="W64" s="241"/>
      <c r="X64" s="241"/>
      <c r="Y64" s="241"/>
      <c r="Z64" s="241"/>
      <c r="AA64" s="241"/>
      <c r="AB64" s="241"/>
      <c r="AC64" s="241"/>
      <c r="AD64" s="241"/>
      <c r="AE64" s="236"/>
      <c r="AF64" s="236"/>
    </row>
    <row r="65" spans="3:32" ht="13.5">
      <c r="C65" s="241"/>
      <c r="D65" s="242"/>
      <c r="E65" s="242"/>
      <c r="F65" s="242"/>
      <c r="G65" s="242"/>
      <c r="H65" s="242"/>
      <c r="I65" s="241"/>
      <c r="J65" s="241"/>
      <c r="K65" s="242"/>
      <c r="L65" s="242"/>
      <c r="M65" s="241"/>
      <c r="N65" s="241"/>
      <c r="O65" s="241"/>
      <c r="P65" s="241"/>
      <c r="Q65" s="248"/>
      <c r="R65" s="241"/>
      <c r="S65" s="241"/>
      <c r="T65" s="241"/>
      <c r="U65" s="241"/>
      <c r="V65" s="244"/>
      <c r="W65" s="241"/>
      <c r="X65" s="241"/>
      <c r="Y65" s="241"/>
      <c r="Z65" s="241"/>
      <c r="AA65" s="241"/>
      <c r="AB65" s="241"/>
      <c r="AC65" s="241"/>
      <c r="AD65" s="241"/>
      <c r="AE65" s="236"/>
      <c r="AF65" s="236"/>
    </row>
    <row r="66" spans="3:32" ht="13.5">
      <c r="C66" s="241"/>
      <c r="D66" s="242"/>
      <c r="E66" s="242"/>
      <c r="F66" s="242"/>
      <c r="G66" s="242"/>
      <c r="H66" s="242"/>
      <c r="I66" s="241"/>
      <c r="J66" s="241"/>
      <c r="K66" s="242"/>
      <c r="L66" s="242"/>
      <c r="M66" s="241"/>
      <c r="N66" s="241"/>
      <c r="O66" s="241"/>
      <c r="P66" s="242"/>
      <c r="Q66" s="247"/>
      <c r="R66" s="241"/>
      <c r="S66" s="241"/>
      <c r="T66" s="241"/>
      <c r="U66" s="241"/>
      <c r="V66" s="244"/>
      <c r="W66" s="241"/>
      <c r="X66" s="241"/>
      <c r="Y66" s="241"/>
      <c r="Z66" s="241"/>
      <c r="AA66" s="241"/>
      <c r="AB66" s="241"/>
      <c r="AC66" s="241"/>
      <c r="AD66" s="241"/>
      <c r="AE66" s="236"/>
      <c r="AF66" s="236"/>
    </row>
    <row r="67" spans="3:32" ht="13.5">
      <c r="C67" s="241"/>
      <c r="D67" s="242"/>
      <c r="E67" s="242"/>
      <c r="F67" s="242"/>
      <c r="G67" s="242"/>
      <c r="H67" s="242"/>
      <c r="I67" s="241"/>
      <c r="J67" s="241"/>
      <c r="K67" s="242"/>
      <c r="L67" s="242"/>
      <c r="M67" s="241"/>
      <c r="N67" s="241"/>
      <c r="O67" s="241"/>
      <c r="P67" s="241"/>
      <c r="Q67" s="236"/>
      <c r="R67" s="241"/>
      <c r="S67" s="241"/>
      <c r="T67" s="241"/>
      <c r="U67" s="241"/>
      <c r="V67" s="244"/>
      <c r="W67" s="241"/>
      <c r="X67" s="241"/>
      <c r="Y67" s="241"/>
      <c r="Z67" s="241"/>
      <c r="AA67" s="241"/>
      <c r="AB67" s="241"/>
      <c r="AC67" s="241"/>
      <c r="AD67" s="241"/>
      <c r="AE67" s="236"/>
      <c r="AF67" s="236"/>
    </row>
    <row r="68" spans="3:32" ht="13.5">
      <c r="C68" s="241"/>
      <c r="D68" s="242"/>
      <c r="E68" s="242"/>
      <c r="F68" s="242"/>
      <c r="G68" s="242"/>
      <c r="H68" s="242"/>
      <c r="I68" s="241"/>
      <c r="J68" s="241"/>
      <c r="K68" s="242"/>
      <c r="L68" s="242"/>
      <c r="M68" s="241"/>
      <c r="N68" s="241"/>
      <c r="O68" s="241"/>
      <c r="P68" s="241"/>
      <c r="Q68" s="236"/>
      <c r="R68" s="241"/>
      <c r="S68" s="241"/>
      <c r="T68" s="241"/>
      <c r="U68" s="241"/>
      <c r="V68" s="244"/>
      <c r="W68" s="241"/>
      <c r="X68" s="241"/>
      <c r="Y68" s="241"/>
      <c r="Z68" s="241"/>
      <c r="AA68" s="241"/>
      <c r="AB68" s="241"/>
      <c r="AC68" s="241"/>
      <c r="AD68" s="241"/>
      <c r="AE68" s="236"/>
      <c r="AF68" s="236"/>
    </row>
    <row r="69" spans="3:32" ht="13.5">
      <c r="C69" s="241"/>
      <c r="D69" s="242"/>
      <c r="E69" s="242"/>
      <c r="F69" s="242"/>
      <c r="G69" s="242"/>
      <c r="H69" s="242"/>
      <c r="I69" s="241"/>
      <c r="J69" s="241"/>
      <c r="K69" s="242"/>
      <c r="L69" s="242"/>
      <c r="M69" s="241"/>
      <c r="N69" s="241"/>
      <c r="O69" s="241"/>
      <c r="P69" s="241"/>
      <c r="Q69" s="236"/>
      <c r="R69" s="241"/>
      <c r="S69" s="241"/>
      <c r="T69" s="241"/>
      <c r="U69" s="241"/>
      <c r="V69" s="244"/>
      <c r="W69" s="241"/>
      <c r="X69" s="241"/>
      <c r="Y69" s="241"/>
      <c r="Z69" s="241"/>
      <c r="AA69" s="241"/>
      <c r="AB69" s="241"/>
      <c r="AC69" s="241"/>
      <c r="AD69" s="241"/>
      <c r="AE69" s="236"/>
      <c r="AF69" s="236"/>
    </row>
    <row r="70" spans="3:32" ht="13.5">
      <c r="C70" s="241"/>
      <c r="D70" s="242"/>
      <c r="E70" s="242"/>
      <c r="F70" s="242"/>
      <c r="G70" s="242"/>
      <c r="H70" s="242"/>
      <c r="I70" s="241"/>
      <c r="J70" s="241"/>
      <c r="K70" s="242"/>
      <c r="L70" s="242"/>
      <c r="M70" s="241"/>
      <c r="N70" s="241"/>
      <c r="O70" s="241"/>
      <c r="P70" s="241"/>
      <c r="Q70" s="236"/>
      <c r="R70" s="241"/>
      <c r="S70" s="241"/>
      <c r="T70" s="241"/>
      <c r="U70" s="241"/>
      <c r="V70" s="244"/>
      <c r="W70" s="241"/>
      <c r="X70" s="241"/>
      <c r="Y70" s="241"/>
      <c r="Z70" s="241"/>
      <c r="AA70" s="241"/>
      <c r="AB70" s="241"/>
      <c r="AC70" s="241"/>
      <c r="AD70" s="241"/>
      <c r="AE70" s="236"/>
      <c r="AF70" s="236"/>
    </row>
    <row r="71" spans="3:32" ht="13.5">
      <c r="C71" s="241"/>
      <c r="D71" s="242"/>
      <c r="E71" s="242"/>
      <c r="F71" s="242"/>
      <c r="G71" s="242"/>
      <c r="H71" s="242"/>
      <c r="I71" s="241"/>
      <c r="J71" s="241"/>
      <c r="K71" s="242"/>
      <c r="L71" s="242"/>
      <c r="M71" s="241"/>
      <c r="N71" s="241"/>
      <c r="O71" s="241"/>
      <c r="P71" s="241"/>
      <c r="Q71" s="236"/>
      <c r="R71" s="241"/>
      <c r="S71" s="241"/>
      <c r="T71" s="241"/>
      <c r="U71" s="241"/>
      <c r="V71" s="244"/>
      <c r="W71" s="241"/>
      <c r="X71" s="241"/>
      <c r="Y71" s="241"/>
      <c r="Z71" s="241"/>
      <c r="AA71" s="241"/>
      <c r="AB71" s="241"/>
      <c r="AC71" s="241"/>
      <c r="AD71" s="241"/>
      <c r="AE71" s="236"/>
      <c r="AF71" s="236"/>
    </row>
    <row r="72" spans="3:32" ht="13.5">
      <c r="C72" s="241"/>
      <c r="D72" s="242"/>
      <c r="E72" s="242"/>
      <c r="F72" s="242"/>
      <c r="G72" s="242"/>
      <c r="H72" s="242"/>
      <c r="I72" s="241"/>
      <c r="J72" s="241"/>
      <c r="K72" s="242"/>
      <c r="L72" s="242"/>
      <c r="M72" s="241"/>
      <c r="N72" s="241"/>
      <c r="O72" s="241"/>
      <c r="P72" s="241"/>
      <c r="Q72" s="236"/>
      <c r="R72" s="241"/>
      <c r="S72" s="241"/>
      <c r="T72" s="241"/>
      <c r="U72" s="241"/>
      <c r="V72" s="244"/>
      <c r="W72" s="241"/>
      <c r="X72" s="241"/>
      <c r="Y72" s="241"/>
      <c r="Z72" s="241"/>
      <c r="AA72" s="241"/>
      <c r="AB72" s="241"/>
      <c r="AC72" s="241"/>
      <c r="AD72" s="241"/>
      <c r="AE72" s="236"/>
      <c r="AF72" s="236"/>
    </row>
    <row r="73" spans="3:32" ht="13.5">
      <c r="C73" s="241"/>
      <c r="D73" s="242"/>
      <c r="E73" s="242"/>
      <c r="F73" s="242"/>
      <c r="G73" s="242"/>
      <c r="H73" s="242"/>
      <c r="I73" s="241"/>
      <c r="J73" s="241"/>
      <c r="K73" s="242"/>
      <c r="L73" s="242"/>
      <c r="M73" s="241"/>
      <c r="N73" s="241"/>
      <c r="O73" s="241"/>
      <c r="P73" s="241"/>
      <c r="Q73" s="236"/>
      <c r="R73" s="241"/>
      <c r="S73" s="241"/>
      <c r="T73" s="241"/>
      <c r="U73" s="241"/>
      <c r="V73" s="244"/>
      <c r="W73" s="241"/>
      <c r="X73" s="241"/>
      <c r="Y73" s="241"/>
      <c r="Z73" s="241"/>
      <c r="AA73" s="241"/>
      <c r="AB73" s="241"/>
      <c r="AC73" s="241"/>
      <c r="AD73" s="241"/>
      <c r="AE73" s="236"/>
      <c r="AF73" s="236"/>
    </row>
    <row r="74" spans="3:32" ht="13.5">
      <c r="C74" s="241"/>
      <c r="D74" s="242"/>
      <c r="E74" s="242"/>
      <c r="F74" s="242"/>
      <c r="G74" s="242"/>
      <c r="H74" s="242"/>
      <c r="I74" s="241"/>
      <c r="J74" s="241"/>
      <c r="K74" s="242"/>
      <c r="L74" s="242"/>
      <c r="M74" s="241"/>
      <c r="N74" s="241"/>
      <c r="O74" s="241"/>
      <c r="P74" s="241"/>
      <c r="Q74" s="236"/>
      <c r="R74" s="241"/>
      <c r="S74" s="241"/>
      <c r="T74" s="241"/>
      <c r="U74" s="241"/>
      <c r="V74" s="244"/>
      <c r="W74" s="241"/>
      <c r="X74" s="241"/>
      <c r="Y74" s="241"/>
      <c r="Z74" s="241"/>
      <c r="AA74" s="241"/>
      <c r="AB74" s="241"/>
      <c r="AC74" s="241"/>
      <c r="AD74" s="241"/>
      <c r="AE74" s="236"/>
      <c r="AF74" s="236"/>
    </row>
    <row r="75" spans="3:32" ht="13.5">
      <c r="C75" s="241"/>
      <c r="D75" s="242"/>
      <c r="E75" s="242"/>
      <c r="F75" s="242"/>
      <c r="G75" s="242"/>
      <c r="H75" s="242"/>
      <c r="I75" s="241"/>
      <c r="J75" s="241"/>
      <c r="K75" s="242"/>
      <c r="L75" s="242"/>
      <c r="M75" s="241"/>
      <c r="N75" s="241"/>
      <c r="O75" s="241"/>
      <c r="P75" s="241"/>
      <c r="Q75" s="236"/>
      <c r="R75" s="241"/>
      <c r="S75" s="241"/>
      <c r="T75" s="241"/>
      <c r="U75" s="241"/>
      <c r="V75" s="244"/>
      <c r="W75" s="241"/>
      <c r="X75" s="241"/>
      <c r="Y75" s="241"/>
      <c r="Z75" s="241"/>
      <c r="AA75" s="241"/>
      <c r="AB75" s="241"/>
      <c r="AC75" s="241"/>
      <c r="AD75" s="241"/>
      <c r="AE75" s="236"/>
      <c r="AF75" s="236"/>
    </row>
    <row r="76" spans="3:32" ht="13.5">
      <c r="C76" s="241"/>
      <c r="D76" s="242"/>
      <c r="E76" s="242"/>
      <c r="F76" s="242"/>
      <c r="G76" s="242"/>
      <c r="H76" s="242"/>
      <c r="I76" s="241"/>
      <c r="J76" s="241"/>
      <c r="K76" s="242"/>
      <c r="L76" s="242"/>
      <c r="M76" s="241"/>
      <c r="N76" s="241"/>
      <c r="O76" s="241"/>
      <c r="P76" s="241"/>
      <c r="Q76" s="236"/>
      <c r="R76" s="241"/>
      <c r="S76" s="241"/>
      <c r="T76" s="241"/>
      <c r="U76" s="241"/>
      <c r="V76" s="244"/>
      <c r="W76" s="241"/>
      <c r="X76" s="241"/>
      <c r="Y76" s="241"/>
      <c r="Z76" s="241"/>
      <c r="AA76" s="241"/>
      <c r="AB76" s="241"/>
      <c r="AC76" s="241"/>
      <c r="AD76" s="241"/>
      <c r="AE76" s="236"/>
      <c r="AF76" s="236"/>
    </row>
    <row r="77" spans="3:32" ht="13.5">
      <c r="C77" s="241"/>
      <c r="D77" s="242"/>
      <c r="E77" s="242"/>
      <c r="F77" s="242"/>
      <c r="G77" s="242"/>
      <c r="H77" s="242"/>
      <c r="I77" s="241"/>
      <c r="J77" s="241"/>
      <c r="K77" s="242"/>
      <c r="L77" s="242"/>
      <c r="M77" s="241"/>
      <c r="N77" s="241"/>
      <c r="O77" s="241"/>
      <c r="P77" s="241"/>
      <c r="Q77" s="236"/>
      <c r="R77" s="241"/>
      <c r="S77" s="241"/>
      <c r="T77" s="241"/>
      <c r="U77" s="241"/>
      <c r="V77" s="244"/>
      <c r="W77" s="241"/>
      <c r="X77" s="241"/>
      <c r="Y77" s="241"/>
      <c r="Z77" s="241"/>
      <c r="AA77" s="241"/>
      <c r="AB77" s="241"/>
      <c r="AC77" s="241"/>
      <c r="AD77" s="241"/>
      <c r="AE77" s="236"/>
      <c r="AF77" s="236"/>
    </row>
    <row r="78" spans="3:32" ht="13.5">
      <c r="C78" s="241"/>
      <c r="D78" s="242"/>
      <c r="E78" s="242"/>
      <c r="F78" s="242"/>
      <c r="G78" s="242"/>
      <c r="H78" s="242"/>
      <c r="I78" s="241"/>
      <c r="J78" s="241"/>
      <c r="K78" s="242"/>
      <c r="L78" s="242"/>
      <c r="M78" s="241"/>
      <c r="N78" s="241"/>
      <c r="O78" s="241"/>
      <c r="P78" s="241"/>
      <c r="Q78" s="236"/>
      <c r="R78" s="241"/>
      <c r="S78" s="241"/>
      <c r="T78" s="241"/>
      <c r="U78" s="241"/>
      <c r="V78" s="244"/>
      <c r="W78" s="241"/>
      <c r="X78" s="241"/>
      <c r="Y78" s="241"/>
      <c r="Z78" s="241"/>
      <c r="AA78" s="241"/>
      <c r="AB78" s="241"/>
      <c r="AC78" s="241"/>
      <c r="AD78" s="241"/>
      <c r="AE78" s="236"/>
      <c r="AF78" s="236"/>
    </row>
    <row r="79" spans="3:32" ht="13.5">
      <c r="C79" s="241"/>
      <c r="D79" s="242"/>
      <c r="E79" s="242"/>
      <c r="F79" s="242"/>
      <c r="G79" s="242"/>
      <c r="H79" s="242"/>
      <c r="I79" s="241"/>
      <c r="J79" s="241"/>
      <c r="K79" s="242"/>
      <c r="L79" s="242"/>
      <c r="M79" s="241"/>
      <c r="N79" s="241"/>
      <c r="O79" s="241"/>
      <c r="P79" s="241"/>
      <c r="Q79" s="236"/>
      <c r="R79" s="241"/>
      <c r="S79" s="241"/>
      <c r="T79" s="241"/>
      <c r="U79" s="241"/>
      <c r="V79" s="244"/>
      <c r="W79" s="241"/>
      <c r="X79" s="241"/>
      <c r="Y79" s="241"/>
      <c r="Z79" s="241"/>
      <c r="AA79" s="241"/>
      <c r="AB79" s="241"/>
      <c r="AC79" s="241"/>
      <c r="AD79" s="241"/>
      <c r="AE79" s="236"/>
      <c r="AF79" s="236"/>
    </row>
    <row r="80" spans="3:32" ht="13.5">
      <c r="C80" s="241"/>
      <c r="D80" s="242"/>
      <c r="E80" s="242"/>
      <c r="F80" s="242"/>
      <c r="G80" s="242"/>
      <c r="H80" s="242"/>
      <c r="I80" s="241"/>
      <c r="J80" s="241"/>
      <c r="K80" s="242"/>
      <c r="L80" s="242"/>
      <c r="M80" s="241"/>
      <c r="N80" s="241"/>
      <c r="O80" s="241"/>
      <c r="P80" s="241"/>
      <c r="Q80" s="236"/>
      <c r="R80" s="241"/>
      <c r="S80" s="241"/>
      <c r="T80" s="241"/>
      <c r="U80" s="241"/>
      <c r="V80" s="244"/>
      <c r="W80" s="241"/>
      <c r="X80" s="241"/>
      <c r="Y80" s="241"/>
      <c r="Z80" s="241"/>
      <c r="AA80" s="241"/>
      <c r="AB80" s="241"/>
      <c r="AC80" s="241"/>
      <c r="AD80" s="241"/>
      <c r="AE80" s="236"/>
      <c r="AF80" s="236"/>
    </row>
    <row r="81" spans="3:32" ht="13.5">
      <c r="C81" s="241"/>
      <c r="D81" s="242"/>
      <c r="E81" s="242"/>
      <c r="F81" s="242"/>
      <c r="G81" s="242"/>
      <c r="H81" s="242"/>
      <c r="I81" s="241"/>
      <c r="J81" s="241"/>
      <c r="K81" s="242"/>
      <c r="L81" s="242"/>
      <c r="M81" s="241"/>
      <c r="N81" s="241"/>
      <c r="O81" s="241"/>
      <c r="P81" s="241"/>
      <c r="Q81" s="236"/>
      <c r="R81" s="241"/>
      <c r="S81" s="241"/>
      <c r="T81" s="241"/>
      <c r="U81" s="241"/>
      <c r="V81" s="244"/>
      <c r="W81" s="241"/>
      <c r="X81" s="241"/>
      <c r="Y81" s="241"/>
      <c r="Z81" s="241"/>
      <c r="AA81" s="241"/>
      <c r="AB81" s="241"/>
      <c r="AC81" s="241"/>
      <c r="AD81" s="241"/>
      <c r="AE81" s="236"/>
      <c r="AF81" s="236"/>
    </row>
    <row r="82" spans="3:32" ht="13.5">
      <c r="C82" s="241"/>
      <c r="D82" s="242"/>
      <c r="E82" s="242"/>
      <c r="F82" s="242"/>
      <c r="G82" s="242"/>
      <c r="H82" s="242"/>
      <c r="I82" s="241"/>
      <c r="J82" s="241"/>
      <c r="K82" s="242"/>
      <c r="L82" s="242"/>
      <c r="M82" s="241"/>
      <c r="N82" s="241"/>
      <c r="O82" s="241"/>
      <c r="P82" s="241"/>
      <c r="Q82" s="236"/>
      <c r="R82" s="241"/>
      <c r="S82" s="241"/>
      <c r="T82" s="241"/>
      <c r="U82" s="241"/>
      <c r="V82" s="244"/>
      <c r="W82" s="241"/>
      <c r="X82" s="241"/>
      <c r="Y82" s="241"/>
      <c r="Z82" s="241"/>
      <c r="AA82" s="241"/>
      <c r="AB82" s="241"/>
      <c r="AC82" s="241"/>
      <c r="AD82" s="241"/>
      <c r="AE82" s="236"/>
      <c r="AF82" s="236"/>
    </row>
    <row r="83" spans="3:32" ht="13.5">
      <c r="C83" s="241"/>
      <c r="D83" s="242"/>
      <c r="E83" s="242"/>
      <c r="F83" s="242"/>
      <c r="G83" s="242"/>
      <c r="H83" s="242"/>
      <c r="I83" s="241"/>
      <c r="J83" s="241"/>
      <c r="K83" s="242"/>
      <c r="L83" s="242"/>
      <c r="M83" s="241"/>
      <c r="N83" s="241"/>
      <c r="O83" s="241"/>
      <c r="P83" s="241"/>
      <c r="Q83" s="236"/>
      <c r="R83" s="241"/>
      <c r="S83" s="241"/>
      <c r="T83" s="241"/>
      <c r="U83" s="241"/>
      <c r="V83" s="244"/>
      <c r="W83" s="241"/>
      <c r="X83" s="241"/>
      <c r="Y83" s="241"/>
      <c r="Z83" s="241"/>
      <c r="AA83" s="241"/>
      <c r="AB83" s="241"/>
      <c r="AC83" s="241"/>
      <c r="AD83" s="241"/>
      <c r="AE83" s="236"/>
      <c r="AF83" s="236"/>
    </row>
    <row r="84" spans="3:32" ht="13.5">
      <c r="C84" s="241"/>
      <c r="D84" s="242"/>
      <c r="E84" s="242"/>
      <c r="F84" s="242"/>
      <c r="G84" s="242"/>
      <c r="H84" s="242"/>
      <c r="I84" s="241"/>
      <c r="J84" s="241"/>
      <c r="K84" s="241"/>
      <c r="L84" s="241"/>
      <c r="M84" s="241"/>
      <c r="N84" s="241"/>
      <c r="O84" s="241"/>
      <c r="P84" s="241"/>
      <c r="Q84" s="236"/>
      <c r="R84" s="241"/>
      <c r="S84" s="241"/>
      <c r="T84" s="241"/>
      <c r="U84" s="241"/>
      <c r="V84" s="244"/>
      <c r="W84" s="241"/>
      <c r="X84" s="241"/>
      <c r="Y84" s="241"/>
      <c r="Z84" s="241"/>
      <c r="AA84" s="241"/>
      <c r="AB84" s="241"/>
      <c r="AC84" s="241"/>
      <c r="AD84" s="241"/>
      <c r="AE84" s="236"/>
      <c r="AF84" s="236"/>
    </row>
    <row r="85" spans="3:32" ht="13.5">
      <c r="C85" s="241"/>
      <c r="D85" s="242"/>
      <c r="E85" s="242"/>
      <c r="F85" s="242"/>
      <c r="G85" s="242"/>
      <c r="H85" s="242"/>
      <c r="I85" s="241"/>
      <c r="J85" s="241"/>
      <c r="K85" s="241"/>
      <c r="L85" s="241"/>
      <c r="M85" s="241"/>
      <c r="N85" s="241"/>
      <c r="O85" s="241"/>
      <c r="P85" s="241"/>
      <c r="Q85" s="236"/>
      <c r="R85" s="241"/>
      <c r="S85" s="241"/>
      <c r="T85" s="241"/>
      <c r="U85" s="241"/>
      <c r="V85" s="244"/>
      <c r="W85" s="241"/>
      <c r="X85" s="241"/>
      <c r="Y85" s="241"/>
      <c r="Z85" s="241"/>
      <c r="AA85" s="241"/>
      <c r="AB85" s="241"/>
      <c r="AC85" s="241"/>
      <c r="AD85" s="241"/>
      <c r="AE85" s="236"/>
      <c r="AF85" s="236"/>
    </row>
    <row r="86" spans="3:32" ht="13.5">
      <c r="C86" s="241"/>
      <c r="D86" s="242"/>
      <c r="E86" s="242"/>
      <c r="F86" s="242"/>
      <c r="G86" s="242"/>
      <c r="H86" s="242"/>
      <c r="I86" s="241"/>
      <c r="J86" s="241"/>
      <c r="K86" s="241"/>
      <c r="L86" s="241"/>
      <c r="M86" s="241"/>
      <c r="N86" s="241"/>
      <c r="O86" s="241"/>
      <c r="P86" s="241"/>
      <c r="Q86" s="236"/>
      <c r="R86" s="241"/>
      <c r="S86" s="241"/>
      <c r="T86" s="241"/>
      <c r="U86" s="241"/>
      <c r="V86" s="244"/>
      <c r="W86" s="241"/>
      <c r="X86" s="241"/>
      <c r="Y86" s="241"/>
      <c r="Z86" s="241"/>
      <c r="AA86" s="241"/>
      <c r="AB86" s="241"/>
      <c r="AC86" s="241"/>
      <c r="AD86" s="241"/>
      <c r="AE86" s="236"/>
      <c r="AF86" s="236"/>
    </row>
    <row r="87" spans="3:32" ht="13.5">
      <c r="C87" s="241"/>
      <c r="D87" s="242"/>
      <c r="E87" s="242"/>
      <c r="F87" s="242"/>
      <c r="G87" s="242"/>
      <c r="H87" s="242"/>
      <c r="I87" s="241"/>
      <c r="J87" s="241"/>
      <c r="K87" s="241"/>
      <c r="L87" s="241"/>
      <c r="M87" s="241"/>
      <c r="N87" s="241"/>
      <c r="O87" s="241"/>
      <c r="P87" s="241"/>
      <c r="Q87" s="236"/>
      <c r="R87" s="241"/>
      <c r="S87" s="241"/>
      <c r="T87" s="241"/>
      <c r="U87" s="241"/>
      <c r="V87" s="244"/>
      <c r="W87" s="241"/>
      <c r="X87" s="241"/>
      <c r="Y87" s="241"/>
      <c r="Z87" s="241"/>
      <c r="AA87" s="241"/>
      <c r="AB87" s="241"/>
      <c r="AC87" s="241"/>
      <c r="AD87" s="241"/>
      <c r="AE87" s="236"/>
      <c r="AF87" s="236"/>
    </row>
    <row r="88" spans="3:32" ht="13.5">
      <c r="C88" s="241"/>
      <c r="D88" s="242"/>
      <c r="E88" s="242"/>
      <c r="F88" s="242"/>
      <c r="G88" s="242"/>
      <c r="H88" s="242"/>
      <c r="I88" s="241"/>
      <c r="J88" s="241"/>
      <c r="K88" s="241"/>
      <c r="L88" s="241"/>
      <c r="M88" s="241"/>
      <c r="N88" s="241"/>
      <c r="O88" s="241"/>
      <c r="P88" s="241"/>
      <c r="Q88" s="236"/>
      <c r="R88" s="241"/>
      <c r="S88" s="241"/>
      <c r="T88" s="241"/>
      <c r="U88" s="241"/>
      <c r="V88" s="244"/>
      <c r="W88" s="241"/>
      <c r="X88" s="241"/>
      <c r="Y88" s="241"/>
      <c r="Z88" s="241"/>
      <c r="AA88" s="241"/>
      <c r="AB88" s="241"/>
      <c r="AC88" s="241"/>
      <c r="AD88" s="241"/>
      <c r="AE88" s="236"/>
      <c r="AF88" s="236"/>
    </row>
    <row r="89" spans="3:32" ht="13.5">
      <c r="C89" s="241"/>
      <c r="D89" s="242"/>
      <c r="E89" s="242"/>
      <c r="F89" s="242"/>
      <c r="G89" s="242"/>
      <c r="H89" s="242"/>
      <c r="I89" s="241"/>
      <c r="J89" s="241"/>
      <c r="K89" s="241"/>
      <c r="L89" s="241"/>
      <c r="M89" s="241"/>
      <c r="N89" s="241"/>
      <c r="O89" s="241"/>
      <c r="P89" s="241"/>
      <c r="Q89" s="236"/>
      <c r="R89" s="241"/>
      <c r="S89" s="241"/>
      <c r="T89" s="241"/>
      <c r="U89" s="241"/>
      <c r="V89" s="244"/>
      <c r="W89" s="241"/>
      <c r="X89" s="241"/>
      <c r="Y89" s="241"/>
      <c r="Z89" s="241"/>
      <c r="AA89" s="241"/>
      <c r="AB89" s="241"/>
      <c r="AC89" s="241"/>
      <c r="AD89" s="241"/>
      <c r="AE89" s="236"/>
      <c r="AF89" s="236"/>
    </row>
    <row r="90" spans="3:32" ht="13.5">
      <c r="C90" s="241"/>
      <c r="D90" s="242"/>
      <c r="E90" s="242"/>
      <c r="F90" s="242"/>
      <c r="G90" s="242"/>
      <c r="H90" s="242"/>
      <c r="I90" s="241"/>
      <c r="J90" s="241"/>
      <c r="K90" s="241"/>
      <c r="L90" s="241"/>
      <c r="M90" s="241"/>
      <c r="N90" s="241"/>
      <c r="O90" s="241"/>
      <c r="P90" s="241"/>
      <c r="Q90" s="236"/>
      <c r="R90" s="241"/>
      <c r="S90" s="241"/>
      <c r="T90" s="241"/>
      <c r="U90" s="241"/>
      <c r="V90" s="244"/>
      <c r="W90" s="241"/>
      <c r="X90" s="241"/>
      <c r="Y90" s="241"/>
      <c r="Z90" s="241"/>
      <c r="AA90" s="241"/>
      <c r="AB90" s="241"/>
      <c r="AC90" s="241"/>
      <c r="AD90" s="241"/>
      <c r="AE90" s="236"/>
      <c r="AF90" s="236"/>
    </row>
    <row r="91" spans="3:32" ht="13.5">
      <c r="C91" s="241"/>
      <c r="D91" s="242"/>
      <c r="E91" s="242"/>
      <c r="F91" s="242"/>
      <c r="G91" s="242"/>
      <c r="H91" s="242"/>
      <c r="I91" s="241"/>
      <c r="J91" s="241"/>
      <c r="K91" s="241"/>
      <c r="L91" s="241"/>
      <c r="M91" s="241"/>
      <c r="N91" s="241"/>
      <c r="O91" s="241"/>
      <c r="P91" s="241"/>
      <c r="Q91" s="236"/>
      <c r="R91" s="241"/>
      <c r="S91" s="241"/>
      <c r="T91" s="241"/>
      <c r="U91" s="241"/>
      <c r="V91" s="244"/>
      <c r="W91" s="241"/>
      <c r="X91" s="241"/>
      <c r="Y91" s="241"/>
      <c r="Z91" s="241"/>
      <c r="AA91" s="241"/>
      <c r="AB91" s="241"/>
      <c r="AC91" s="241"/>
      <c r="AD91" s="241"/>
      <c r="AE91" s="236"/>
      <c r="AF91" s="236"/>
    </row>
    <row r="92" spans="3:32" ht="13.5">
      <c r="C92" s="241"/>
      <c r="D92" s="242"/>
      <c r="E92" s="242"/>
      <c r="F92" s="242"/>
      <c r="G92" s="242"/>
      <c r="H92" s="242"/>
      <c r="I92" s="241"/>
      <c r="J92" s="241"/>
      <c r="K92" s="241"/>
      <c r="L92" s="241"/>
      <c r="M92" s="241"/>
      <c r="N92" s="241"/>
      <c r="O92" s="241"/>
      <c r="P92" s="241"/>
      <c r="Q92" s="236"/>
      <c r="R92" s="241"/>
      <c r="S92" s="241"/>
      <c r="T92" s="241"/>
      <c r="U92" s="241"/>
      <c r="V92" s="244"/>
      <c r="W92" s="241"/>
      <c r="X92" s="241"/>
      <c r="Y92" s="241"/>
      <c r="Z92" s="241"/>
      <c r="AA92" s="241"/>
      <c r="AB92" s="241"/>
      <c r="AC92" s="241"/>
      <c r="AD92" s="241"/>
      <c r="AE92" s="236"/>
      <c r="AF92" s="236"/>
    </row>
    <row r="93" spans="3:32" ht="13.5">
      <c r="C93" s="241"/>
      <c r="D93" s="242"/>
      <c r="E93" s="242"/>
      <c r="F93" s="242"/>
      <c r="G93" s="242"/>
      <c r="H93" s="242"/>
      <c r="I93" s="241"/>
      <c r="J93" s="241"/>
      <c r="K93" s="241"/>
      <c r="L93" s="241"/>
      <c r="M93" s="241"/>
      <c r="N93" s="241"/>
      <c r="O93" s="241"/>
      <c r="P93" s="241"/>
      <c r="Q93" s="236"/>
      <c r="R93" s="241"/>
      <c r="S93" s="241"/>
      <c r="T93" s="241"/>
      <c r="U93" s="241"/>
      <c r="V93" s="244"/>
      <c r="W93" s="241"/>
      <c r="X93" s="241"/>
      <c r="Y93" s="241"/>
      <c r="Z93" s="241"/>
      <c r="AA93" s="241"/>
      <c r="AB93" s="241"/>
      <c r="AC93" s="241"/>
      <c r="AD93" s="241"/>
      <c r="AE93" s="236"/>
      <c r="AF93" s="236"/>
    </row>
    <row r="94" spans="3:32" ht="13.5">
      <c r="C94" s="241"/>
      <c r="D94" s="242"/>
      <c r="E94" s="242"/>
      <c r="F94" s="242"/>
      <c r="G94" s="242"/>
      <c r="H94" s="242"/>
      <c r="I94" s="241"/>
      <c r="J94" s="241"/>
      <c r="K94" s="241"/>
      <c r="L94" s="241"/>
      <c r="M94" s="241"/>
      <c r="N94" s="241"/>
      <c r="O94" s="241"/>
      <c r="P94" s="241"/>
      <c r="Q94" s="236"/>
      <c r="R94" s="241"/>
      <c r="S94" s="241"/>
      <c r="T94" s="241"/>
      <c r="U94" s="241"/>
      <c r="V94" s="244"/>
      <c r="W94" s="241"/>
      <c r="X94" s="241"/>
      <c r="Y94" s="241"/>
      <c r="Z94" s="241"/>
      <c r="AA94" s="241"/>
      <c r="AB94" s="241"/>
      <c r="AC94" s="241"/>
      <c r="AD94" s="241"/>
      <c r="AE94" s="236"/>
      <c r="AF94" s="236"/>
    </row>
    <row r="95" spans="3:32" ht="13.5">
      <c r="C95" s="241"/>
      <c r="D95" s="242"/>
      <c r="E95" s="242"/>
      <c r="F95" s="242"/>
      <c r="G95" s="242"/>
      <c r="H95" s="242"/>
      <c r="I95" s="241"/>
      <c r="J95" s="241"/>
      <c r="K95" s="241"/>
      <c r="L95" s="241"/>
      <c r="M95" s="241"/>
      <c r="N95" s="241"/>
      <c r="O95" s="241"/>
      <c r="P95" s="241"/>
      <c r="Q95" s="236"/>
      <c r="R95" s="241"/>
      <c r="S95" s="241"/>
      <c r="T95" s="241"/>
      <c r="U95" s="241"/>
      <c r="V95" s="244"/>
      <c r="W95" s="241"/>
      <c r="X95" s="241"/>
      <c r="Y95" s="241"/>
      <c r="Z95" s="241"/>
      <c r="AA95" s="241"/>
      <c r="AB95" s="241"/>
      <c r="AC95" s="241"/>
      <c r="AD95" s="241"/>
      <c r="AE95" s="236"/>
      <c r="AF95" s="236"/>
    </row>
    <row r="96" spans="3:32" ht="13.5">
      <c r="C96" s="241"/>
      <c r="D96" s="242"/>
      <c r="E96" s="242"/>
      <c r="F96" s="242"/>
      <c r="G96" s="242"/>
      <c r="H96" s="242"/>
      <c r="I96" s="241"/>
      <c r="J96" s="241"/>
      <c r="K96" s="241"/>
      <c r="L96" s="241"/>
      <c r="M96" s="241"/>
      <c r="N96" s="241"/>
      <c r="O96" s="241"/>
      <c r="P96" s="241"/>
      <c r="Q96" s="236"/>
      <c r="R96" s="241"/>
      <c r="S96" s="241"/>
      <c r="T96" s="241"/>
      <c r="U96" s="241"/>
      <c r="V96" s="244"/>
      <c r="W96" s="241"/>
      <c r="X96" s="241"/>
      <c r="Y96" s="241"/>
      <c r="Z96" s="241"/>
      <c r="AA96" s="241"/>
      <c r="AB96" s="241"/>
      <c r="AC96" s="241"/>
      <c r="AD96" s="241"/>
      <c r="AE96" s="236"/>
      <c r="AF96" s="236"/>
    </row>
    <row r="97" spans="3:32" ht="13.5">
      <c r="C97" s="241"/>
      <c r="D97" s="242"/>
      <c r="E97" s="242"/>
      <c r="F97" s="242"/>
      <c r="G97" s="242"/>
      <c r="H97" s="242"/>
      <c r="I97" s="241"/>
      <c r="J97" s="241"/>
      <c r="K97" s="241"/>
      <c r="L97" s="241"/>
      <c r="M97" s="241"/>
      <c r="N97" s="241"/>
      <c r="O97" s="241"/>
      <c r="P97" s="241"/>
      <c r="Q97" s="236"/>
      <c r="R97" s="241"/>
      <c r="S97" s="241"/>
      <c r="T97" s="241"/>
      <c r="U97" s="241"/>
      <c r="V97" s="244"/>
      <c r="W97" s="241"/>
      <c r="X97" s="241"/>
      <c r="Y97" s="241"/>
      <c r="Z97" s="241"/>
      <c r="AA97" s="241"/>
      <c r="AB97" s="241"/>
      <c r="AC97" s="241"/>
      <c r="AD97" s="241"/>
      <c r="AE97" s="236"/>
      <c r="AF97" s="236"/>
    </row>
    <row r="98" spans="3:32" ht="13.5">
      <c r="C98" s="241"/>
      <c r="D98" s="242"/>
      <c r="E98" s="242"/>
      <c r="F98" s="242"/>
      <c r="G98" s="242"/>
      <c r="H98" s="242"/>
      <c r="I98" s="241"/>
      <c r="J98" s="241"/>
      <c r="K98" s="241"/>
      <c r="L98" s="241"/>
      <c r="M98" s="241"/>
      <c r="N98" s="241"/>
      <c r="O98" s="241"/>
      <c r="P98" s="241"/>
      <c r="Q98" s="236"/>
      <c r="R98" s="241"/>
      <c r="S98" s="241"/>
      <c r="T98" s="241"/>
      <c r="U98" s="241"/>
      <c r="V98" s="244"/>
      <c r="W98" s="241"/>
      <c r="X98" s="241"/>
      <c r="Y98" s="241"/>
      <c r="Z98" s="241"/>
      <c r="AA98" s="241"/>
      <c r="AB98" s="241"/>
      <c r="AC98" s="241"/>
      <c r="AD98" s="241"/>
      <c r="AE98" s="236"/>
      <c r="AF98" s="236"/>
    </row>
    <row r="99" spans="3:32" ht="13.5">
      <c r="C99" s="241"/>
      <c r="D99" s="242"/>
      <c r="E99" s="242"/>
      <c r="F99" s="242"/>
      <c r="G99" s="242"/>
      <c r="H99" s="242"/>
      <c r="I99" s="241"/>
      <c r="J99" s="241"/>
      <c r="K99" s="241"/>
      <c r="L99" s="241"/>
      <c r="M99" s="241"/>
      <c r="N99" s="241"/>
      <c r="O99" s="241"/>
      <c r="P99" s="241"/>
      <c r="Q99" s="236"/>
      <c r="R99" s="241"/>
      <c r="S99" s="241"/>
      <c r="T99" s="241"/>
      <c r="U99" s="241"/>
      <c r="V99" s="244"/>
      <c r="W99" s="241"/>
      <c r="X99" s="241"/>
      <c r="Y99" s="241"/>
      <c r="Z99" s="241"/>
      <c r="AA99" s="241"/>
      <c r="AB99" s="241"/>
      <c r="AC99" s="241"/>
      <c r="AD99" s="241"/>
      <c r="AE99" s="236"/>
      <c r="AF99" s="236"/>
    </row>
    <row r="100" spans="3:32" ht="13.5">
      <c r="C100" s="241"/>
      <c r="D100" s="242"/>
      <c r="E100" s="242"/>
      <c r="F100" s="242"/>
      <c r="G100" s="242"/>
      <c r="H100" s="242"/>
      <c r="I100" s="241"/>
      <c r="J100" s="241"/>
      <c r="K100" s="241"/>
      <c r="L100" s="241"/>
      <c r="M100" s="241"/>
      <c r="N100" s="241"/>
      <c r="O100" s="241"/>
      <c r="P100" s="241"/>
      <c r="Q100" s="236"/>
      <c r="R100" s="241"/>
      <c r="S100" s="241"/>
      <c r="T100" s="241"/>
      <c r="U100" s="241"/>
      <c r="V100" s="244"/>
      <c r="W100" s="241"/>
      <c r="X100" s="241"/>
      <c r="Y100" s="241"/>
      <c r="Z100" s="241"/>
      <c r="AA100" s="241"/>
      <c r="AB100" s="241"/>
      <c r="AC100" s="241"/>
      <c r="AD100" s="241"/>
      <c r="AE100" s="236"/>
      <c r="AF100" s="236"/>
    </row>
    <row r="101" spans="3:32" ht="13.5">
      <c r="C101" s="241"/>
      <c r="D101" s="242"/>
      <c r="E101" s="242"/>
      <c r="F101" s="242"/>
      <c r="G101" s="242"/>
      <c r="H101" s="242"/>
      <c r="I101" s="241"/>
      <c r="J101" s="241"/>
      <c r="K101" s="241"/>
      <c r="L101" s="241"/>
      <c r="M101" s="241"/>
      <c r="N101" s="241"/>
      <c r="O101" s="241"/>
      <c r="P101" s="241"/>
      <c r="Q101" s="236"/>
      <c r="R101" s="241"/>
      <c r="S101" s="241"/>
      <c r="T101" s="241"/>
      <c r="U101" s="241"/>
      <c r="V101" s="244"/>
      <c r="W101" s="241"/>
      <c r="X101" s="241"/>
      <c r="Y101" s="241"/>
      <c r="Z101" s="241"/>
      <c r="AA101" s="241"/>
      <c r="AB101" s="241"/>
      <c r="AC101" s="241"/>
      <c r="AD101" s="241"/>
      <c r="AE101" s="236"/>
      <c r="AF101" s="236"/>
    </row>
    <row r="102" spans="3:32" ht="13.5">
      <c r="C102" s="241"/>
      <c r="D102" s="242"/>
      <c r="E102" s="242"/>
      <c r="F102" s="242"/>
      <c r="G102" s="242"/>
      <c r="H102" s="242"/>
      <c r="I102" s="241"/>
      <c r="J102" s="241"/>
      <c r="K102" s="241"/>
      <c r="L102" s="241"/>
      <c r="M102" s="241"/>
      <c r="N102" s="241"/>
      <c r="O102" s="241"/>
      <c r="P102" s="241"/>
      <c r="Q102" s="236"/>
      <c r="R102" s="241"/>
      <c r="S102" s="241"/>
      <c r="T102" s="241"/>
      <c r="U102" s="241"/>
      <c r="V102" s="244"/>
      <c r="W102" s="241"/>
      <c r="X102" s="241"/>
      <c r="Y102" s="241"/>
      <c r="Z102" s="241"/>
      <c r="AA102" s="241"/>
      <c r="AB102" s="241"/>
      <c r="AC102" s="241"/>
      <c r="AD102" s="241"/>
      <c r="AE102" s="236"/>
      <c r="AF102" s="236"/>
    </row>
    <row r="103" spans="3:32" ht="13.5">
      <c r="C103" s="241"/>
      <c r="D103" s="242"/>
      <c r="E103" s="242"/>
      <c r="F103" s="242"/>
      <c r="G103" s="242"/>
      <c r="H103" s="242"/>
      <c r="I103" s="241"/>
      <c r="J103" s="241"/>
      <c r="K103" s="241"/>
      <c r="L103" s="241"/>
      <c r="M103" s="241"/>
      <c r="N103" s="241"/>
      <c r="O103" s="241"/>
      <c r="P103" s="241"/>
      <c r="Q103" s="236"/>
      <c r="R103" s="241"/>
      <c r="S103" s="241"/>
      <c r="T103" s="241"/>
      <c r="U103" s="241"/>
      <c r="V103" s="244"/>
      <c r="W103" s="241"/>
      <c r="X103" s="241"/>
      <c r="Y103" s="241"/>
      <c r="Z103" s="241"/>
      <c r="AA103" s="241"/>
      <c r="AB103" s="241"/>
      <c r="AC103" s="241"/>
      <c r="AD103" s="241"/>
      <c r="AE103" s="236"/>
      <c r="AF103" s="236"/>
    </row>
    <row r="104" spans="3:32" ht="13.5">
      <c r="C104" s="241"/>
      <c r="D104" s="242"/>
      <c r="E104" s="242"/>
      <c r="F104" s="242"/>
      <c r="G104" s="242"/>
      <c r="H104" s="242"/>
      <c r="I104" s="241"/>
      <c r="J104" s="241"/>
      <c r="K104" s="241"/>
      <c r="L104" s="241"/>
      <c r="M104" s="241"/>
      <c r="N104" s="241"/>
      <c r="O104" s="241"/>
      <c r="P104" s="241"/>
      <c r="Q104" s="236"/>
      <c r="R104" s="241"/>
      <c r="S104" s="241"/>
      <c r="T104" s="241"/>
      <c r="U104" s="241"/>
      <c r="V104" s="244"/>
      <c r="W104" s="241"/>
      <c r="X104" s="241"/>
      <c r="Y104" s="241"/>
      <c r="Z104" s="241"/>
      <c r="AA104" s="241"/>
      <c r="AB104" s="241"/>
      <c r="AC104" s="241"/>
      <c r="AD104" s="241"/>
      <c r="AE104" s="236"/>
      <c r="AF104" s="236"/>
    </row>
    <row r="105" spans="3:32" ht="13.5">
      <c r="C105" s="241"/>
      <c r="D105" s="242"/>
      <c r="E105" s="242"/>
      <c r="F105" s="242"/>
      <c r="G105" s="242"/>
      <c r="H105" s="242"/>
      <c r="I105" s="241"/>
      <c r="J105" s="241"/>
      <c r="K105" s="241"/>
      <c r="L105" s="241"/>
      <c r="M105" s="241"/>
      <c r="N105" s="241"/>
      <c r="O105" s="241"/>
      <c r="P105" s="241"/>
      <c r="Q105" s="236"/>
      <c r="R105" s="241"/>
      <c r="S105" s="241"/>
      <c r="T105" s="241"/>
      <c r="U105" s="241"/>
      <c r="V105" s="244"/>
      <c r="W105" s="241"/>
      <c r="X105" s="241"/>
      <c r="Y105" s="241"/>
      <c r="Z105" s="241"/>
      <c r="AA105" s="241"/>
      <c r="AB105" s="241"/>
      <c r="AC105" s="241"/>
      <c r="AD105" s="241"/>
      <c r="AE105" s="236"/>
      <c r="AF105" s="236"/>
    </row>
    <row r="106" spans="3:32" ht="13.5">
      <c r="C106" s="241"/>
      <c r="D106" s="242"/>
      <c r="E106" s="242"/>
      <c r="F106" s="242"/>
      <c r="G106" s="242"/>
      <c r="H106" s="242"/>
      <c r="I106" s="241"/>
      <c r="J106" s="241"/>
      <c r="K106" s="241"/>
      <c r="L106" s="241"/>
      <c r="M106" s="241"/>
      <c r="N106" s="241"/>
      <c r="O106" s="241"/>
      <c r="P106" s="241"/>
      <c r="Q106" s="236"/>
      <c r="R106" s="241"/>
      <c r="S106" s="241"/>
      <c r="T106" s="241"/>
      <c r="U106" s="241"/>
      <c r="V106" s="244"/>
      <c r="W106" s="241"/>
      <c r="X106" s="241"/>
      <c r="Y106" s="241"/>
      <c r="Z106" s="241"/>
      <c r="AA106" s="241"/>
      <c r="AB106" s="241"/>
      <c r="AC106" s="241"/>
      <c r="AD106" s="241"/>
      <c r="AE106" s="236"/>
      <c r="AF106" s="236"/>
    </row>
    <row r="107" spans="3:32" ht="13.5">
      <c r="C107" s="241"/>
      <c r="D107" s="242"/>
      <c r="E107" s="242"/>
      <c r="F107" s="242"/>
      <c r="G107" s="242"/>
      <c r="H107" s="242"/>
      <c r="I107" s="241"/>
      <c r="J107" s="241"/>
      <c r="K107" s="241"/>
      <c r="L107" s="241"/>
      <c r="M107" s="241"/>
      <c r="N107" s="241"/>
      <c r="O107" s="241"/>
      <c r="P107" s="241"/>
      <c r="Q107" s="236"/>
      <c r="R107" s="241"/>
      <c r="S107" s="241"/>
      <c r="T107" s="241"/>
      <c r="U107" s="241"/>
      <c r="V107" s="244"/>
      <c r="W107" s="241"/>
      <c r="X107" s="241"/>
      <c r="Y107" s="241"/>
      <c r="Z107" s="241"/>
      <c r="AA107" s="241"/>
      <c r="AB107" s="241"/>
      <c r="AC107" s="241"/>
      <c r="AD107" s="241"/>
      <c r="AE107" s="236"/>
      <c r="AF107" s="236"/>
    </row>
    <row r="108" spans="3:32" ht="13.5">
      <c r="C108" s="241"/>
      <c r="D108" s="242"/>
      <c r="E108" s="242"/>
      <c r="F108" s="242"/>
      <c r="G108" s="242"/>
      <c r="H108" s="242"/>
      <c r="I108" s="241"/>
      <c r="J108" s="241"/>
      <c r="K108" s="241"/>
      <c r="L108" s="241"/>
      <c r="M108" s="241"/>
      <c r="N108" s="241"/>
      <c r="O108" s="241"/>
      <c r="P108" s="241"/>
      <c r="Q108" s="236"/>
      <c r="R108" s="241"/>
      <c r="S108" s="241"/>
      <c r="T108" s="241"/>
      <c r="U108" s="241"/>
      <c r="V108" s="244"/>
      <c r="W108" s="241"/>
      <c r="X108" s="241"/>
      <c r="Y108" s="241"/>
      <c r="Z108" s="241"/>
      <c r="AA108" s="241"/>
      <c r="AB108" s="241"/>
      <c r="AC108" s="241"/>
      <c r="AD108" s="241"/>
      <c r="AE108" s="236"/>
      <c r="AF108" s="236"/>
    </row>
    <row r="109" spans="3:32" ht="13.5">
      <c r="C109" s="241"/>
      <c r="D109" s="242"/>
      <c r="E109" s="242"/>
      <c r="F109" s="242"/>
      <c r="G109" s="242"/>
      <c r="H109" s="242"/>
      <c r="I109" s="241"/>
      <c r="J109" s="241"/>
      <c r="K109" s="241"/>
      <c r="L109" s="241"/>
      <c r="M109" s="241"/>
      <c r="N109" s="241"/>
      <c r="O109" s="241"/>
      <c r="P109" s="241"/>
      <c r="Q109" s="236"/>
      <c r="R109" s="241"/>
      <c r="S109" s="241"/>
      <c r="T109" s="241"/>
      <c r="U109" s="241"/>
      <c r="V109" s="244"/>
      <c r="W109" s="241"/>
      <c r="X109" s="241"/>
      <c r="Y109" s="241"/>
      <c r="Z109" s="241"/>
      <c r="AA109" s="241"/>
      <c r="AB109" s="241"/>
      <c r="AC109" s="241"/>
      <c r="AD109" s="241"/>
      <c r="AE109" s="236"/>
      <c r="AF109" s="236"/>
    </row>
    <row r="110" spans="3:32" ht="13.5">
      <c r="C110" s="241"/>
      <c r="D110" s="242"/>
      <c r="E110" s="242"/>
      <c r="F110" s="242"/>
      <c r="G110" s="242"/>
      <c r="H110" s="242"/>
      <c r="I110" s="241"/>
      <c r="J110" s="241"/>
      <c r="K110" s="241"/>
      <c r="L110" s="241"/>
      <c r="M110" s="241"/>
      <c r="N110" s="241"/>
      <c r="O110" s="241"/>
      <c r="P110" s="241"/>
      <c r="Q110" s="236"/>
      <c r="R110" s="241"/>
      <c r="S110" s="241"/>
      <c r="T110" s="241"/>
      <c r="U110" s="241"/>
      <c r="V110" s="244"/>
      <c r="W110" s="241"/>
      <c r="X110" s="241"/>
      <c r="Y110" s="241"/>
      <c r="Z110" s="241"/>
      <c r="AA110" s="241"/>
      <c r="AB110" s="241"/>
      <c r="AC110" s="241"/>
      <c r="AD110" s="241"/>
      <c r="AE110" s="236"/>
      <c r="AF110" s="236"/>
    </row>
    <row r="111" spans="3:32" ht="13.5">
      <c r="C111" s="241"/>
      <c r="D111" s="242"/>
      <c r="E111" s="242"/>
      <c r="F111" s="242"/>
      <c r="G111" s="242"/>
      <c r="H111" s="242"/>
      <c r="I111" s="241"/>
      <c r="J111" s="241"/>
      <c r="K111" s="241"/>
      <c r="L111" s="241"/>
      <c r="M111" s="241"/>
      <c r="N111" s="241"/>
      <c r="O111" s="241"/>
      <c r="P111" s="241"/>
      <c r="Q111" s="236"/>
      <c r="R111" s="241"/>
      <c r="S111" s="241"/>
      <c r="T111" s="241"/>
      <c r="U111" s="241"/>
      <c r="V111" s="244"/>
      <c r="W111" s="241"/>
      <c r="X111" s="241"/>
      <c r="Y111" s="241"/>
      <c r="Z111" s="241"/>
      <c r="AA111" s="241"/>
      <c r="AB111" s="241"/>
      <c r="AC111" s="241"/>
      <c r="AD111" s="241"/>
      <c r="AE111" s="236"/>
      <c r="AF111" s="236"/>
    </row>
    <row r="112" spans="3:32" ht="13.5">
      <c r="C112" s="241"/>
      <c r="D112" s="242"/>
      <c r="E112" s="242"/>
      <c r="F112" s="242"/>
      <c r="G112" s="242"/>
      <c r="H112" s="242"/>
      <c r="I112" s="241"/>
      <c r="J112" s="241"/>
      <c r="K112" s="241"/>
      <c r="L112" s="241"/>
      <c r="M112" s="241"/>
      <c r="N112" s="241"/>
      <c r="O112" s="241"/>
      <c r="P112" s="241"/>
      <c r="Q112" s="236"/>
      <c r="R112" s="241"/>
      <c r="S112" s="241"/>
      <c r="T112" s="241"/>
      <c r="U112" s="241"/>
      <c r="V112" s="244"/>
      <c r="W112" s="241"/>
      <c r="X112" s="241"/>
      <c r="Y112" s="241"/>
      <c r="Z112" s="241"/>
      <c r="AA112" s="241"/>
      <c r="AB112" s="241"/>
      <c r="AC112" s="241"/>
      <c r="AD112" s="241"/>
      <c r="AE112" s="236"/>
      <c r="AF112" s="236"/>
    </row>
    <row r="113" spans="3:32" ht="13.5">
      <c r="C113" s="241"/>
      <c r="D113" s="242"/>
      <c r="E113" s="242"/>
      <c r="F113" s="242"/>
      <c r="G113" s="242"/>
      <c r="H113" s="242"/>
      <c r="I113" s="241"/>
      <c r="J113" s="241"/>
      <c r="K113" s="241"/>
      <c r="L113" s="241"/>
      <c r="M113" s="241"/>
      <c r="N113" s="241"/>
      <c r="O113" s="241"/>
      <c r="P113" s="241"/>
      <c r="Q113" s="236"/>
      <c r="R113" s="241"/>
      <c r="S113" s="241"/>
      <c r="T113" s="241"/>
      <c r="U113" s="241"/>
      <c r="V113" s="244"/>
      <c r="W113" s="241"/>
      <c r="X113" s="241"/>
      <c r="Y113" s="241"/>
      <c r="Z113" s="241"/>
      <c r="AA113" s="241"/>
      <c r="AB113" s="241"/>
      <c r="AC113" s="241"/>
      <c r="AD113" s="241"/>
      <c r="AE113" s="236"/>
      <c r="AF113" s="236"/>
    </row>
    <row r="114" spans="3:32" ht="13.5">
      <c r="C114" s="241"/>
      <c r="D114" s="242"/>
      <c r="E114" s="242"/>
      <c r="F114" s="242"/>
      <c r="G114" s="242"/>
      <c r="H114" s="242"/>
      <c r="I114" s="241"/>
      <c r="J114" s="241"/>
      <c r="K114" s="241"/>
      <c r="L114" s="241"/>
      <c r="M114" s="241"/>
      <c r="N114" s="241"/>
      <c r="O114" s="241"/>
      <c r="P114" s="241"/>
      <c r="Q114" s="236"/>
      <c r="R114" s="241"/>
      <c r="S114" s="241"/>
      <c r="T114" s="241"/>
      <c r="U114" s="241"/>
      <c r="V114" s="244"/>
      <c r="W114" s="241"/>
      <c r="X114" s="241"/>
      <c r="Y114" s="241"/>
      <c r="Z114" s="241"/>
      <c r="AA114" s="241"/>
      <c r="AB114" s="241"/>
      <c r="AC114" s="241"/>
      <c r="AD114" s="241"/>
      <c r="AE114" s="236"/>
      <c r="AF114" s="236"/>
    </row>
    <row r="115" spans="3:32" ht="13.5">
      <c r="C115" s="241"/>
      <c r="D115" s="242"/>
      <c r="E115" s="242"/>
      <c r="F115" s="242"/>
      <c r="G115" s="242"/>
      <c r="H115" s="242"/>
      <c r="I115" s="241"/>
      <c r="J115" s="241"/>
      <c r="K115" s="241"/>
      <c r="L115" s="241"/>
      <c r="M115" s="241"/>
      <c r="N115" s="241"/>
      <c r="O115" s="241"/>
      <c r="P115" s="241"/>
      <c r="Q115" s="236"/>
      <c r="R115" s="241"/>
      <c r="S115" s="241"/>
      <c r="T115" s="241"/>
      <c r="U115" s="241"/>
      <c r="V115" s="244"/>
      <c r="W115" s="241"/>
      <c r="X115" s="241"/>
      <c r="Y115" s="241"/>
      <c r="Z115" s="241"/>
      <c r="AA115" s="241"/>
      <c r="AB115" s="241"/>
      <c r="AC115" s="241"/>
      <c r="AD115" s="241"/>
      <c r="AE115" s="236"/>
      <c r="AF115" s="236"/>
    </row>
    <row r="116" spans="3:32" ht="13.5">
      <c r="C116" s="241"/>
      <c r="D116" s="242"/>
      <c r="E116" s="242"/>
      <c r="F116" s="242"/>
      <c r="G116" s="242"/>
      <c r="H116" s="242"/>
      <c r="I116" s="241"/>
      <c r="J116" s="241"/>
      <c r="K116" s="241"/>
      <c r="L116" s="241"/>
      <c r="M116" s="241"/>
      <c r="N116" s="241"/>
      <c r="O116" s="241"/>
      <c r="P116" s="241"/>
      <c r="Q116" s="236"/>
      <c r="R116" s="241"/>
      <c r="S116" s="241"/>
      <c r="T116" s="241"/>
      <c r="U116" s="241"/>
      <c r="V116" s="244"/>
      <c r="W116" s="241"/>
      <c r="X116" s="241"/>
      <c r="Y116" s="241"/>
      <c r="Z116" s="241"/>
      <c r="AA116" s="241"/>
      <c r="AB116" s="241"/>
      <c r="AC116" s="241"/>
      <c r="AD116" s="241"/>
      <c r="AE116" s="236"/>
      <c r="AF116" s="236"/>
    </row>
    <row r="117" spans="3:32" ht="13.5">
      <c r="C117" s="241"/>
      <c r="D117" s="242"/>
      <c r="E117" s="242"/>
      <c r="F117" s="242"/>
      <c r="G117" s="242"/>
      <c r="H117" s="242"/>
      <c r="I117" s="241"/>
      <c r="J117" s="241"/>
      <c r="K117" s="241"/>
      <c r="L117" s="241"/>
      <c r="M117" s="241"/>
      <c r="N117" s="241"/>
      <c r="O117" s="241"/>
      <c r="P117" s="241"/>
      <c r="Q117" s="236"/>
      <c r="R117" s="241"/>
      <c r="S117" s="241"/>
      <c r="T117" s="241"/>
      <c r="U117" s="241"/>
      <c r="V117" s="244"/>
      <c r="W117" s="241"/>
      <c r="X117" s="241"/>
      <c r="Y117" s="241"/>
      <c r="Z117" s="241"/>
      <c r="AA117" s="241"/>
      <c r="AB117" s="241"/>
      <c r="AC117" s="241"/>
      <c r="AD117" s="241"/>
      <c r="AE117" s="236"/>
      <c r="AF117" s="236"/>
    </row>
    <row r="118" spans="3:32" ht="13.5">
      <c r="C118" s="241"/>
      <c r="D118" s="242"/>
      <c r="E118" s="242"/>
      <c r="F118" s="242"/>
      <c r="G118" s="242"/>
      <c r="H118" s="242"/>
      <c r="I118" s="241"/>
      <c r="J118" s="241"/>
      <c r="K118" s="241"/>
      <c r="L118" s="241"/>
      <c r="M118" s="241"/>
      <c r="N118" s="241"/>
      <c r="O118" s="241"/>
      <c r="P118" s="241"/>
      <c r="Q118" s="236"/>
      <c r="R118" s="241"/>
      <c r="S118" s="241"/>
      <c r="T118" s="241"/>
      <c r="U118" s="241"/>
      <c r="V118" s="244"/>
      <c r="W118" s="241"/>
      <c r="X118" s="241"/>
      <c r="Y118" s="241"/>
      <c r="Z118" s="241"/>
      <c r="AA118" s="241"/>
      <c r="AB118" s="241"/>
      <c r="AC118" s="241"/>
      <c r="AD118" s="241"/>
      <c r="AE118" s="236"/>
      <c r="AF118" s="236"/>
    </row>
    <row r="119" spans="3:32" ht="13.5">
      <c r="C119" s="241"/>
      <c r="D119" s="242"/>
      <c r="E119" s="242"/>
      <c r="F119" s="242"/>
      <c r="G119" s="242"/>
      <c r="H119" s="242"/>
      <c r="I119" s="241"/>
      <c r="J119" s="241"/>
      <c r="K119" s="241"/>
      <c r="L119" s="241"/>
      <c r="M119" s="241"/>
      <c r="N119" s="241"/>
      <c r="O119" s="241"/>
      <c r="P119" s="241"/>
      <c r="Q119" s="236"/>
      <c r="R119" s="241"/>
      <c r="S119" s="241"/>
      <c r="T119" s="241"/>
      <c r="U119" s="241"/>
      <c r="V119" s="244"/>
      <c r="W119" s="241"/>
      <c r="X119" s="241"/>
      <c r="Y119" s="241"/>
      <c r="Z119" s="241"/>
      <c r="AA119" s="241"/>
      <c r="AB119" s="241"/>
      <c r="AC119" s="241"/>
      <c r="AD119" s="241"/>
      <c r="AE119" s="236"/>
      <c r="AF119" s="236"/>
    </row>
    <row r="120" spans="3:32" ht="13.5">
      <c r="C120" s="241"/>
      <c r="D120" s="242"/>
      <c r="E120" s="242"/>
      <c r="F120" s="242"/>
      <c r="G120" s="242"/>
      <c r="H120" s="242"/>
      <c r="I120" s="241"/>
      <c r="J120" s="241"/>
      <c r="K120" s="241"/>
      <c r="L120" s="241"/>
      <c r="M120" s="241"/>
      <c r="N120" s="241"/>
      <c r="O120" s="241"/>
      <c r="P120" s="241"/>
      <c r="Q120" s="236"/>
      <c r="R120" s="241"/>
      <c r="S120" s="241"/>
      <c r="T120" s="241"/>
      <c r="U120" s="241"/>
      <c r="V120" s="244"/>
      <c r="W120" s="241"/>
      <c r="X120" s="241"/>
      <c r="Y120" s="241"/>
      <c r="Z120" s="241"/>
      <c r="AA120" s="241"/>
      <c r="AB120" s="241"/>
      <c r="AC120" s="241"/>
      <c r="AD120" s="241"/>
      <c r="AE120" s="236"/>
      <c r="AF120" s="236"/>
    </row>
    <row r="121" spans="3:32" ht="13.5">
      <c r="C121" s="241"/>
      <c r="D121" s="242"/>
      <c r="E121" s="242"/>
      <c r="F121" s="242"/>
      <c r="G121" s="242"/>
      <c r="H121" s="242"/>
      <c r="I121" s="241"/>
      <c r="J121" s="241"/>
      <c r="K121" s="241"/>
      <c r="L121" s="241"/>
      <c r="M121" s="241"/>
      <c r="N121" s="241"/>
      <c r="O121" s="241"/>
      <c r="P121" s="241"/>
      <c r="Q121" s="236"/>
      <c r="R121" s="241"/>
      <c r="S121" s="241"/>
      <c r="T121" s="241"/>
      <c r="U121" s="241"/>
      <c r="V121" s="244"/>
      <c r="W121" s="241"/>
      <c r="X121" s="241"/>
      <c r="Y121" s="241"/>
      <c r="Z121" s="241"/>
      <c r="AA121" s="241"/>
      <c r="AB121" s="241"/>
      <c r="AC121" s="241"/>
      <c r="AD121" s="241"/>
      <c r="AE121" s="236"/>
      <c r="AF121" s="236"/>
    </row>
    <row r="122" spans="3:32" ht="13.5">
      <c r="C122" s="241"/>
      <c r="D122" s="242"/>
      <c r="E122" s="242"/>
      <c r="F122" s="242"/>
      <c r="G122" s="242"/>
      <c r="H122" s="242"/>
      <c r="I122" s="241"/>
      <c r="J122" s="241"/>
      <c r="K122" s="241"/>
      <c r="L122" s="241"/>
      <c r="M122" s="241"/>
      <c r="N122" s="241"/>
      <c r="O122" s="241"/>
      <c r="P122" s="241"/>
      <c r="Q122" s="236"/>
      <c r="R122" s="241"/>
      <c r="S122" s="241"/>
      <c r="T122" s="241"/>
      <c r="U122" s="241"/>
      <c r="V122" s="244"/>
      <c r="W122" s="241"/>
      <c r="X122" s="241"/>
      <c r="Y122" s="241"/>
      <c r="Z122" s="241"/>
      <c r="AA122" s="241"/>
      <c r="AB122" s="241"/>
      <c r="AC122" s="241"/>
      <c r="AD122" s="241"/>
      <c r="AE122" s="236"/>
      <c r="AF122" s="236"/>
    </row>
    <row r="123" spans="3:32" ht="13.5">
      <c r="C123" s="241"/>
      <c r="D123" s="242"/>
      <c r="E123" s="242"/>
      <c r="F123" s="242"/>
      <c r="G123" s="242"/>
      <c r="H123" s="242"/>
      <c r="I123" s="241"/>
      <c r="J123" s="241"/>
      <c r="K123" s="241"/>
      <c r="L123" s="241"/>
      <c r="M123" s="241"/>
      <c r="N123" s="241"/>
      <c r="O123" s="241"/>
      <c r="P123" s="241"/>
      <c r="Q123" s="236"/>
      <c r="R123" s="241"/>
      <c r="S123" s="241"/>
      <c r="T123" s="241"/>
      <c r="U123" s="241"/>
      <c r="V123" s="244"/>
      <c r="W123" s="241"/>
      <c r="X123" s="241"/>
      <c r="Y123" s="241"/>
      <c r="Z123" s="241"/>
      <c r="AA123" s="241"/>
      <c r="AB123" s="241"/>
      <c r="AC123" s="241"/>
      <c r="AD123" s="241"/>
      <c r="AE123" s="236"/>
      <c r="AF123" s="236"/>
    </row>
    <row r="124" spans="3:32" ht="13.5">
      <c r="C124" s="241"/>
      <c r="D124" s="242"/>
      <c r="E124" s="242"/>
      <c r="F124" s="242"/>
      <c r="G124" s="242"/>
      <c r="H124" s="242"/>
      <c r="I124" s="241"/>
      <c r="J124" s="241"/>
      <c r="K124" s="241"/>
      <c r="L124" s="241"/>
      <c r="M124" s="241"/>
      <c r="N124" s="241"/>
      <c r="O124" s="241"/>
      <c r="P124" s="241"/>
      <c r="Q124" s="236"/>
      <c r="R124" s="241"/>
      <c r="S124" s="241"/>
      <c r="T124" s="241"/>
      <c r="U124" s="241"/>
      <c r="V124" s="244"/>
      <c r="W124" s="241"/>
      <c r="X124" s="241"/>
      <c r="Y124" s="241"/>
      <c r="Z124" s="241"/>
      <c r="AA124" s="241"/>
      <c r="AB124" s="241"/>
      <c r="AC124" s="241"/>
      <c r="AD124" s="241"/>
      <c r="AE124" s="236"/>
      <c r="AF124" s="236"/>
    </row>
    <row r="125" spans="3:32" ht="13.5">
      <c r="C125" s="241"/>
      <c r="D125" s="242"/>
      <c r="E125" s="242"/>
      <c r="F125" s="242"/>
      <c r="G125" s="242"/>
      <c r="H125" s="242"/>
      <c r="I125" s="241"/>
      <c r="J125" s="241"/>
      <c r="K125" s="241"/>
      <c r="L125" s="241"/>
      <c r="M125" s="241"/>
      <c r="N125" s="241"/>
      <c r="O125" s="241"/>
      <c r="P125" s="241"/>
      <c r="Q125" s="236"/>
      <c r="R125" s="241"/>
      <c r="S125" s="241"/>
      <c r="T125" s="241"/>
      <c r="U125" s="241"/>
      <c r="V125" s="244"/>
      <c r="W125" s="241"/>
      <c r="X125" s="241"/>
      <c r="Y125" s="241"/>
      <c r="Z125" s="241"/>
      <c r="AA125" s="241"/>
      <c r="AB125" s="241"/>
      <c r="AC125" s="241"/>
      <c r="AD125" s="241"/>
      <c r="AE125" s="236"/>
      <c r="AF125" s="236"/>
    </row>
    <row r="126" spans="3:32" ht="13.5">
      <c r="C126" s="241"/>
      <c r="D126" s="242"/>
      <c r="E126" s="242"/>
      <c r="F126" s="242"/>
      <c r="G126" s="242"/>
      <c r="H126" s="242"/>
      <c r="I126" s="241"/>
      <c r="J126" s="241"/>
      <c r="K126" s="241"/>
      <c r="L126" s="241"/>
      <c r="M126" s="241"/>
      <c r="N126" s="241"/>
      <c r="O126" s="241"/>
      <c r="P126" s="241"/>
      <c r="Q126" s="236"/>
      <c r="R126" s="241"/>
      <c r="S126" s="241"/>
      <c r="T126" s="241"/>
      <c r="U126" s="241"/>
      <c r="V126" s="244"/>
      <c r="W126" s="241"/>
      <c r="X126" s="241"/>
      <c r="Y126" s="241"/>
      <c r="Z126" s="241"/>
      <c r="AA126" s="241"/>
      <c r="AB126" s="241"/>
      <c r="AC126" s="241"/>
      <c r="AD126" s="241"/>
      <c r="AE126" s="236"/>
      <c r="AF126" s="236"/>
    </row>
    <row r="127" spans="3:32" ht="13.5">
      <c r="C127" s="241"/>
      <c r="D127" s="242"/>
      <c r="E127" s="242"/>
      <c r="F127" s="242"/>
      <c r="G127" s="242"/>
      <c r="H127" s="242"/>
      <c r="I127" s="241"/>
      <c r="J127" s="241"/>
      <c r="K127" s="241"/>
      <c r="L127" s="241"/>
      <c r="M127" s="241"/>
      <c r="N127" s="241"/>
      <c r="O127" s="241"/>
      <c r="P127" s="241"/>
      <c r="Q127" s="236"/>
      <c r="R127" s="241"/>
      <c r="S127" s="241"/>
      <c r="T127" s="241"/>
      <c r="U127" s="241"/>
      <c r="V127" s="244"/>
      <c r="W127" s="241"/>
      <c r="X127" s="241"/>
      <c r="Y127" s="241"/>
      <c r="Z127" s="241"/>
      <c r="AA127" s="241"/>
      <c r="AB127" s="241"/>
      <c r="AC127" s="241"/>
      <c r="AD127" s="241"/>
      <c r="AE127" s="236"/>
      <c r="AF127" s="236"/>
    </row>
    <row r="128" spans="3:32" ht="13.5">
      <c r="C128" s="241"/>
      <c r="D128" s="242"/>
      <c r="E128" s="242"/>
      <c r="F128" s="242"/>
      <c r="G128" s="242"/>
      <c r="H128" s="242"/>
      <c r="I128" s="241"/>
      <c r="J128" s="241"/>
      <c r="K128" s="241"/>
      <c r="L128" s="241"/>
      <c r="M128" s="241"/>
      <c r="N128" s="241"/>
      <c r="O128" s="241"/>
      <c r="P128" s="241"/>
      <c r="Q128" s="236"/>
      <c r="R128" s="241"/>
      <c r="S128" s="241"/>
      <c r="T128" s="241"/>
      <c r="U128" s="241"/>
      <c r="V128" s="244"/>
      <c r="W128" s="241"/>
      <c r="X128" s="241"/>
      <c r="Y128" s="241"/>
      <c r="Z128" s="241"/>
      <c r="AA128" s="241"/>
      <c r="AB128" s="241"/>
      <c r="AC128" s="241"/>
      <c r="AD128" s="241"/>
      <c r="AE128" s="236"/>
      <c r="AF128" s="236"/>
    </row>
    <row r="129" spans="3:32" ht="13.5">
      <c r="C129" s="241"/>
      <c r="D129" s="242"/>
      <c r="E129" s="242"/>
      <c r="F129" s="242"/>
      <c r="G129" s="242"/>
      <c r="H129" s="242"/>
      <c r="I129" s="241"/>
      <c r="J129" s="241"/>
      <c r="K129" s="241"/>
      <c r="L129" s="241"/>
      <c r="M129" s="241"/>
      <c r="N129" s="241"/>
      <c r="O129" s="241"/>
      <c r="P129" s="241"/>
      <c r="Q129" s="236"/>
      <c r="R129" s="241"/>
      <c r="S129" s="241"/>
      <c r="T129" s="241"/>
      <c r="U129" s="241"/>
      <c r="V129" s="244"/>
      <c r="W129" s="241"/>
      <c r="X129" s="241"/>
      <c r="Y129" s="241"/>
      <c r="Z129" s="241"/>
      <c r="AA129" s="241"/>
      <c r="AB129" s="241"/>
      <c r="AC129" s="241"/>
      <c r="AD129" s="241"/>
      <c r="AE129" s="236"/>
      <c r="AF129" s="236"/>
    </row>
    <row r="130" spans="3:32" ht="13.5">
      <c r="C130" s="241"/>
      <c r="D130" s="242"/>
      <c r="E130" s="242"/>
      <c r="F130" s="242"/>
      <c r="G130" s="242"/>
      <c r="H130" s="242"/>
      <c r="I130" s="241"/>
      <c r="J130" s="241"/>
      <c r="K130" s="241"/>
      <c r="L130" s="241"/>
      <c r="M130" s="241"/>
      <c r="N130" s="241"/>
      <c r="O130" s="241"/>
      <c r="P130" s="241"/>
      <c r="Q130" s="236"/>
      <c r="R130" s="241"/>
      <c r="S130" s="241"/>
      <c r="T130" s="241"/>
      <c r="U130" s="241"/>
      <c r="V130" s="244"/>
      <c r="W130" s="241"/>
      <c r="X130" s="241"/>
      <c r="Y130" s="241"/>
      <c r="Z130" s="241"/>
      <c r="AA130" s="241"/>
      <c r="AB130" s="241"/>
      <c r="AC130" s="241"/>
      <c r="AD130" s="241"/>
      <c r="AE130" s="236"/>
      <c r="AF130" s="236"/>
    </row>
    <row r="131" spans="3:32" ht="13.5">
      <c r="C131" s="241"/>
      <c r="D131" s="242"/>
      <c r="E131" s="242"/>
      <c r="F131" s="242"/>
      <c r="G131" s="242"/>
      <c r="H131" s="242"/>
      <c r="I131" s="241"/>
      <c r="J131" s="241"/>
      <c r="K131" s="241"/>
      <c r="L131" s="241"/>
      <c r="M131" s="241"/>
      <c r="N131" s="241"/>
      <c r="O131" s="241"/>
      <c r="P131" s="241"/>
      <c r="Q131" s="236"/>
      <c r="R131" s="241"/>
      <c r="S131" s="241"/>
      <c r="T131" s="241"/>
      <c r="U131" s="241"/>
      <c r="V131" s="244"/>
      <c r="W131" s="241"/>
      <c r="X131" s="241"/>
      <c r="Y131" s="241"/>
      <c r="Z131" s="241"/>
      <c r="AA131" s="241"/>
      <c r="AB131" s="241"/>
      <c r="AC131" s="241"/>
      <c r="AD131" s="241"/>
      <c r="AE131" s="236"/>
      <c r="AF131" s="236"/>
    </row>
    <row r="132" spans="3:32" ht="13.5">
      <c r="C132" s="241"/>
      <c r="D132" s="242"/>
      <c r="E132" s="242"/>
      <c r="F132" s="242"/>
      <c r="G132" s="242"/>
      <c r="H132" s="242"/>
      <c r="I132" s="241"/>
      <c r="J132" s="241"/>
      <c r="K132" s="241"/>
      <c r="L132" s="241"/>
      <c r="M132" s="241"/>
      <c r="N132" s="241"/>
      <c r="O132" s="241"/>
      <c r="P132" s="241"/>
      <c r="Q132" s="236"/>
      <c r="R132" s="241"/>
      <c r="S132" s="241"/>
      <c r="T132" s="241"/>
      <c r="U132" s="241"/>
      <c r="V132" s="244"/>
      <c r="W132" s="241"/>
      <c r="X132" s="241"/>
      <c r="Y132" s="241"/>
      <c r="Z132" s="241"/>
      <c r="AA132" s="241"/>
      <c r="AB132" s="241"/>
      <c r="AC132" s="241"/>
      <c r="AD132" s="241"/>
      <c r="AE132" s="236"/>
      <c r="AF132" s="236"/>
    </row>
    <row r="133" spans="3:32" ht="13.5">
      <c r="C133" s="241"/>
      <c r="D133" s="242"/>
      <c r="E133" s="242"/>
      <c r="F133" s="242"/>
      <c r="G133" s="242"/>
      <c r="H133" s="242"/>
      <c r="I133" s="241"/>
      <c r="J133" s="241"/>
      <c r="K133" s="241"/>
      <c r="L133" s="241"/>
      <c r="M133" s="241"/>
      <c r="N133" s="241"/>
      <c r="O133" s="241"/>
      <c r="P133" s="241"/>
      <c r="Q133" s="236"/>
      <c r="R133" s="241"/>
      <c r="S133" s="241"/>
      <c r="T133" s="241"/>
      <c r="U133" s="241"/>
      <c r="V133" s="244"/>
      <c r="W133" s="241"/>
      <c r="X133" s="241"/>
      <c r="Y133" s="241"/>
      <c r="Z133" s="241"/>
      <c r="AA133" s="241"/>
      <c r="AB133" s="241"/>
      <c r="AC133" s="241"/>
      <c r="AD133" s="241"/>
      <c r="AE133" s="236"/>
      <c r="AF133" s="236"/>
    </row>
    <row r="134" spans="3:32" ht="13.5">
      <c r="C134" s="241"/>
      <c r="D134" s="242"/>
      <c r="E134" s="242"/>
      <c r="F134" s="242"/>
      <c r="G134" s="242"/>
      <c r="H134" s="242"/>
      <c r="I134" s="241"/>
      <c r="J134" s="241"/>
      <c r="K134" s="241"/>
      <c r="L134" s="241"/>
      <c r="M134" s="241"/>
      <c r="N134" s="241"/>
      <c r="O134" s="241"/>
      <c r="P134" s="241"/>
      <c r="Q134" s="236"/>
      <c r="R134" s="241"/>
      <c r="S134" s="241"/>
      <c r="T134" s="241"/>
      <c r="U134" s="241"/>
      <c r="V134" s="244"/>
      <c r="W134" s="241"/>
      <c r="X134" s="241"/>
      <c r="Y134" s="241"/>
      <c r="Z134" s="241"/>
      <c r="AA134" s="241"/>
      <c r="AB134" s="241"/>
      <c r="AC134" s="241"/>
      <c r="AD134" s="241"/>
      <c r="AE134" s="236"/>
      <c r="AF134" s="236"/>
    </row>
    <row r="135" spans="3:32" ht="13.5">
      <c r="C135" s="241"/>
      <c r="D135" s="242"/>
      <c r="E135" s="242"/>
      <c r="F135" s="242"/>
      <c r="G135" s="242"/>
      <c r="H135" s="242"/>
      <c r="I135" s="241"/>
      <c r="J135" s="241"/>
      <c r="K135" s="241"/>
      <c r="L135" s="241"/>
      <c r="M135" s="241"/>
      <c r="N135" s="241"/>
      <c r="O135" s="241"/>
      <c r="P135" s="241"/>
      <c r="Q135" s="236"/>
      <c r="R135" s="241"/>
      <c r="S135" s="241"/>
      <c r="T135" s="241"/>
      <c r="U135" s="241"/>
      <c r="V135" s="244"/>
      <c r="W135" s="241"/>
      <c r="X135" s="241"/>
      <c r="Y135" s="241"/>
      <c r="Z135" s="241"/>
      <c r="AA135" s="241"/>
      <c r="AB135" s="241"/>
      <c r="AC135" s="241"/>
      <c r="AD135" s="241"/>
      <c r="AE135" s="236"/>
      <c r="AF135" s="236"/>
    </row>
    <row r="136" spans="3:32" ht="13.5">
      <c r="C136" s="241"/>
      <c r="D136" s="242"/>
      <c r="E136" s="242"/>
      <c r="F136" s="242"/>
      <c r="G136" s="242"/>
      <c r="H136" s="242"/>
      <c r="I136" s="241"/>
      <c r="J136" s="241"/>
      <c r="K136" s="241"/>
      <c r="L136" s="241"/>
      <c r="M136" s="241"/>
      <c r="N136" s="241"/>
      <c r="O136" s="241"/>
      <c r="P136" s="241"/>
      <c r="Q136" s="236"/>
      <c r="R136" s="241"/>
      <c r="S136" s="241"/>
      <c r="T136" s="241"/>
      <c r="U136" s="241"/>
      <c r="V136" s="244"/>
      <c r="W136" s="241"/>
      <c r="X136" s="241"/>
      <c r="Y136" s="241"/>
      <c r="Z136" s="241"/>
      <c r="AA136" s="241"/>
      <c r="AB136" s="241"/>
      <c r="AC136" s="241"/>
      <c r="AD136" s="241"/>
      <c r="AE136" s="236"/>
      <c r="AF136" s="236"/>
    </row>
    <row r="137" spans="3:32" ht="13.5">
      <c r="C137" s="241"/>
      <c r="D137" s="242"/>
      <c r="E137" s="242"/>
      <c r="F137" s="242"/>
      <c r="G137" s="242"/>
      <c r="H137" s="242"/>
      <c r="I137" s="241"/>
      <c r="J137" s="241"/>
      <c r="K137" s="241"/>
      <c r="L137" s="241"/>
      <c r="M137" s="241"/>
      <c r="N137" s="241"/>
      <c r="O137" s="241"/>
      <c r="P137" s="241"/>
      <c r="Q137" s="236"/>
      <c r="R137" s="241"/>
      <c r="S137" s="241"/>
      <c r="T137" s="241"/>
      <c r="U137" s="241"/>
      <c r="V137" s="244"/>
      <c r="W137" s="241"/>
      <c r="X137" s="241"/>
      <c r="Y137" s="241"/>
      <c r="Z137" s="241"/>
      <c r="AA137" s="241"/>
      <c r="AB137" s="241"/>
      <c r="AC137" s="241"/>
      <c r="AD137" s="241"/>
      <c r="AE137" s="236"/>
      <c r="AF137" s="236"/>
    </row>
    <row r="138" spans="3:32" ht="13.5">
      <c r="C138" s="241"/>
      <c r="D138" s="242"/>
      <c r="E138" s="242"/>
      <c r="F138" s="242"/>
      <c r="G138" s="242"/>
      <c r="H138" s="242"/>
      <c r="I138" s="241"/>
      <c r="J138" s="241"/>
      <c r="K138" s="241"/>
      <c r="L138" s="241"/>
      <c r="M138" s="241"/>
      <c r="N138" s="241"/>
      <c r="O138" s="241"/>
      <c r="P138" s="241"/>
      <c r="Q138" s="236"/>
      <c r="R138" s="241"/>
      <c r="S138" s="241"/>
      <c r="T138" s="241"/>
      <c r="U138" s="241"/>
      <c r="V138" s="244"/>
      <c r="W138" s="241"/>
      <c r="X138" s="241"/>
      <c r="Y138" s="241"/>
      <c r="Z138" s="241"/>
      <c r="AA138" s="241"/>
      <c r="AB138" s="241"/>
      <c r="AC138" s="241"/>
      <c r="AD138" s="241"/>
      <c r="AE138" s="236"/>
      <c r="AF138" s="236"/>
    </row>
    <row r="139" spans="3:32" ht="13.5">
      <c r="C139" s="241"/>
      <c r="D139" s="242"/>
      <c r="E139" s="242"/>
      <c r="F139" s="242"/>
      <c r="G139" s="242"/>
      <c r="H139" s="242"/>
      <c r="I139" s="241"/>
      <c r="J139" s="241"/>
      <c r="K139" s="241"/>
      <c r="L139" s="241"/>
      <c r="M139" s="241"/>
      <c r="N139" s="241"/>
      <c r="O139" s="241"/>
      <c r="P139" s="241"/>
      <c r="Q139" s="236"/>
      <c r="R139" s="241"/>
      <c r="S139" s="241"/>
      <c r="T139" s="241"/>
      <c r="U139" s="241"/>
      <c r="V139" s="244"/>
      <c r="W139" s="241"/>
      <c r="X139" s="241"/>
      <c r="Y139" s="241"/>
      <c r="Z139" s="241"/>
      <c r="AA139" s="241"/>
      <c r="AB139" s="241"/>
      <c r="AC139" s="241"/>
      <c r="AD139" s="241"/>
      <c r="AE139" s="236"/>
      <c r="AF139" s="236"/>
    </row>
    <row r="140" spans="3:32" ht="13.5">
      <c r="C140" s="241"/>
      <c r="D140" s="242"/>
      <c r="E140" s="242"/>
      <c r="F140" s="242"/>
      <c r="G140" s="242"/>
      <c r="H140" s="242"/>
      <c r="I140" s="241"/>
      <c r="J140" s="241"/>
      <c r="K140" s="241"/>
      <c r="L140" s="241"/>
      <c r="M140" s="241"/>
      <c r="N140" s="241"/>
      <c r="O140" s="241"/>
      <c r="P140" s="241"/>
      <c r="Q140" s="236"/>
      <c r="R140" s="241"/>
      <c r="S140" s="241"/>
      <c r="T140" s="241"/>
      <c r="U140" s="241"/>
      <c r="V140" s="244"/>
      <c r="W140" s="241"/>
      <c r="X140" s="241"/>
      <c r="Y140" s="241"/>
      <c r="Z140" s="241"/>
      <c r="AA140" s="241"/>
      <c r="AB140" s="241"/>
      <c r="AC140" s="241"/>
      <c r="AD140" s="241"/>
      <c r="AE140" s="236"/>
      <c r="AF140" s="236"/>
    </row>
    <row r="141" spans="3:32" ht="13.5">
      <c r="C141" s="241"/>
      <c r="D141" s="242"/>
      <c r="E141" s="242"/>
      <c r="F141" s="242"/>
      <c r="G141" s="242"/>
      <c r="H141" s="242"/>
      <c r="I141" s="241"/>
      <c r="J141" s="241"/>
      <c r="K141" s="241"/>
      <c r="L141" s="241"/>
      <c r="M141" s="241"/>
      <c r="N141" s="241"/>
      <c r="O141" s="241"/>
      <c r="P141" s="241"/>
      <c r="Q141" s="236"/>
      <c r="R141" s="241"/>
      <c r="S141" s="241"/>
      <c r="T141" s="241"/>
      <c r="U141" s="241"/>
      <c r="V141" s="244"/>
      <c r="W141" s="241"/>
      <c r="X141" s="241"/>
      <c r="Y141" s="241"/>
      <c r="Z141" s="241"/>
      <c r="AA141" s="241"/>
      <c r="AB141" s="241"/>
      <c r="AC141" s="241"/>
      <c r="AD141" s="241"/>
      <c r="AE141" s="236"/>
      <c r="AF141" s="236"/>
    </row>
    <row r="142" spans="3:32" ht="13.5">
      <c r="C142" s="241"/>
      <c r="D142" s="242"/>
      <c r="E142" s="242"/>
      <c r="F142" s="242"/>
      <c r="G142" s="242"/>
      <c r="H142" s="242"/>
      <c r="I142" s="241"/>
      <c r="J142" s="241"/>
      <c r="K142" s="241"/>
      <c r="L142" s="241"/>
      <c r="M142" s="241"/>
      <c r="N142" s="241"/>
      <c r="O142" s="241"/>
      <c r="P142" s="241"/>
      <c r="Q142" s="236"/>
      <c r="R142" s="241"/>
      <c r="S142" s="241"/>
      <c r="T142" s="241"/>
      <c r="U142" s="241"/>
      <c r="V142" s="244"/>
      <c r="W142" s="241"/>
      <c r="X142" s="241"/>
      <c r="Y142" s="241"/>
      <c r="Z142" s="241"/>
      <c r="AA142" s="241"/>
      <c r="AB142" s="241"/>
      <c r="AC142" s="241"/>
      <c r="AD142" s="241"/>
      <c r="AE142" s="236"/>
      <c r="AF142" s="236"/>
    </row>
    <row r="143" spans="3:32" ht="13.5">
      <c r="C143" s="241"/>
      <c r="D143" s="242"/>
      <c r="E143" s="242"/>
      <c r="F143" s="242"/>
      <c r="G143" s="242"/>
      <c r="H143" s="242"/>
      <c r="I143" s="241"/>
      <c r="J143" s="241"/>
      <c r="K143" s="241"/>
      <c r="L143" s="241"/>
      <c r="M143" s="241"/>
      <c r="N143" s="241"/>
      <c r="O143" s="241"/>
      <c r="P143" s="241"/>
      <c r="Q143" s="236"/>
      <c r="R143" s="241"/>
      <c r="S143" s="241"/>
      <c r="T143" s="241"/>
      <c r="U143" s="241"/>
      <c r="V143" s="244"/>
      <c r="W143" s="241"/>
      <c r="X143" s="241"/>
      <c r="Y143" s="241"/>
      <c r="Z143" s="241"/>
      <c r="AA143" s="241"/>
      <c r="AB143" s="241"/>
      <c r="AC143" s="241"/>
      <c r="AD143" s="241"/>
      <c r="AE143" s="236"/>
      <c r="AF143" s="236"/>
    </row>
    <row r="144" spans="3:32" ht="13.5">
      <c r="C144" s="241"/>
      <c r="D144" s="242"/>
      <c r="E144" s="242"/>
      <c r="F144" s="242"/>
      <c r="G144" s="242"/>
      <c r="H144" s="242"/>
      <c r="I144" s="241"/>
      <c r="J144" s="241"/>
      <c r="K144" s="241"/>
      <c r="L144" s="241"/>
      <c r="M144" s="241"/>
      <c r="N144" s="241"/>
      <c r="O144" s="241"/>
      <c r="P144" s="241"/>
      <c r="Q144" s="236"/>
      <c r="R144" s="241"/>
      <c r="S144" s="241"/>
      <c r="T144" s="241"/>
      <c r="U144" s="241"/>
      <c r="V144" s="244"/>
      <c r="W144" s="241"/>
      <c r="X144" s="241"/>
      <c r="Y144" s="241"/>
      <c r="Z144" s="241"/>
      <c r="AA144" s="241"/>
      <c r="AB144" s="241"/>
      <c r="AC144" s="241"/>
      <c r="AD144" s="241"/>
      <c r="AE144" s="236"/>
      <c r="AF144" s="236"/>
    </row>
    <row r="145" spans="3:32" ht="13.5">
      <c r="C145" s="241"/>
      <c r="D145" s="242"/>
      <c r="E145" s="242"/>
      <c r="F145" s="242"/>
      <c r="G145" s="242"/>
      <c r="H145" s="242"/>
      <c r="I145" s="241"/>
      <c r="J145" s="241"/>
      <c r="K145" s="241"/>
      <c r="L145" s="241"/>
      <c r="M145" s="241"/>
      <c r="N145" s="241"/>
      <c r="O145" s="241"/>
      <c r="P145" s="241"/>
      <c r="Q145" s="236"/>
      <c r="R145" s="241"/>
      <c r="S145" s="241"/>
      <c r="T145" s="241"/>
      <c r="U145" s="241"/>
      <c r="V145" s="244"/>
      <c r="W145" s="241"/>
      <c r="X145" s="241"/>
      <c r="Y145" s="241"/>
      <c r="Z145" s="241"/>
      <c r="AA145" s="241"/>
      <c r="AB145" s="241"/>
      <c r="AC145" s="241"/>
      <c r="AD145" s="241"/>
      <c r="AE145" s="236"/>
      <c r="AF145" s="236"/>
    </row>
    <row r="146" spans="3:32" ht="13.5">
      <c r="C146" s="241"/>
      <c r="D146" s="242"/>
      <c r="E146" s="242"/>
      <c r="F146" s="242"/>
      <c r="G146" s="242"/>
      <c r="H146" s="242"/>
      <c r="I146" s="241"/>
      <c r="J146" s="241"/>
      <c r="K146" s="241"/>
      <c r="L146" s="241"/>
      <c r="M146" s="241"/>
      <c r="N146" s="241"/>
      <c r="O146" s="241"/>
      <c r="P146" s="241"/>
      <c r="Q146" s="236"/>
      <c r="R146" s="241"/>
      <c r="S146" s="241"/>
      <c r="T146" s="241"/>
      <c r="U146" s="241"/>
      <c r="V146" s="244"/>
      <c r="W146" s="241"/>
      <c r="X146" s="241"/>
      <c r="Y146" s="241"/>
      <c r="Z146" s="241"/>
      <c r="AA146" s="241"/>
      <c r="AB146" s="241"/>
      <c r="AC146" s="241"/>
      <c r="AD146" s="241"/>
      <c r="AE146" s="236"/>
      <c r="AF146" s="236"/>
    </row>
    <row r="147" spans="3:32" ht="13.5">
      <c r="C147" s="241"/>
      <c r="D147" s="242"/>
      <c r="E147" s="242"/>
      <c r="F147" s="242"/>
      <c r="G147" s="242"/>
      <c r="H147" s="242"/>
      <c r="I147" s="241"/>
      <c r="J147" s="241"/>
      <c r="K147" s="241"/>
      <c r="L147" s="241"/>
      <c r="M147" s="241"/>
      <c r="N147" s="241"/>
      <c r="O147" s="241"/>
      <c r="P147" s="241"/>
      <c r="Q147" s="236"/>
      <c r="R147" s="241"/>
      <c r="S147" s="241"/>
      <c r="T147" s="241"/>
      <c r="U147" s="241"/>
      <c r="V147" s="244"/>
      <c r="W147" s="241"/>
      <c r="X147" s="241"/>
      <c r="Y147" s="241"/>
      <c r="Z147" s="241"/>
      <c r="AA147" s="241"/>
      <c r="AB147" s="241"/>
      <c r="AC147" s="241"/>
      <c r="AD147" s="241"/>
      <c r="AE147" s="236"/>
      <c r="AF147" s="236"/>
    </row>
    <row r="148" spans="3:32" ht="13.5">
      <c r="C148" s="241"/>
      <c r="D148" s="242"/>
      <c r="E148" s="242"/>
      <c r="F148" s="242"/>
      <c r="G148" s="242"/>
      <c r="H148" s="242"/>
      <c r="I148" s="241"/>
      <c r="J148" s="241"/>
      <c r="K148" s="241"/>
      <c r="L148" s="241"/>
      <c r="M148" s="241"/>
      <c r="N148" s="241"/>
      <c r="O148" s="241"/>
      <c r="P148" s="241"/>
      <c r="Q148" s="236"/>
      <c r="R148" s="241"/>
      <c r="S148" s="241"/>
      <c r="T148" s="241"/>
      <c r="U148" s="241"/>
      <c r="V148" s="244"/>
      <c r="W148" s="241"/>
      <c r="X148" s="241"/>
      <c r="Y148" s="241"/>
      <c r="Z148" s="241"/>
      <c r="AA148" s="241"/>
      <c r="AB148" s="241"/>
      <c r="AC148" s="241"/>
      <c r="AD148" s="241"/>
      <c r="AE148" s="236"/>
      <c r="AF148" s="236"/>
    </row>
    <row r="149" spans="3:32" ht="13.5">
      <c r="C149" s="241"/>
      <c r="D149" s="242"/>
      <c r="E149" s="242"/>
      <c r="F149" s="242"/>
      <c r="G149" s="242"/>
      <c r="H149" s="242"/>
      <c r="I149" s="241"/>
      <c r="J149" s="241"/>
      <c r="K149" s="241"/>
      <c r="L149" s="241"/>
      <c r="M149" s="241"/>
      <c r="N149" s="241"/>
      <c r="O149" s="241"/>
      <c r="P149" s="241"/>
      <c r="Q149" s="236"/>
      <c r="R149" s="241"/>
      <c r="S149" s="241"/>
      <c r="T149" s="241"/>
      <c r="U149" s="241"/>
      <c r="V149" s="244"/>
      <c r="W149" s="241"/>
      <c r="X149" s="241"/>
      <c r="Y149" s="241"/>
      <c r="Z149" s="241"/>
      <c r="AA149" s="241"/>
      <c r="AB149" s="241"/>
      <c r="AC149" s="241"/>
      <c r="AD149" s="241"/>
      <c r="AE149" s="236"/>
      <c r="AF149" s="236"/>
    </row>
    <row r="150" spans="3:32" ht="13.5">
      <c r="C150" s="241"/>
      <c r="D150" s="242"/>
      <c r="E150" s="242"/>
      <c r="F150" s="242"/>
      <c r="G150" s="242"/>
      <c r="H150" s="242"/>
      <c r="I150" s="241"/>
      <c r="J150" s="241"/>
      <c r="K150" s="241"/>
      <c r="L150" s="241"/>
      <c r="M150" s="241"/>
      <c r="N150" s="241"/>
      <c r="O150" s="241"/>
      <c r="P150" s="241"/>
      <c r="Q150" s="236"/>
      <c r="R150" s="241"/>
      <c r="S150" s="241"/>
      <c r="T150" s="241"/>
      <c r="U150" s="241"/>
      <c r="V150" s="244"/>
      <c r="W150" s="241"/>
      <c r="X150" s="241"/>
      <c r="Y150" s="241"/>
      <c r="Z150" s="241"/>
      <c r="AA150" s="241"/>
      <c r="AB150" s="241"/>
      <c r="AC150" s="241"/>
      <c r="AD150" s="241"/>
      <c r="AE150" s="236"/>
      <c r="AF150" s="236"/>
    </row>
    <row r="151" spans="3:32" ht="13.5">
      <c r="C151" s="241"/>
      <c r="D151" s="242"/>
      <c r="E151" s="242"/>
      <c r="F151" s="242"/>
      <c r="G151" s="242"/>
      <c r="H151" s="242"/>
      <c r="I151" s="241"/>
      <c r="J151" s="241"/>
      <c r="K151" s="241"/>
      <c r="L151" s="241"/>
      <c r="M151" s="241"/>
      <c r="N151" s="241"/>
      <c r="O151" s="241"/>
      <c r="P151" s="241"/>
      <c r="Q151" s="236"/>
      <c r="R151" s="241"/>
      <c r="S151" s="241"/>
      <c r="T151" s="241"/>
      <c r="U151" s="241"/>
      <c r="V151" s="244"/>
      <c r="W151" s="241"/>
      <c r="X151" s="241"/>
      <c r="Y151" s="241"/>
      <c r="Z151" s="241"/>
      <c r="AA151" s="241"/>
      <c r="AB151" s="241"/>
      <c r="AC151" s="241"/>
      <c r="AD151" s="241"/>
      <c r="AE151" s="236"/>
      <c r="AF151" s="236"/>
    </row>
    <row r="152" spans="3:32" ht="13.5">
      <c r="C152" s="241"/>
      <c r="D152" s="242"/>
      <c r="E152" s="242"/>
      <c r="F152" s="242"/>
      <c r="G152" s="242"/>
      <c r="H152" s="242"/>
      <c r="I152" s="241"/>
      <c r="J152" s="241"/>
      <c r="K152" s="241"/>
      <c r="L152" s="241"/>
      <c r="M152" s="241"/>
      <c r="N152" s="241"/>
      <c r="O152" s="241"/>
      <c r="P152" s="241"/>
      <c r="Q152" s="236"/>
      <c r="R152" s="241"/>
      <c r="S152" s="241"/>
      <c r="T152" s="241"/>
      <c r="U152" s="241"/>
      <c r="V152" s="244"/>
      <c r="W152" s="241"/>
      <c r="X152" s="241"/>
      <c r="Y152" s="241"/>
      <c r="Z152" s="241"/>
      <c r="AA152" s="241"/>
      <c r="AB152" s="241"/>
      <c r="AC152" s="241"/>
      <c r="AD152" s="241"/>
      <c r="AE152" s="236"/>
      <c r="AF152" s="236"/>
    </row>
    <row r="153" spans="3:32" ht="13.5">
      <c r="C153" s="241"/>
      <c r="D153" s="242"/>
      <c r="E153" s="242"/>
      <c r="F153" s="242"/>
      <c r="G153" s="242"/>
      <c r="H153" s="242"/>
      <c r="I153" s="241"/>
      <c r="J153" s="241"/>
      <c r="K153" s="241"/>
      <c r="L153" s="241"/>
      <c r="M153" s="241"/>
      <c r="N153" s="241"/>
      <c r="O153" s="241"/>
      <c r="P153" s="241"/>
      <c r="Q153" s="236"/>
      <c r="R153" s="241"/>
      <c r="S153" s="241"/>
      <c r="T153" s="241"/>
      <c r="U153" s="241"/>
      <c r="V153" s="244"/>
      <c r="W153" s="241"/>
      <c r="X153" s="241"/>
      <c r="Y153" s="241"/>
      <c r="Z153" s="241"/>
      <c r="AA153" s="241"/>
      <c r="AB153" s="241"/>
      <c r="AC153" s="241"/>
      <c r="AD153" s="241"/>
      <c r="AE153" s="236"/>
      <c r="AF153" s="236"/>
    </row>
    <row r="154" spans="3:32" ht="13.5">
      <c r="C154" s="241"/>
      <c r="D154" s="242"/>
      <c r="E154" s="242"/>
      <c r="F154" s="242"/>
      <c r="G154" s="242"/>
      <c r="H154" s="242"/>
      <c r="I154" s="241"/>
      <c r="J154" s="241"/>
      <c r="K154" s="241"/>
      <c r="L154" s="241"/>
      <c r="M154" s="241"/>
      <c r="N154" s="241"/>
      <c r="O154" s="241"/>
      <c r="P154" s="241"/>
      <c r="Q154" s="236"/>
      <c r="R154" s="241"/>
      <c r="S154" s="241"/>
      <c r="T154" s="241"/>
      <c r="U154" s="241"/>
      <c r="V154" s="244"/>
      <c r="W154" s="241"/>
      <c r="X154" s="241"/>
      <c r="Y154" s="241"/>
      <c r="Z154" s="241"/>
      <c r="AA154" s="241"/>
      <c r="AB154" s="241"/>
      <c r="AC154" s="241"/>
      <c r="AD154" s="241"/>
      <c r="AE154" s="236"/>
      <c r="AF154" s="236"/>
    </row>
    <row r="155" spans="3:32" ht="13.5">
      <c r="C155" s="241"/>
      <c r="D155" s="242"/>
      <c r="E155" s="242"/>
      <c r="F155" s="242"/>
      <c r="G155" s="242"/>
      <c r="H155" s="242"/>
      <c r="I155" s="241"/>
      <c r="J155" s="241"/>
      <c r="K155" s="241"/>
      <c r="L155" s="241"/>
      <c r="M155" s="241"/>
      <c r="N155" s="241"/>
      <c r="O155" s="241"/>
      <c r="P155" s="241"/>
      <c r="Q155" s="236"/>
      <c r="R155" s="241"/>
      <c r="S155" s="241"/>
      <c r="T155" s="241"/>
      <c r="U155" s="241"/>
      <c r="V155" s="244"/>
      <c r="W155" s="241"/>
      <c r="X155" s="241"/>
      <c r="Y155" s="241"/>
      <c r="Z155" s="241"/>
      <c r="AA155" s="241"/>
      <c r="AB155" s="241"/>
      <c r="AC155" s="241"/>
      <c r="AD155" s="241"/>
      <c r="AE155" s="236"/>
      <c r="AF155" s="236"/>
    </row>
    <row r="156" spans="3:32" ht="13.5">
      <c r="C156" s="241"/>
      <c r="D156" s="242"/>
      <c r="E156" s="242"/>
      <c r="F156" s="242"/>
      <c r="G156" s="242"/>
      <c r="H156" s="242"/>
      <c r="I156" s="241"/>
      <c r="J156" s="241"/>
      <c r="K156" s="241"/>
      <c r="L156" s="241"/>
      <c r="M156" s="241"/>
      <c r="N156" s="241"/>
      <c r="O156" s="241"/>
      <c r="P156" s="241"/>
      <c r="Q156" s="236"/>
      <c r="R156" s="241"/>
      <c r="S156" s="241"/>
      <c r="T156" s="241"/>
      <c r="U156" s="241"/>
      <c r="V156" s="244"/>
      <c r="W156" s="241"/>
      <c r="X156" s="241"/>
      <c r="Y156" s="241"/>
      <c r="Z156" s="241"/>
      <c r="AA156" s="241"/>
      <c r="AB156" s="241"/>
      <c r="AC156" s="241"/>
      <c r="AD156" s="241"/>
      <c r="AE156" s="236"/>
      <c r="AF156" s="236"/>
    </row>
    <row r="157" spans="3:32" ht="13.5">
      <c r="C157" s="241"/>
      <c r="D157" s="242"/>
      <c r="E157" s="242"/>
      <c r="F157" s="242"/>
      <c r="G157" s="242"/>
      <c r="H157" s="242"/>
      <c r="I157" s="241"/>
      <c r="J157" s="241"/>
      <c r="K157" s="241"/>
      <c r="L157" s="241"/>
      <c r="M157" s="241"/>
      <c r="N157" s="241"/>
      <c r="O157" s="241"/>
      <c r="P157" s="241"/>
      <c r="Q157" s="236"/>
      <c r="R157" s="241"/>
      <c r="S157" s="241"/>
      <c r="T157" s="241"/>
      <c r="U157" s="241"/>
      <c r="V157" s="244"/>
      <c r="W157" s="241"/>
      <c r="X157" s="241"/>
      <c r="Y157" s="241"/>
      <c r="Z157" s="241"/>
      <c r="AA157" s="241"/>
      <c r="AB157" s="241"/>
      <c r="AC157" s="241"/>
      <c r="AD157" s="241"/>
      <c r="AE157" s="236"/>
      <c r="AF157" s="236"/>
    </row>
    <row r="158" spans="3:32" ht="13.5">
      <c r="C158" s="241"/>
      <c r="D158" s="242"/>
      <c r="E158" s="242"/>
      <c r="F158" s="242"/>
      <c r="G158" s="242"/>
      <c r="H158" s="242"/>
      <c r="I158" s="241"/>
      <c r="J158" s="241"/>
      <c r="K158" s="241"/>
      <c r="L158" s="241"/>
      <c r="M158" s="241"/>
      <c r="N158" s="241"/>
      <c r="O158" s="241"/>
      <c r="P158" s="241"/>
      <c r="Q158" s="236"/>
      <c r="R158" s="241"/>
      <c r="S158" s="241"/>
      <c r="T158" s="241"/>
      <c r="U158" s="241"/>
      <c r="V158" s="244"/>
      <c r="W158" s="241"/>
      <c r="X158" s="241"/>
      <c r="Y158" s="241"/>
      <c r="Z158" s="241"/>
      <c r="AA158" s="241"/>
      <c r="AB158" s="241"/>
      <c r="AC158" s="241"/>
      <c r="AD158" s="241"/>
      <c r="AE158" s="236"/>
      <c r="AF158" s="236"/>
    </row>
    <row r="159" spans="3:32" ht="13.5">
      <c r="C159" s="241"/>
      <c r="D159" s="242"/>
      <c r="E159" s="242"/>
      <c r="F159" s="242"/>
      <c r="G159" s="242"/>
      <c r="H159" s="242"/>
      <c r="I159" s="241"/>
      <c r="J159" s="241"/>
      <c r="K159" s="241"/>
      <c r="L159" s="241"/>
      <c r="M159" s="241"/>
      <c r="N159" s="241"/>
      <c r="O159" s="241"/>
      <c r="P159" s="241"/>
      <c r="Q159" s="236"/>
      <c r="R159" s="241"/>
      <c r="S159" s="241"/>
      <c r="T159" s="241"/>
      <c r="U159" s="241"/>
      <c r="V159" s="244"/>
      <c r="W159" s="241"/>
      <c r="X159" s="241"/>
      <c r="Y159" s="241"/>
      <c r="Z159" s="241"/>
      <c r="AA159" s="241"/>
      <c r="AB159" s="241"/>
      <c r="AC159" s="241"/>
      <c r="AD159" s="241"/>
      <c r="AE159" s="236"/>
      <c r="AF159" s="236"/>
    </row>
    <row r="160" spans="3:32" ht="13.5">
      <c r="C160" s="241"/>
      <c r="D160" s="242"/>
      <c r="E160" s="242"/>
      <c r="F160" s="242"/>
      <c r="G160" s="242"/>
      <c r="H160" s="242"/>
      <c r="I160" s="241"/>
      <c r="J160" s="241"/>
      <c r="K160" s="241"/>
      <c r="L160" s="241"/>
      <c r="M160" s="241"/>
      <c r="N160" s="241"/>
      <c r="O160" s="241"/>
      <c r="P160" s="241"/>
      <c r="Q160" s="236"/>
      <c r="R160" s="241"/>
      <c r="S160" s="241"/>
      <c r="T160" s="241"/>
      <c r="U160" s="241"/>
      <c r="V160" s="244"/>
      <c r="W160" s="241"/>
      <c r="X160" s="241"/>
      <c r="Y160" s="241"/>
      <c r="Z160" s="241"/>
      <c r="AA160" s="241"/>
      <c r="AB160" s="241"/>
      <c r="AC160" s="241"/>
      <c r="AD160" s="241"/>
      <c r="AE160" s="236"/>
      <c r="AF160" s="236"/>
    </row>
    <row r="161" spans="3:32" ht="13.5">
      <c r="C161" s="241"/>
      <c r="D161" s="242"/>
      <c r="E161" s="242"/>
      <c r="F161" s="242"/>
      <c r="G161" s="242"/>
      <c r="H161" s="242"/>
      <c r="I161" s="241"/>
      <c r="J161" s="241"/>
      <c r="K161" s="241"/>
      <c r="L161" s="241"/>
      <c r="M161" s="241"/>
      <c r="N161" s="241"/>
      <c r="O161" s="241"/>
      <c r="P161" s="241"/>
      <c r="Q161" s="236"/>
      <c r="R161" s="241"/>
      <c r="S161" s="241"/>
      <c r="T161" s="241"/>
      <c r="U161" s="241"/>
      <c r="V161" s="244"/>
      <c r="W161" s="241"/>
      <c r="X161" s="241"/>
      <c r="Y161" s="241"/>
      <c r="Z161" s="241"/>
      <c r="AA161" s="241"/>
      <c r="AB161" s="241"/>
      <c r="AC161" s="241"/>
      <c r="AD161" s="241"/>
      <c r="AE161" s="236"/>
      <c r="AF161" s="236"/>
    </row>
    <row r="162" spans="3:32" ht="13.5">
      <c r="C162" s="241"/>
      <c r="D162" s="242"/>
      <c r="E162" s="242"/>
      <c r="F162" s="242"/>
      <c r="G162" s="242"/>
      <c r="H162" s="242"/>
      <c r="I162" s="241"/>
      <c r="J162" s="241"/>
      <c r="K162" s="241"/>
      <c r="L162" s="241"/>
      <c r="M162" s="241"/>
      <c r="N162" s="241"/>
      <c r="O162" s="241"/>
      <c r="P162" s="241"/>
      <c r="Q162" s="236"/>
      <c r="R162" s="241"/>
      <c r="S162" s="241"/>
      <c r="T162" s="241"/>
      <c r="U162" s="241"/>
      <c r="V162" s="244"/>
      <c r="W162" s="241"/>
      <c r="X162" s="241"/>
      <c r="Y162" s="241"/>
      <c r="Z162" s="241"/>
      <c r="AA162" s="241"/>
      <c r="AB162" s="241"/>
      <c r="AC162" s="241"/>
      <c r="AD162" s="241"/>
      <c r="AE162" s="236"/>
      <c r="AF162" s="236"/>
    </row>
    <row r="163" spans="3:32" ht="13.5">
      <c r="C163" s="241"/>
      <c r="D163" s="242"/>
      <c r="E163" s="242"/>
      <c r="F163" s="242"/>
      <c r="G163" s="242"/>
      <c r="H163" s="242"/>
      <c r="I163" s="241"/>
      <c r="J163" s="241"/>
      <c r="K163" s="241"/>
      <c r="L163" s="241"/>
      <c r="M163" s="241"/>
      <c r="N163" s="241"/>
      <c r="O163" s="241"/>
      <c r="P163" s="241"/>
      <c r="Q163" s="236"/>
      <c r="R163" s="241"/>
      <c r="S163" s="241"/>
      <c r="T163" s="241"/>
      <c r="U163" s="241"/>
      <c r="V163" s="244"/>
      <c r="W163" s="241"/>
      <c r="X163" s="241"/>
      <c r="Y163" s="241"/>
      <c r="Z163" s="241"/>
      <c r="AA163" s="241"/>
      <c r="AB163" s="241"/>
      <c r="AC163" s="241"/>
      <c r="AD163" s="241"/>
      <c r="AE163" s="236"/>
      <c r="AF163" s="236"/>
    </row>
    <row r="164" spans="3:32" ht="13.5">
      <c r="C164" s="241"/>
      <c r="D164" s="242"/>
      <c r="E164" s="242"/>
      <c r="F164" s="242"/>
      <c r="G164" s="242"/>
      <c r="H164" s="242"/>
      <c r="I164" s="241"/>
      <c r="J164" s="241"/>
      <c r="K164" s="241"/>
      <c r="L164" s="241"/>
      <c r="M164" s="241"/>
      <c r="N164" s="241"/>
      <c r="O164" s="241"/>
      <c r="P164" s="241"/>
      <c r="Q164" s="236"/>
      <c r="R164" s="241"/>
      <c r="S164" s="241"/>
      <c r="T164" s="241"/>
      <c r="U164" s="241"/>
      <c r="V164" s="244"/>
      <c r="W164" s="241"/>
      <c r="X164" s="241"/>
      <c r="Y164" s="241"/>
      <c r="Z164" s="241"/>
      <c r="AA164" s="241"/>
      <c r="AB164" s="241"/>
      <c r="AC164" s="241"/>
      <c r="AD164" s="241"/>
      <c r="AE164" s="236"/>
      <c r="AF164" s="236"/>
    </row>
    <row r="165" spans="3:32" ht="13.5">
      <c r="C165" s="241"/>
      <c r="D165" s="242"/>
      <c r="E165" s="242"/>
      <c r="F165" s="242"/>
      <c r="G165" s="242"/>
      <c r="H165" s="242"/>
      <c r="I165" s="241"/>
      <c r="J165" s="241"/>
      <c r="K165" s="241"/>
      <c r="L165" s="241"/>
      <c r="M165" s="241"/>
      <c r="N165" s="241"/>
      <c r="O165" s="241"/>
      <c r="P165" s="241"/>
      <c r="Q165" s="236"/>
      <c r="R165" s="241"/>
      <c r="S165" s="241"/>
      <c r="T165" s="241"/>
      <c r="U165" s="241"/>
      <c r="V165" s="244"/>
      <c r="W165" s="241"/>
      <c r="X165" s="241"/>
      <c r="Y165" s="241"/>
      <c r="Z165" s="241"/>
      <c r="AA165" s="241"/>
      <c r="AB165" s="241"/>
      <c r="AC165" s="241"/>
      <c r="AD165" s="241"/>
      <c r="AE165" s="236"/>
      <c r="AF165" s="236"/>
    </row>
    <row r="166" spans="3:32" ht="13.5">
      <c r="C166" s="241"/>
      <c r="D166" s="242"/>
      <c r="E166" s="242"/>
      <c r="F166" s="242"/>
      <c r="G166" s="242"/>
      <c r="H166" s="242"/>
      <c r="I166" s="241"/>
      <c r="J166" s="241"/>
      <c r="K166" s="241"/>
      <c r="L166" s="241"/>
      <c r="M166" s="241"/>
      <c r="N166" s="241"/>
      <c r="O166" s="241"/>
      <c r="P166" s="241"/>
      <c r="Q166" s="236"/>
      <c r="R166" s="241"/>
      <c r="S166" s="241"/>
      <c r="T166" s="241"/>
      <c r="U166" s="241"/>
      <c r="V166" s="244"/>
      <c r="W166" s="241"/>
      <c r="X166" s="241"/>
      <c r="Y166" s="241"/>
      <c r="Z166" s="241"/>
      <c r="AA166" s="241"/>
      <c r="AB166" s="241"/>
      <c r="AC166" s="241"/>
      <c r="AD166" s="241"/>
      <c r="AE166" s="236"/>
      <c r="AF166" s="236"/>
    </row>
    <row r="167" spans="3:32" ht="13.5">
      <c r="C167" s="241"/>
      <c r="D167" s="242"/>
      <c r="E167" s="242"/>
      <c r="F167" s="242"/>
      <c r="G167" s="242"/>
      <c r="H167" s="242"/>
      <c r="I167" s="241"/>
      <c r="J167" s="241"/>
      <c r="K167" s="241"/>
      <c r="L167" s="241"/>
      <c r="M167" s="241"/>
      <c r="N167" s="241"/>
      <c r="O167" s="241"/>
      <c r="P167" s="241"/>
      <c r="Q167" s="236"/>
      <c r="R167" s="241"/>
      <c r="S167" s="241"/>
      <c r="T167" s="241"/>
      <c r="U167" s="241"/>
      <c r="V167" s="244"/>
      <c r="W167" s="241"/>
      <c r="X167" s="241"/>
      <c r="Y167" s="241"/>
      <c r="Z167" s="241"/>
      <c r="AA167" s="241"/>
      <c r="AB167" s="241"/>
      <c r="AC167" s="241"/>
      <c r="AD167" s="241"/>
      <c r="AE167" s="236"/>
      <c r="AF167" s="236"/>
    </row>
    <row r="168" spans="3:32" ht="13.5">
      <c r="C168" s="241"/>
      <c r="D168" s="242"/>
      <c r="E168" s="242"/>
      <c r="F168" s="242"/>
      <c r="G168" s="242"/>
      <c r="H168" s="242"/>
      <c r="I168" s="241"/>
      <c r="J168" s="241"/>
      <c r="K168" s="241"/>
      <c r="L168" s="241"/>
      <c r="M168" s="241"/>
      <c r="N168" s="241"/>
      <c r="O168" s="241"/>
      <c r="P168" s="241"/>
      <c r="Q168" s="236"/>
      <c r="R168" s="241"/>
      <c r="S168" s="241"/>
      <c r="T168" s="241"/>
      <c r="U168" s="241"/>
      <c r="V168" s="244"/>
      <c r="W168" s="241"/>
      <c r="X168" s="241"/>
      <c r="Y168" s="241"/>
      <c r="Z168" s="241"/>
      <c r="AA168" s="241"/>
      <c r="AB168" s="241"/>
      <c r="AC168" s="241"/>
      <c r="AD168" s="241"/>
      <c r="AE168" s="236"/>
      <c r="AF168" s="236"/>
    </row>
    <row r="169" spans="3:32" ht="13.5">
      <c r="C169" s="241"/>
      <c r="D169" s="242"/>
      <c r="E169" s="242"/>
      <c r="F169" s="242"/>
      <c r="G169" s="242"/>
      <c r="H169" s="242"/>
      <c r="I169" s="241"/>
      <c r="J169" s="241"/>
      <c r="K169" s="241"/>
      <c r="L169" s="241"/>
      <c r="M169" s="241"/>
      <c r="N169" s="241"/>
      <c r="O169" s="241"/>
      <c r="P169" s="241"/>
      <c r="Q169" s="236"/>
      <c r="R169" s="241"/>
      <c r="S169" s="241"/>
      <c r="T169" s="241"/>
      <c r="U169" s="241"/>
      <c r="V169" s="244"/>
      <c r="W169" s="241"/>
      <c r="X169" s="241"/>
      <c r="Y169" s="241"/>
      <c r="Z169" s="241"/>
      <c r="AA169" s="241"/>
      <c r="AB169" s="241"/>
      <c r="AC169" s="241"/>
      <c r="AD169" s="241"/>
      <c r="AE169" s="236"/>
      <c r="AF169" s="236"/>
    </row>
    <row r="170" spans="3:32" ht="13.5">
      <c r="C170" s="241"/>
      <c r="D170" s="242"/>
      <c r="E170" s="242"/>
      <c r="F170" s="242"/>
      <c r="G170" s="242"/>
      <c r="H170" s="242"/>
      <c r="I170" s="241"/>
      <c r="J170" s="241"/>
      <c r="K170" s="241"/>
      <c r="L170" s="241"/>
      <c r="M170" s="241"/>
      <c r="N170" s="241"/>
      <c r="O170" s="241"/>
      <c r="P170" s="241"/>
      <c r="Q170" s="236"/>
      <c r="R170" s="241"/>
      <c r="S170" s="241"/>
      <c r="T170" s="241"/>
      <c r="U170" s="241"/>
      <c r="V170" s="244"/>
      <c r="W170" s="241"/>
      <c r="X170" s="241"/>
      <c r="Y170" s="241"/>
      <c r="Z170" s="241"/>
      <c r="AA170" s="241"/>
      <c r="AB170" s="241"/>
      <c r="AC170" s="241"/>
      <c r="AD170" s="241"/>
      <c r="AE170" s="236"/>
      <c r="AF170" s="236"/>
    </row>
    <row r="171" spans="3:32" ht="13.5">
      <c r="C171" s="241"/>
      <c r="D171" s="242"/>
      <c r="E171" s="242"/>
      <c r="F171" s="242"/>
      <c r="G171" s="242"/>
      <c r="H171" s="242"/>
      <c r="I171" s="241"/>
      <c r="J171" s="241"/>
      <c r="K171" s="241"/>
      <c r="L171" s="241"/>
      <c r="M171" s="241"/>
      <c r="N171" s="241"/>
      <c r="O171" s="241"/>
      <c r="P171" s="241"/>
      <c r="Q171" s="236"/>
      <c r="R171" s="241"/>
      <c r="S171" s="241"/>
      <c r="T171" s="241"/>
      <c r="U171" s="241"/>
      <c r="V171" s="244"/>
      <c r="W171" s="241"/>
      <c r="X171" s="241"/>
      <c r="Y171" s="241"/>
      <c r="Z171" s="241"/>
      <c r="AA171" s="241"/>
      <c r="AB171" s="241"/>
      <c r="AC171" s="241"/>
      <c r="AD171" s="241"/>
      <c r="AE171" s="236"/>
      <c r="AF171" s="236"/>
    </row>
    <row r="172" spans="3:32" ht="13.5">
      <c r="C172" s="241"/>
      <c r="D172" s="242"/>
      <c r="E172" s="242"/>
      <c r="F172" s="242"/>
      <c r="G172" s="242"/>
      <c r="H172" s="242"/>
      <c r="I172" s="241"/>
      <c r="J172" s="241"/>
      <c r="K172" s="241"/>
      <c r="L172" s="241"/>
      <c r="M172" s="241"/>
      <c r="N172" s="241"/>
      <c r="O172" s="241"/>
      <c r="P172" s="241"/>
      <c r="Q172" s="236"/>
      <c r="R172" s="241"/>
      <c r="S172" s="241"/>
      <c r="T172" s="241"/>
      <c r="U172" s="241"/>
      <c r="V172" s="244"/>
      <c r="W172" s="241"/>
      <c r="X172" s="241"/>
      <c r="Y172" s="241"/>
      <c r="Z172" s="241"/>
      <c r="AA172" s="241"/>
      <c r="AB172" s="241"/>
      <c r="AC172" s="241"/>
      <c r="AD172" s="241"/>
      <c r="AE172" s="236"/>
      <c r="AF172" s="236"/>
    </row>
    <row r="173" spans="3:32" ht="13.5">
      <c r="C173" s="241"/>
      <c r="D173" s="242"/>
      <c r="E173" s="242"/>
      <c r="F173" s="242"/>
      <c r="G173" s="242"/>
      <c r="H173" s="242"/>
      <c r="I173" s="241"/>
      <c r="J173" s="241"/>
      <c r="K173" s="241"/>
      <c r="L173" s="241"/>
      <c r="M173" s="241"/>
      <c r="N173" s="241"/>
      <c r="O173" s="241"/>
      <c r="P173" s="241"/>
      <c r="Q173" s="236"/>
      <c r="R173" s="241"/>
      <c r="S173" s="241"/>
      <c r="T173" s="241"/>
      <c r="U173" s="241"/>
      <c r="V173" s="244"/>
      <c r="W173" s="241"/>
      <c r="X173" s="241"/>
      <c r="Y173" s="241"/>
      <c r="Z173" s="241"/>
      <c r="AA173" s="241"/>
      <c r="AB173" s="241"/>
      <c r="AC173" s="241"/>
      <c r="AD173" s="241"/>
      <c r="AE173" s="236"/>
      <c r="AF173" s="236"/>
    </row>
    <row r="174" spans="3:32" ht="13.5">
      <c r="C174" s="241"/>
      <c r="D174" s="242"/>
      <c r="E174" s="242"/>
      <c r="F174" s="242"/>
      <c r="G174" s="242"/>
      <c r="H174" s="242"/>
      <c r="I174" s="241"/>
      <c r="J174" s="241"/>
      <c r="K174" s="241"/>
      <c r="L174" s="241"/>
      <c r="M174" s="241"/>
      <c r="N174" s="241"/>
      <c r="O174" s="241"/>
      <c r="P174" s="241"/>
      <c r="Q174" s="236"/>
      <c r="R174" s="241"/>
      <c r="S174" s="241"/>
      <c r="T174" s="241"/>
      <c r="U174" s="241"/>
      <c r="V174" s="244"/>
      <c r="W174" s="241"/>
      <c r="X174" s="241"/>
      <c r="Y174" s="241"/>
      <c r="Z174" s="241"/>
      <c r="AA174" s="241"/>
      <c r="AB174" s="241"/>
      <c r="AC174" s="241"/>
      <c r="AD174" s="241"/>
      <c r="AE174" s="236"/>
      <c r="AF174" s="236"/>
    </row>
    <row r="175" spans="3:32" ht="13.5">
      <c r="C175" s="241"/>
      <c r="D175" s="242"/>
      <c r="E175" s="242"/>
      <c r="F175" s="242"/>
      <c r="G175" s="242"/>
      <c r="H175" s="242"/>
      <c r="I175" s="241"/>
      <c r="J175" s="241"/>
      <c r="K175" s="241"/>
      <c r="L175" s="241"/>
      <c r="M175" s="241"/>
      <c r="N175" s="241"/>
      <c r="O175" s="241"/>
      <c r="P175" s="241"/>
      <c r="Q175" s="236"/>
      <c r="R175" s="241"/>
      <c r="S175" s="241"/>
      <c r="T175" s="241"/>
      <c r="U175" s="241"/>
      <c r="V175" s="244"/>
      <c r="W175" s="241"/>
      <c r="X175" s="241"/>
      <c r="Y175" s="241"/>
      <c r="Z175" s="241"/>
      <c r="AA175" s="241"/>
      <c r="AB175" s="241"/>
      <c r="AC175" s="241"/>
      <c r="AD175" s="241"/>
      <c r="AE175" s="236"/>
      <c r="AF175" s="236"/>
    </row>
    <row r="176" spans="3:32" ht="13.5">
      <c r="C176" s="241"/>
      <c r="D176" s="242"/>
      <c r="E176" s="242"/>
      <c r="F176" s="242"/>
      <c r="G176" s="242"/>
      <c r="H176" s="242"/>
      <c r="I176" s="241"/>
      <c r="J176" s="241"/>
      <c r="K176" s="241"/>
      <c r="L176" s="241"/>
      <c r="M176" s="241"/>
      <c r="N176" s="241"/>
      <c r="O176" s="241"/>
      <c r="P176" s="241"/>
      <c r="Q176" s="236"/>
      <c r="R176" s="241"/>
      <c r="S176" s="241"/>
      <c r="T176" s="241"/>
      <c r="U176" s="241"/>
      <c r="V176" s="244"/>
      <c r="W176" s="241"/>
      <c r="X176" s="241"/>
      <c r="Y176" s="241"/>
      <c r="Z176" s="241"/>
      <c r="AA176" s="241"/>
      <c r="AB176" s="241"/>
      <c r="AC176" s="241"/>
      <c r="AD176" s="241"/>
      <c r="AE176" s="236"/>
      <c r="AF176" s="236"/>
    </row>
    <row r="177" spans="3:32" ht="13.5">
      <c r="C177" s="241"/>
      <c r="D177" s="242"/>
      <c r="E177" s="242"/>
      <c r="F177" s="242"/>
      <c r="G177" s="242"/>
      <c r="H177" s="242"/>
      <c r="I177" s="241"/>
      <c r="J177" s="241"/>
      <c r="K177" s="241"/>
      <c r="L177" s="241"/>
      <c r="M177" s="241"/>
      <c r="N177" s="241"/>
      <c r="O177" s="241"/>
      <c r="P177" s="241"/>
      <c r="Q177" s="236"/>
      <c r="R177" s="241"/>
      <c r="S177" s="241"/>
      <c r="T177" s="241"/>
      <c r="U177" s="241"/>
      <c r="V177" s="244"/>
      <c r="W177" s="241"/>
      <c r="X177" s="241"/>
      <c r="Y177" s="241"/>
      <c r="Z177" s="241"/>
      <c r="AA177" s="241"/>
      <c r="AB177" s="241"/>
      <c r="AC177" s="241"/>
      <c r="AD177" s="241"/>
      <c r="AE177" s="236"/>
      <c r="AF177" s="236"/>
    </row>
    <row r="178" spans="3:32" ht="13.5">
      <c r="C178" s="241"/>
      <c r="D178" s="242"/>
      <c r="E178" s="242"/>
      <c r="F178" s="242"/>
      <c r="G178" s="242"/>
      <c r="H178" s="242"/>
      <c r="I178" s="241"/>
      <c r="J178" s="241"/>
      <c r="K178" s="241"/>
      <c r="L178" s="241"/>
      <c r="M178" s="241"/>
      <c r="N178" s="241"/>
      <c r="O178" s="241"/>
      <c r="P178" s="241"/>
      <c r="Q178" s="236"/>
      <c r="R178" s="241"/>
      <c r="S178" s="241"/>
      <c r="T178" s="241"/>
      <c r="U178" s="241"/>
      <c r="V178" s="244"/>
      <c r="W178" s="241"/>
      <c r="X178" s="241"/>
      <c r="Y178" s="241"/>
      <c r="Z178" s="241"/>
      <c r="AA178" s="241"/>
      <c r="AB178" s="241"/>
      <c r="AC178" s="241"/>
      <c r="AD178" s="241"/>
      <c r="AE178" s="236"/>
      <c r="AF178" s="236"/>
    </row>
    <row r="179" spans="3:32" ht="13.5">
      <c r="C179" s="241"/>
      <c r="D179" s="242"/>
      <c r="E179" s="242"/>
      <c r="F179" s="242"/>
      <c r="G179" s="242"/>
      <c r="H179" s="242"/>
      <c r="I179" s="241"/>
      <c r="J179" s="241"/>
      <c r="K179" s="241"/>
      <c r="L179" s="241"/>
      <c r="M179" s="241"/>
      <c r="N179" s="241"/>
      <c r="O179" s="241"/>
      <c r="P179" s="241"/>
      <c r="Q179" s="236"/>
      <c r="R179" s="241"/>
      <c r="S179" s="241"/>
      <c r="T179" s="241"/>
      <c r="U179" s="241"/>
      <c r="V179" s="244"/>
      <c r="W179" s="241"/>
      <c r="X179" s="241"/>
      <c r="Y179" s="241"/>
      <c r="Z179" s="241"/>
      <c r="AA179" s="241"/>
      <c r="AB179" s="241"/>
      <c r="AC179" s="241"/>
      <c r="AD179" s="241"/>
      <c r="AE179" s="236"/>
      <c r="AF179" s="236"/>
    </row>
  </sheetData>
  <autoFilter ref="A5:AD50" xr:uid="{00000000-0009-0000-0000-00000500000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autoFilter>
  <mergeCells count="5">
    <mergeCell ref="C5:C7"/>
    <mergeCell ref="D5:AD5"/>
    <mergeCell ref="D6:P6"/>
    <mergeCell ref="Q6:Q7"/>
    <mergeCell ref="R6:AD6"/>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H177"/>
  <sheetViews>
    <sheetView topLeftCell="C1" workbookViewId="0"/>
  </sheetViews>
  <sheetFormatPr defaultRowHeight="10.5"/>
  <cols>
    <col min="1" max="2" width="0" hidden="1" customWidth="1"/>
    <col min="3" max="3" width="47.6640625" customWidth="1"/>
    <col min="4" max="4" width="21.33203125" customWidth="1"/>
    <col min="5" max="5" width="23.1640625" customWidth="1"/>
    <col min="6" max="6" width="24.33203125" customWidth="1"/>
    <col min="7" max="7" width="22" customWidth="1"/>
    <col min="8" max="9" width="23.1640625" customWidth="1"/>
    <col min="10" max="10" width="22.1640625" customWidth="1"/>
    <col min="11" max="11" width="24.5" customWidth="1"/>
    <col min="12" max="15" width="26.6640625" customWidth="1"/>
    <col min="16" max="16" width="24.83203125" customWidth="1"/>
    <col min="17" max="17" width="26.33203125" style="261" customWidth="1"/>
    <col min="18" max="18" width="16.1640625" customWidth="1"/>
    <col min="19" max="19" width="16.33203125" customWidth="1"/>
    <col min="20" max="20" width="16.1640625" customWidth="1"/>
    <col min="21" max="21" width="16.33203125" customWidth="1"/>
    <col min="22" max="29" width="18.1640625" customWidth="1"/>
    <col min="30" max="30" width="22.33203125" customWidth="1"/>
    <col min="31" max="31" width="24" customWidth="1"/>
    <col min="32" max="32" width="23.83203125" customWidth="1"/>
    <col min="33" max="33" width="18.1640625" customWidth="1"/>
    <col min="34" max="34" width="11.83203125" customWidth="1"/>
  </cols>
  <sheetData>
    <row r="1" spans="1:34" ht="15.4">
      <c r="C1" s="21" t="s">
        <v>16</v>
      </c>
      <c r="D1" s="6"/>
      <c r="E1" s="6"/>
      <c r="F1" s="6"/>
      <c r="G1" s="6"/>
      <c r="H1" s="6"/>
      <c r="I1" s="5"/>
      <c r="J1" s="5"/>
      <c r="K1" s="5"/>
      <c r="L1" s="5"/>
      <c r="M1" s="5"/>
      <c r="N1" s="5"/>
      <c r="O1" s="5"/>
      <c r="P1" s="5"/>
      <c r="Q1" s="38"/>
      <c r="R1" s="5"/>
      <c r="S1" s="5"/>
      <c r="T1" s="5"/>
      <c r="U1" s="5"/>
      <c r="V1" s="41"/>
      <c r="W1" s="5"/>
      <c r="X1" s="5"/>
      <c r="Y1" s="5"/>
      <c r="Z1" s="5"/>
      <c r="AA1" s="5"/>
      <c r="AB1" s="5"/>
      <c r="AC1" s="5"/>
      <c r="AD1" s="5"/>
      <c r="AE1" s="46"/>
      <c r="AF1" s="38"/>
    </row>
    <row r="2" spans="1:34" ht="31.9">
      <c r="C2" s="153" t="s">
        <v>164</v>
      </c>
      <c r="D2" s="153"/>
      <c r="E2" s="153"/>
      <c r="F2" s="153"/>
      <c r="G2" s="153"/>
      <c r="H2" s="153"/>
      <c r="I2" s="153"/>
      <c r="J2" s="153"/>
      <c r="K2" s="264"/>
      <c r="L2" s="153"/>
      <c r="M2" s="153"/>
      <c r="N2" s="153"/>
      <c r="O2" s="264"/>
      <c r="P2" s="153"/>
      <c r="Q2" s="293"/>
      <c r="R2" s="153"/>
      <c r="S2" s="153"/>
      <c r="T2" s="153"/>
      <c r="U2" s="153"/>
      <c r="V2" s="153"/>
      <c r="W2" s="153"/>
      <c r="X2" s="153"/>
      <c r="Y2" s="153"/>
      <c r="Z2" s="153"/>
      <c r="AA2" s="153"/>
      <c r="AB2" s="153"/>
      <c r="AC2" s="153"/>
      <c r="AD2" s="153"/>
      <c r="AE2" s="46"/>
      <c r="AF2" s="38"/>
    </row>
    <row r="3" spans="1:34" ht="12.4">
      <c r="C3" s="5"/>
      <c r="D3" s="87"/>
      <c r="E3" s="87"/>
      <c r="F3" s="87"/>
      <c r="G3" s="87"/>
      <c r="H3" s="87"/>
      <c r="I3" s="35"/>
      <c r="J3" s="35"/>
      <c r="K3" s="35"/>
      <c r="L3" s="35"/>
      <c r="M3" s="35"/>
      <c r="N3" s="35"/>
      <c r="O3" s="85"/>
      <c r="P3" s="35"/>
      <c r="Q3" s="118"/>
      <c r="R3" s="35"/>
      <c r="S3" s="35"/>
      <c r="T3" s="35"/>
      <c r="U3" s="35"/>
      <c r="V3" s="86"/>
      <c r="W3" s="35"/>
      <c r="X3" s="35"/>
      <c r="Y3" s="35"/>
      <c r="Z3" s="35"/>
      <c r="AA3" s="35"/>
      <c r="AB3" s="35"/>
      <c r="AC3" s="85"/>
      <c r="AD3" s="35"/>
      <c r="AE3" s="46"/>
      <c r="AF3" s="38"/>
    </row>
    <row r="4" spans="1:34" ht="12.4">
      <c r="C4" s="5"/>
      <c r="D4" s="87"/>
      <c r="E4" s="87"/>
      <c r="F4" s="87"/>
      <c r="G4" s="87"/>
      <c r="H4" s="87"/>
      <c r="I4" s="35"/>
      <c r="J4" s="35"/>
      <c r="K4" s="118"/>
      <c r="L4" s="118"/>
      <c r="M4" s="35"/>
      <c r="N4" s="35"/>
      <c r="O4" s="277"/>
      <c r="P4" s="35"/>
      <c r="Q4" s="118"/>
      <c r="R4" s="35"/>
      <c r="S4" s="35"/>
      <c r="T4" s="35"/>
      <c r="U4" s="35"/>
      <c r="V4" s="86"/>
      <c r="W4" s="35"/>
      <c r="X4" s="35"/>
      <c r="Y4" s="35"/>
      <c r="Z4" s="35"/>
      <c r="AA4" s="35"/>
      <c r="AB4" s="35"/>
      <c r="AC4" s="85"/>
      <c r="AD4" s="35"/>
      <c r="AE4" s="46"/>
      <c r="AF4" s="38"/>
    </row>
    <row r="5" spans="1:34" ht="13.5">
      <c r="C5" s="414" t="s">
        <v>2</v>
      </c>
      <c r="D5" s="417">
        <v>2024</v>
      </c>
      <c r="E5" s="417"/>
      <c r="F5" s="417"/>
      <c r="G5" s="417"/>
      <c r="H5" s="418"/>
      <c r="I5" s="417"/>
      <c r="J5" s="417"/>
      <c r="K5" s="417"/>
      <c r="L5" s="417"/>
      <c r="M5" s="417"/>
      <c r="N5" s="417"/>
      <c r="O5" s="417"/>
      <c r="P5" s="417"/>
      <c r="Q5" s="418"/>
      <c r="R5" s="417"/>
      <c r="S5" s="417"/>
      <c r="T5" s="417"/>
      <c r="U5" s="417"/>
      <c r="V5" s="417"/>
      <c r="W5" s="417"/>
      <c r="X5" s="417"/>
      <c r="Y5" s="417"/>
      <c r="Z5" s="417"/>
      <c r="AA5" s="417"/>
      <c r="AB5" s="417"/>
      <c r="AC5" s="417"/>
      <c r="AD5" s="417"/>
      <c r="AE5" s="257"/>
      <c r="AF5" s="257"/>
    </row>
    <row r="6" spans="1:34" ht="13.5">
      <c r="C6" s="415"/>
      <c r="D6" s="419" t="s">
        <v>5</v>
      </c>
      <c r="E6" s="420"/>
      <c r="F6" s="420"/>
      <c r="G6" s="420"/>
      <c r="H6" s="421"/>
      <c r="I6" s="420"/>
      <c r="J6" s="420"/>
      <c r="K6" s="420"/>
      <c r="L6" s="420"/>
      <c r="M6" s="420"/>
      <c r="N6" s="420"/>
      <c r="O6" s="420"/>
      <c r="P6" s="422"/>
      <c r="Q6" s="423" t="s">
        <v>162</v>
      </c>
      <c r="R6" s="419" t="s">
        <v>144</v>
      </c>
      <c r="S6" s="420"/>
      <c r="T6" s="420"/>
      <c r="U6" s="420"/>
      <c r="V6" s="420"/>
      <c r="W6" s="420"/>
      <c r="X6" s="420"/>
      <c r="Y6" s="420"/>
      <c r="Z6" s="420"/>
      <c r="AA6" s="420"/>
      <c r="AB6" s="420"/>
      <c r="AC6" s="420"/>
      <c r="AD6" s="422"/>
      <c r="AE6" s="258"/>
      <c r="AF6" s="258"/>
    </row>
    <row r="7" spans="1:34" ht="24.75" customHeight="1">
      <c r="C7" s="416"/>
      <c r="D7" s="220">
        <v>45292</v>
      </c>
      <c r="E7" s="220">
        <v>45323</v>
      </c>
      <c r="F7" s="220">
        <v>45352</v>
      </c>
      <c r="G7" s="220">
        <v>45383</v>
      </c>
      <c r="H7" s="221">
        <v>45413</v>
      </c>
      <c r="I7" s="220">
        <v>45444</v>
      </c>
      <c r="J7" s="220">
        <v>45474</v>
      </c>
      <c r="K7" s="220">
        <v>45505</v>
      </c>
      <c r="L7" s="220">
        <v>45536</v>
      </c>
      <c r="M7" s="220">
        <v>45566</v>
      </c>
      <c r="N7" s="220">
        <v>45597</v>
      </c>
      <c r="O7" s="220">
        <v>45627</v>
      </c>
      <c r="P7" s="222" t="s">
        <v>8</v>
      </c>
      <c r="Q7" s="424"/>
      <c r="R7" s="220">
        <v>45292</v>
      </c>
      <c r="S7" s="220">
        <v>45323</v>
      </c>
      <c r="T7" s="220">
        <v>45352</v>
      </c>
      <c r="U7" s="220">
        <v>45383</v>
      </c>
      <c r="V7" s="221">
        <v>45413</v>
      </c>
      <c r="W7" s="220">
        <v>45444</v>
      </c>
      <c r="X7" s="220">
        <v>45474</v>
      </c>
      <c r="Y7" s="220">
        <v>45505</v>
      </c>
      <c r="Z7" s="220">
        <v>45536</v>
      </c>
      <c r="AA7" s="220">
        <v>45566</v>
      </c>
      <c r="AB7" s="220">
        <v>45597</v>
      </c>
      <c r="AC7" s="220">
        <v>45627</v>
      </c>
      <c r="AD7" s="222" t="s">
        <v>145</v>
      </c>
      <c r="AE7" s="258"/>
      <c r="AF7" s="258"/>
    </row>
    <row r="8" spans="1:34" ht="13.5">
      <c r="C8" s="223" t="s">
        <v>3</v>
      </c>
      <c r="D8" s="224">
        <f t="shared" ref="D8:M8" si="0">SUM(D9:D26)</f>
        <v>6056574782</v>
      </c>
      <c r="E8" s="224">
        <f t="shared" si="0"/>
        <v>22067528551</v>
      </c>
      <c r="F8" s="224">
        <f t="shared" si="0"/>
        <v>14722755781</v>
      </c>
      <c r="G8" s="224">
        <f t="shared" si="0"/>
        <v>21143085485</v>
      </c>
      <c r="H8" s="224">
        <f t="shared" si="0"/>
        <v>17873986574</v>
      </c>
      <c r="I8" s="224">
        <f t="shared" si="0"/>
        <v>21223686233</v>
      </c>
      <c r="J8" s="224">
        <f t="shared" si="0"/>
        <v>27760288256</v>
      </c>
      <c r="K8" s="224">
        <f t="shared" si="0"/>
        <v>31910890250</v>
      </c>
      <c r="L8" s="224">
        <f t="shared" si="0"/>
        <v>29755908373</v>
      </c>
      <c r="M8" s="224">
        <f t="shared" si="0"/>
        <v>41310467492</v>
      </c>
      <c r="N8" s="224">
        <f>SUM(N9:N26)</f>
        <v>118207058559</v>
      </c>
      <c r="O8" s="224">
        <f>SUM(O9:O26)</f>
        <v>260610509578</v>
      </c>
      <c r="P8" s="224">
        <f>SUM(P9:P26)</f>
        <v>612642739914</v>
      </c>
      <c r="Q8" s="224">
        <f t="shared" ref="Q8:AA8" si="1">SUM(Q9:Q26)</f>
        <v>1679579482240.6025</v>
      </c>
      <c r="R8" s="224">
        <f t="shared" si="1"/>
        <v>249.9102447699608</v>
      </c>
      <c r="S8" s="224">
        <f t="shared" si="1"/>
        <v>902.18841173344231</v>
      </c>
      <c r="T8" s="224">
        <f t="shared" si="1"/>
        <v>597.99982863525588</v>
      </c>
      <c r="U8" s="224">
        <f t="shared" si="1"/>
        <v>840.77963514534531</v>
      </c>
      <c r="V8" s="224">
        <f t="shared" si="1"/>
        <v>708.32949885075698</v>
      </c>
      <c r="W8" s="224">
        <f t="shared" si="1"/>
        <v>841.11000000000013</v>
      </c>
      <c r="X8" s="224">
        <f t="shared" si="1"/>
        <v>1106.2079400677426</v>
      </c>
      <c r="Y8" s="224">
        <f t="shared" si="1"/>
        <v>1283.32</v>
      </c>
      <c r="Z8" s="224">
        <f t="shared" si="1"/>
        <v>1208.6699999999998</v>
      </c>
      <c r="AA8" s="224">
        <f t="shared" si="1"/>
        <v>1633.52</v>
      </c>
      <c r="AB8" s="224">
        <f>SUM(AB9:AB26)</f>
        <v>4661.53</v>
      </c>
      <c r="AC8" s="224">
        <f>SUM(AC9:AC26)</f>
        <v>10229.23</v>
      </c>
      <c r="AD8" s="224">
        <f>SUM(AD9:AD26)</f>
        <v>24262.795559202499</v>
      </c>
      <c r="AE8" s="257">
        <f>+AD8-'[3]IS (01)'!$G$6</f>
        <v>-1.4440797498536995E-2</v>
      </c>
      <c r="AF8" s="257">
        <f>+P8-'[3]IS (01)'!$L$6</f>
        <v>0</v>
      </c>
      <c r="AG8" s="261"/>
      <c r="AH8" s="270"/>
    </row>
    <row r="9" spans="1:34" ht="13.5">
      <c r="A9" s="307"/>
      <c r="B9" s="307" t="s">
        <v>197</v>
      </c>
      <c r="C9" s="262" t="s">
        <v>133</v>
      </c>
      <c r="D9" s="233">
        <v>0</v>
      </c>
      <c r="E9" s="228">
        <v>1650376351</v>
      </c>
      <c r="F9" s="228">
        <v>1190812992</v>
      </c>
      <c r="G9" s="228">
        <v>2972960688</v>
      </c>
      <c r="H9" s="226">
        <v>1517740000</v>
      </c>
      <c r="I9" s="228">
        <v>1671190000</v>
      </c>
      <c r="J9" s="227">
        <v>1517740000</v>
      </c>
      <c r="K9" s="227">
        <v>1532425000</v>
      </c>
      <c r="L9" s="227">
        <v>1620788000</v>
      </c>
      <c r="M9" s="228">
        <v>1983764900</v>
      </c>
      <c r="N9" s="228">
        <v>1557348800</v>
      </c>
      <c r="O9" s="228">
        <v>1729492200</v>
      </c>
      <c r="P9" s="229">
        <f>SUM(D9:O9)</f>
        <v>18944638931</v>
      </c>
      <c r="Q9" s="294">
        <f>+P9+'Summary 2023'!O10</f>
        <v>99156962908</v>
      </c>
      <c r="R9" s="231">
        <f t="shared" ref="R9:R20" si="2">D9/$R$46</f>
        <v>0</v>
      </c>
      <c r="S9" s="231">
        <f t="shared" ref="S9:S20" si="3">E9/$S$46</f>
        <v>67.472459157808672</v>
      </c>
      <c r="T9" s="231">
        <f t="shared" ref="T9:T20" si="4">F9/$T$46</f>
        <v>48.367708854589765</v>
      </c>
      <c r="U9" s="231">
        <f t="shared" ref="U9:U21" si="5">G9/$U$46</f>
        <v>118.22327466496998</v>
      </c>
      <c r="V9" s="231">
        <f t="shared" ref="V9:V21" si="6">H9/$V$46</f>
        <v>60.146627565982406</v>
      </c>
      <c r="W9" s="231">
        <f t="shared" ref="W9:W21" si="7">ROUND(I9/$W$46,2)</f>
        <v>66.23</v>
      </c>
      <c r="X9" s="231">
        <f t="shared" ref="X9:X23" si="8">J9/$X$46</f>
        <v>60.479776847977682</v>
      </c>
      <c r="Y9" s="231">
        <f t="shared" ref="Y9:Y26" si="9">ROUND(K9/$Y$46,2)</f>
        <v>61.63</v>
      </c>
      <c r="Z9" s="231">
        <f t="shared" ref="Z9:Z26" si="10">ROUND(L9/$Z$46,2)</f>
        <v>65.83</v>
      </c>
      <c r="AA9" s="231">
        <f t="shared" ref="AA9:AA26" si="11">ROUND(M9/$AA$46,2)</f>
        <v>78.44</v>
      </c>
      <c r="AB9" s="231">
        <f t="shared" ref="AB9:AB26" si="12">ROUND(N9/$AB$46,2)</f>
        <v>61.41</v>
      </c>
      <c r="AC9" s="231">
        <f>ROUND(O9/$AC$46,2)</f>
        <v>67.88</v>
      </c>
      <c r="AD9" s="232">
        <f>SUM(R9:AC9)</f>
        <v>756.10984709132845</v>
      </c>
      <c r="AE9" s="257"/>
      <c r="AF9" s="259"/>
    </row>
    <row r="10" spans="1:34" ht="13.5">
      <c r="A10" s="308" t="s">
        <v>200</v>
      </c>
      <c r="B10" s="307" t="s">
        <v>198</v>
      </c>
      <c r="C10" s="262" t="s">
        <v>141</v>
      </c>
      <c r="D10" s="228">
        <v>2253040205</v>
      </c>
      <c r="E10" s="228">
        <v>9853198521</v>
      </c>
      <c r="F10" s="228">
        <v>4579486858</v>
      </c>
      <c r="G10" s="228">
        <v>12811710314</v>
      </c>
      <c r="H10" s="233">
        <v>9023094388</v>
      </c>
      <c r="I10" s="228">
        <v>13840270491</v>
      </c>
      <c r="J10" s="228">
        <v>18903171211</v>
      </c>
      <c r="K10" s="227">
        <v>15517259378</v>
      </c>
      <c r="L10" s="227">
        <v>10149403000</v>
      </c>
      <c r="M10" s="228">
        <v>12973837559</v>
      </c>
      <c r="N10" s="228">
        <v>36151593693</v>
      </c>
      <c r="O10" s="228">
        <v>82434670268</v>
      </c>
      <c r="P10" s="229">
        <f t="shared" ref="P10:P26" si="13">SUM(D10:O10)</f>
        <v>228490735886</v>
      </c>
      <c r="Q10" s="294">
        <f>P10+'Summary 2023'!O11</f>
        <v>980398256910.60254</v>
      </c>
      <c r="R10" s="231">
        <f t="shared" si="2"/>
        <v>92.966379409944295</v>
      </c>
      <c r="S10" s="231">
        <f t="shared" si="3"/>
        <v>402.82904828291089</v>
      </c>
      <c r="T10" s="231">
        <f t="shared" si="4"/>
        <v>186.00677733549961</v>
      </c>
      <c r="U10" s="231">
        <f t="shared" si="5"/>
        <v>509.47271300751578</v>
      </c>
      <c r="V10" s="231">
        <f t="shared" si="6"/>
        <v>357.57685614646903</v>
      </c>
      <c r="W10" s="231">
        <f t="shared" si="7"/>
        <v>548.5</v>
      </c>
      <c r="X10" s="231">
        <f t="shared" si="8"/>
        <v>753.26444355449291</v>
      </c>
      <c r="Y10" s="231">
        <f t="shared" si="9"/>
        <v>624.04</v>
      </c>
      <c r="Z10" s="231">
        <f t="shared" si="10"/>
        <v>412.26</v>
      </c>
      <c r="AA10" s="231">
        <f t="shared" si="11"/>
        <v>513.02</v>
      </c>
      <c r="AB10" s="231">
        <f t="shared" si="12"/>
        <v>1425.65</v>
      </c>
      <c r="AC10" s="231">
        <f t="shared" ref="AC10:AC26" si="14">ROUND(O10/$AC$46,2)</f>
        <v>3235.65</v>
      </c>
      <c r="AD10" s="232">
        <f t="shared" ref="AD10:AD18" si="15">SUM(R10:AC10)</f>
        <v>9061.2362177368323</v>
      </c>
      <c r="AE10" s="257"/>
      <c r="AF10" s="259"/>
    </row>
    <row r="11" spans="1:34" ht="13.5">
      <c r="A11" s="307"/>
      <c r="B11" s="307" t="s">
        <v>199</v>
      </c>
      <c r="C11" s="262" t="s">
        <v>134</v>
      </c>
      <c r="D11" s="233"/>
      <c r="E11" s="233"/>
      <c r="F11" s="233"/>
      <c r="G11" s="233"/>
      <c r="H11" s="233"/>
      <c r="I11" s="233"/>
      <c r="J11" s="233"/>
      <c r="K11" s="233">
        <v>4883800000</v>
      </c>
      <c r="L11" s="233"/>
      <c r="M11" s="233"/>
      <c r="N11" s="233"/>
      <c r="O11" s="233"/>
      <c r="P11" s="229">
        <f t="shared" si="13"/>
        <v>4883800000</v>
      </c>
      <c r="Q11" s="294">
        <f>P11+'Summary 2023'!O12</f>
        <v>104618100000</v>
      </c>
      <c r="R11" s="231">
        <f t="shared" si="2"/>
        <v>0</v>
      </c>
      <c r="S11" s="231">
        <f t="shared" si="3"/>
        <v>0</v>
      </c>
      <c r="T11" s="231">
        <f t="shared" si="4"/>
        <v>0</v>
      </c>
      <c r="U11" s="231">
        <f t="shared" si="5"/>
        <v>0</v>
      </c>
      <c r="V11" s="231">
        <f t="shared" si="6"/>
        <v>0</v>
      </c>
      <c r="W11" s="231">
        <f t="shared" si="7"/>
        <v>0</v>
      </c>
      <c r="X11" s="231">
        <f t="shared" si="8"/>
        <v>0</v>
      </c>
      <c r="Y11" s="231">
        <f t="shared" si="9"/>
        <v>196.4</v>
      </c>
      <c r="Z11" s="231">
        <f t="shared" si="10"/>
        <v>0</v>
      </c>
      <c r="AA11" s="231">
        <f t="shared" si="11"/>
        <v>0</v>
      </c>
      <c r="AB11" s="231">
        <f t="shared" si="12"/>
        <v>0</v>
      </c>
      <c r="AC11" s="231">
        <f t="shared" si="14"/>
        <v>0</v>
      </c>
      <c r="AD11" s="232">
        <f t="shared" si="15"/>
        <v>196.4</v>
      </c>
      <c r="AE11" s="257"/>
      <c r="AF11" s="259"/>
    </row>
    <row r="12" spans="1:34" ht="13.5">
      <c r="A12" s="307"/>
      <c r="B12" s="307" t="s">
        <v>199</v>
      </c>
      <c r="C12" s="262" t="s">
        <v>137</v>
      </c>
      <c r="D12" s="233"/>
      <c r="E12" s="233"/>
      <c r="F12" s="233"/>
      <c r="G12" s="233"/>
      <c r="H12" s="233"/>
      <c r="I12" s="233"/>
      <c r="J12" s="233"/>
      <c r="K12" s="233"/>
      <c r="L12" s="233"/>
      <c r="M12" s="233"/>
      <c r="N12" s="233"/>
      <c r="O12" s="233"/>
      <c r="P12" s="229">
        <f t="shared" si="13"/>
        <v>0</v>
      </c>
      <c r="Q12" s="294">
        <f>+P12+'Summary 2023'!O16</f>
        <v>19096000000</v>
      </c>
      <c r="R12" s="231">
        <f t="shared" si="2"/>
        <v>0</v>
      </c>
      <c r="S12" s="231">
        <f t="shared" si="3"/>
        <v>0</v>
      </c>
      <c r="T12" s="231">
        <f t="shared" si="4"/>
        <v>0</v>
      </c>
      <c r="U12" s="231">
        <f t="shared" si="5"/>
        <v>0</v>
      </c>
      <c r="V12" s="231">
        <f t="shared" si="6"/>
        <v>0</v>
      </c>
      <c r="W12" s="231">
        <f t="shared" si="7"/>
        <v>0</v>
      </c>
      <c r="X12" s="231">
        <f t="shared" si="8"/>
        <v>0</v>
      </c>
      <c r="Y12" s="231">
        <f t="shared" si="9"/>
        <v>0</v>
      </c>
      <c r="Z12" s="231">
        <f t="shared" si="10"/>
        <v>0</v>
      </c>
      <c r="AA12" s="231">
        <f t="shared" si="11"/>
        <v>0</v>
      </c>
      <c r="AB12" s="231">
        <f t="shared" si="12"/>
        <v>0</v>
      </c>
      <c r="AC12" s="231">
        <f t="shared" si="14"/>
        <v>0</v>
      </c>
      <c r="AD12" s="232">
        <f t="shared" si="15"/>
        <v>0</v>
      </c>
      <c r="AE12" s="257"/>
      <c r="AF12" s="257"/>
    </row>
    <row r="13" spans="1:34" ht="13.5">
      <c r="A13" s="307"/>
      <c r="B13" s="307" t="s">
        <v>199</v>
      </c>
      <c r="C13" s="262" t="s">
        <v>138</v>
      </c>
      <c r="D13" s="233"/>
      <c r="E13" s="233"/>
      <c r="F13" s="233"/>
      <c r="G13" s="233"/>
      <c r="H13" s="233"/>
      <c r="I13" s="233"/>
      <c r="J13" s="233"/>
      <c r="K13" s="233"/>
      <c r="L13" s="233"/>
      <c r="M13" s="233"/>
      <c r="N13" s="233"/>
      <c r="O13" s="233">
        <v>9945452000</v>
      </c>
      <c r="P13" s="229">
        <f t="shared" si="13"/>
        <v>9945452000</v>
      </c>
      <c r="Q13" s="294">
        <f>P13+'Summary 2023'!O17</f>
        <v>49727260000</v>
      </c>
      <c r="R13" s="231">
        <f t="shared" si="2"/>
        <v>0</v>
      </c>
      <c r="S13" s="231">
        <f t="shared" si="3"/>
        <v>0</v>
      </c>
      <c r="T13" s="231">
        <f t="shared" si="4"/>
        <v>0</v>
      </c>
      <c r="U13" s="231">
        <f t="shared" si="5"/>
        <v>0</v>
      </c>
      <c r="V13" s="231">
        <f t="shared" si="6"/>
        <v>0</v>
      </c>
      <c r="W13" s="231">
        <f t="shared" si="7"/>
        <v>0</v>
      </c>
      <c r="X13" s="231">
        <f t="shared" si="8"/>
        <v>0</v>
      </c>
      <c r="Y13" s="231">
        <f t="shared" si="9"/>
        <v>0</v>
      </c>
      <c r="Z13" s="231">
        <f t="shared" si="10"/>
        <v>0</v>
      </c>
      <c r="AA13" s="231">
        <f t="shared" si="11"/>
        <v>0</v>
      </c>
      <c r="AB13" s="231">
        <f t="shared" si="12"/>
        <v>0</v>
      </c>
      <c r="AC13" s="231">
        <f t="shared" si="14"/>
        <v>390.37</v>
      </c>
      <c r="AD13" s="232">
        <f t="shared" si="15"/>
        <v>390.37</v>
      </c>
      <c r="AE13" s="257"/>
      <c r="AF13" s="257"/>
    </row>
    <row r="14" spans="1:34" ht="13.5">
      <c r="A14" s="307"/>
      <c r="B14" s="307" t="s">
        <v>199</v>
      </c>
      <c r="C14" s="262" t="s">
        <v>139</v>
      </c>
      <c r="D14" s="233"/>
      <c r="E14" s="233"/>
      <c r="F14" s="233"/>
      <c r="G14" s="233"/>
      <c r="H14" s="233"/>
      <c r="I14" s="233"/>
      <c r="J14" s="233"/>
      <c r="K14" s="233"/>
      <c r="L14" s="233"/>
      <c r="M14" s="233"/>
      <c r="N14" s="233"/>
      <c r="O14" s="233">
        <v>14918178000</v>
      </c>
      <c r="P14" s="229">
        <f t="shared" si="13"/>
        <v>14918178000</v>
      </c>
      <c r="Q14" s="294">
        <f>P14+'Summary 2023'!O18</f>
        <v>39781808000</v>
      </c>
      <c r="R14" s="231">
        <f t="shared" si="2"/>
        <v>0</v>
      </c>
      <c r="S14" s="231">
        <f t="shared" si="3"/>
        <v>0</v>
      </c>
      <c r="T14" s="231">
        <f t="shared" si="4"/>
        <v>0</v>
      </c>
      <c r="U14" s="231">
        <f t="shared" si="5"/>
        <v>0</v>
      </c>
      <c r="V14" s="231">
        <f t="shared" si="6"/>
        <v>0</v>
      </c>
      <c r="W14" s="231">
        <f t="shared" si="7"/>
        <v>0</v>
      </c>
      <c r="X14" s="231">
        <f t="shared" si="8"/>
        <v>0</v>
      </c>
      <c r="Y14" s="231">
        <f t="shared" si="9"/>
        <v>0</v>
      </c>
      <c r="Z14" s="231">
        <f t="shared" si="10"/>
        <v>0</v>
      </c>
      <c r="AA14" s="231">
        <f t="shared" si="11"/>
        <v>0</v>
      </c>
      <c r="AB14" s="231">
        <f t="shared" si="12"/>
        <v>0</v>
      </c>
      <c r="AC14" s="231">
        <f t="shared" si="14"/>
        <v>585.54999999999995</v>
      </c>
      <c r="AD14" s="232">
        <f t="shared" si="15"/>
        <v>585.54999999999995</v>
      </c>
      <c r="AE14" s="257"/>
      <c r="AF14" s="257"/>
    </row>
    <row r="15" spans="1:34" ht="13.5">
      <c r="B15" s="307" t="s">
        <v>199</v>
      </c>
      <c r="C15" s="262" t="s">
        <v>140</v>
      </c>
      <c r="D15" s="233"/>
      <c r="E15" s="233"/>
      <c r="F15" s="233"/>
      <c r="G15" s="233"/>
      <c r="H15" s="233"/>
      <c r="I15" s="233"/>
      <c r="J15" s="233"/>
      <c r="K15" s="292"/>
      <c r="L15" s="233"/>
      <c r="M15" s="233"/>
      <c r="N15" s="233"/>
      <c r="O15" s="233"/>
      <c r="P15" s="229">
        <f t="shared" si="13"/>
        <v>0</v>
      </c>
      <c r="Q15" s="294">
        <f>+P15+'Summary 2023'!O19</f>
        <v>0</v>
      </c>
      <c r="R15" s="231">
        <f t="shared" si="2"/>
        <v>0</v>
      </c>
      <c r="S15" s="231">
        <f t="shared" si="3"/>
        <v>0</v>
      </c>
      <c r="T15" s="231">
        <f t="shared" si="4"/>
        <v>0</v>
      </c>
      <c r="U15" s="231">
        <f t="shared" si="5"/>
        <v>0</v>
      </c>
      <c r="V15" s="231">
        <f t="shared" si="6"/>
        <v>0</v>
      </c>
      <c r="W15" s="231">
        <f t="shared" si="7"/>
        <v>0</v>
      </c>
      <c r="X15" s="231">
        <f t="shared" si="8"/>
        <v>0</v>
      </c>
      <c r="Y15" s="231">
        <f t="shared" si="9"/>
        <v>0</v>
      </c>
      <c r="Z15" s="231">
        <f t="shared" si="10"/>
        <v>0</v>
      </c>
      <c r="AA15" s="231">
        <f t="shared" si="11"/>
        <v>0</v>
      </c>
      <c r="AB15" s="231">
        <f t="shared" si="12"/>
        <v>0</v>
      </c>
      <c r="AC15" s="231">
        <f t="shared" si="14"/>
        <v>0</v>
      </c>
      <c r="AD15" s="232">
        <f t="shared" si="15"/>
        <v>0</v>
      </c>
      <c r="AE15" s="257"/>
      <c r="AF15" s="257"/>
    </row>
    <row r="16" spans="1:34" ht="13.5">
      <c r="A16" s="308" t="s">
        <v>201</v>
      </c>
      <c r="B16" s="307" t="s">
        <v>198</v>
      </c>
      <c r="C16" s="263" t="s">
        <v>146</v>
      </c>
      <c r="D16" s="233"/>
      <c r="E16" s="233"/>
      <c r="F16" s="233"/>
      <c r="G16" s="233"/>
      <c r="H16" s="233"/>
      <c r="I16" s="233"/>
      <c r="J16" s="233"/>
      <c r="K16" s="292"/>
      <c r="L16" s="233"/>
      <c r="M16" s="233"/>
      <c r="N16" s="233"/>
      <c r="O16" s="233"/>
      <c r="P16" s="229">
        <f t="shared" si="13"/>
        <v>0</v>
      </c>
      <c r="Q16" s="294">
        <f>+P16+'Summary 2023'!O20</f>
        <v>0</v>
      </c>
      <c r="R16" s="231">
        <f t="shared" si="2"/>
        <v>0</v>
      </c>
      <c r="S16" s="231">
        <f t="shared" si="3"/>
        <v>0</v>
      </c>
      <c r="T16" s="231">
        <f t="shared" si="4"/>
        <v>0</v>
      </c>
      <c r="U16" s="231">
        <f t="shared" si="5"/>
        <v>0</v>
      </c>
      <c r="V16" s="231">
        <f t="shared" si="6"/>
        <v>0</v>
      </c>
      <c r="W16" s="231">
        <f t="shared" si="7"/>
        <v>0</v>
      </c>
      <c r="X16" s="231">
        <f t="shared" si="8"/>
        <v>0</v>
      </c>
      <c r="Y16" s="231">
        <f t="shared" si="9"/>
        <v>0</v>
      </c>
      <c r="Z16" s="231">
        <f t="shared" si="10"/>
        <v>0</v>
      </c>
      <c r="AA16" s="231">
        <f t="shared" si="11"/>
        <v>0</v>
      </c>
      <c r="AB16" s="231">
        <f t="shared" si="12"/>
        <v>0</v>
      </c>
      <c r="AC16" s="231">
        <f t="shared" si="14"/>
        <v>0</v>
      </c>
      <c r="AD16" s="232">
        <f t="shared" si="15"/>
        <v>0</v>
      </c>
      <c r="AE16" s="257"/>
      <c r="AF16" s="257"/>
    </row>
    <row r="17" spans="1:34" ht="13.5">
      <c r="A17" s="307"/>
      <c r="B17" s="307" t="s">
        <v>199</v>
      </c>
      <c r="C17" s="263" t="s">
        <v>147</v>
      </c>
      <c r="D17" s="233"/>
      <c r="E17" s="233"/>
      <c r="F17" s="233"/>
      <c r="G17" s="233"/>
      <c r="H17" s="233"/>
      <c r="I17" s="233"/>
      <c r="J17" s="233"/>
      <c r="K17" s="233"/>
      <c r="L17" s="233"/>
      <c r="M17" s="233">
        <v>14293668000</v>
      </c>
      <c r="N17" s="233"/>
      <c r="O17" s="233"/>
      <c r="P17" s="229">
        <f t="shared" si="13"/>
        <v>14293668000</v>
      </c>
      <c r="Q17" s="294">
        <f>+P17+'Summary 2023'!O21</f>
        <v>23822780000</v>
      </c>
      <c r="R17" s="231">
        <f t="shared" si="2"/>
        <v>0</v>
      </c>
      <c r="S17" s="231">
        <f t="shared" si="3"/>
        <v>0</v>
      </c>
      <c r="T17" s="231">
        <f t="shared" si="4"/>
        <v>0</v>
      </c>
      <c r="U17" s="231">
        <f t="shared" si="5"/>
        <v>0</v>
      </c>
      <c r="V17" s="231">
        <f t="shared" si="6"/>
        <v>0</v>
      </c>
      <c r="W17" s="231">
        <f t="shared" si="7"/>
        <v>0</v>
      </c>
      <c r="X17" s="231">
        <f t="shared" si="8"/>
        <v>0</v>
      </c>
      <c r="Y17" s="231">
        <f t="shared" si="9"/>
        <v>0</v>
      </c>
      <c r="Z17" s="231">
        <f t="shared" si="10"/>
        <v>0</v>
      </c>
      <c r="AA17" s="231">
        <f t="shared" si="11"/>
        <v>565.21</v>
      </c>
      <c r="AB17" s="231">
        <f t="shared" si="12"/>
        <v>0</v>
      </c>
      <c r="AC17" s="231">
        <f t="shared" si="14"/>
        <v>0</v>
      </c>
      <c r="AD17" s="232">
        <f t="shared" si="15"/>
        <v>565.21</v>
      </c>
      <c r="AE17" s="257"/>
      <c r="AF17" s="257"/>
    </row>
    <row r="18" spans="1:34" ht="13.5">
      <c r="A18" s="307"/>
      <c r="B18" s="307" t="s">
        <v>197</v>
      </c>
      <c r="C18" s="263" t="s">
        <v>149</v>
      </c>
      <c r="D18" s="233">
        <v>2338750000</v>
      </c>
      <c r="E18" s="233">
        <v>2338750000</v>
      </c>
      <c r="F18" s="233">
        <v>2338750000</v>
      </c>
      <c r="G18" s="233">
        <v>2338750000</v>
      </c>
      <c r="H18" s="233">
        <v>2338750000</v>
      </c>
      <c r="I18" s="233">
        <v>2338750000</v>
      </c>
      <c r="J18" s="233">
        <v>2408912500</v>
      </c>
      <c r="K18" s="233">
        <v>2408912500</v>
      </c>
      <c r="L18" s="227">
        <v>2408912500</v>
      </c>
      <c r="M18" s="233">
        <v>2408912500</v>
      </c>
      <c r="N18" s="233">
        <v>2408912500</v>
      </c>
      <c r="O18" s="233">
        <v>2408912500</v>
      </c>
      <c r="P18" s="229">
        <f t="shared" si="13"/>
        <v>28485975000</v>
      </c>
      <c r="Q18" s="294">
        <f>+P18+'Summary 2023'!O23</f>
        <v>42518475000</v>
      </c>
      <c r="R18" s="231">
        <f t="shared" si="2"/>
        <v>96.502991541159474</v>
      </c>
      <c r="S18" s="231">
        <f t="shared" si="3"/>
        <v>95.615290269828293</v>
      </c>
      <c r="T18" s="231">
        <f t="shared" si="4"/>
        <v>94.993907392363937</v>
      </c>
      <c r="U18" s="231">
        <f t="shared" si="5"/>
        <v>93.003141527816439</v>
      </c>
      <c r="V18" s="231">
        <f t="shared" si="6"/>
        <v>92.68249187604026</v>
      </c>
      <c r="W18" s="231">
        <f t="shared" si="7"/>
        <v>92.69</v>
      </c>
      <c r="X18" s="231">
        <f t="shared" si="8"/>
        <v>95.99173142060171</v>
      </c>
      <c r="Y18" s="231">
        <f t="shared" si="9"/>
        <v>96.88</v>
      </c>
      <c r="Z18" s="231">
        <f t="shared" si="10"/>
        <v>97.85</v>
      </c>
      <c r="AA18" s="231">
        <f t="shared" si="11"/>
        <v>95.26</v>
      </c>
      <c r="AB18" s="231">
        <f t="shared" si="12"/>
        <v>95</v>
      </c>
      <c r="AC18" s="231">
        <f t="shared" si="14"/>
        <v>94.55</v>
      </c>
      <c r="AD18" s="232">
        <f t="shared" si="15"/>
        <v>1141.01955402781</v>
      </c>
      <c r="AE18" s="257"/>
      <c r="AF18" s="257"/>
    </row>
    <row r="19" spans="1:34" ht="13.5">
      <c r="A19" s="308" t="s">
        <v>201</v>
      </c>
      <c r="B19" s="307" t="s">
        <v>198</v>
      </c>
      <c r="C19" s="263" t="s">
        <v>156</v>
      </c>
      <c r="D19" s="233">
        <v>1320627668</v>
      </c>
      <c r="E19" s="233">
        <v>5702696779</v>
      </c>
      <c r="F19" s="233">
        <v>2940874136</v>
      </c>
      <c r="G19" s="233">
        <v>3243726429</v>
      </c>
      <c r="H19" s="233">
        <v>2918417114</v>
      </c>
      <c r="I19" s="233"/>
      <c r="J19" s="233"/>
      <c r="K19" s="233">
        <v>7568493372</v>
      </c>
      <c r="L19" s="233">
        <v>4871315219</v>
      </c>
      <c r="M19" s="233">
        <v>1942766068</v>
      </c>
      <c r="N19" s="233">
        <v>44410893014</v>
      </c>
      <c r="O19" s="233">
        <v>92388332546</v>
      </c>
      <c r="P19" s="229">
        <f t="shared" si="13"/>
        <v>167308142345</v>
      </c>
      <c r="Q19" s="294">
        <f>+P19+'Summary 2023'!O24</f>
        <v>192398715670</v>
      </c>
      <c r="R19" s="231">
        <f t="shared" si="2"/>
        <v>54.492579657520118</v>
      </c>
      <c r="S19" s="231">
        <f t="shared" si="3"/>
        <v>233.14377673753066</v>
      </c>
      <c r="T19" s="231">
        <f t="shared" si="4"/>
        <v>119.45061478472786</v>
      </c>
      <c r="U19" s="231">
        <f t="shared" si="5"/>
        <v>128.9905924762397</v>
      </c>
      <c r="V19" s="231">
        <f t="shared" si="6"/>
        <v>115.65416160735515</v>
      </c>
      <c r="W19" s="231">
        <f t="shared" si="7"/>
        <v>0</v>
      </c>
      <c r="X19" s="231">
        <f t="shared" si="8"/>
        <v>0</v>
      </c>
      <c r="Y19" s="231">
        <f t="shared" si="9"/>
        <v>304.37</v>
      </c>
      <c r="Z19" s="231">
        <f t="shared" si="10"/>
        <v>197.87</v>
      </c>
      <c r="AA19" s="231">
        <f t="shared" si="11"/>
        <v>76.819999999999993</v>
      </c>
      <c r="AB19" s="231">
        <f t="shared" si="12"/>
        <v>1751.36</v>
      </c>
      <c r="AC19" s="231">
        <f t="shared" si="14"/>
        <v>3626.34</v>
      </c>
      <c r="AD19" s="232">
        <f>SUM(R19:AC19)</f>
        <v>6608.4917252633732</v>
      </c>
      <c r="AE19" s="257"/>
      <c r="AF19" s="257"/>
    </row>
    <row r="20" spans="1:34" ht="13.5">
      <c r="A20" s="308" t="s">
        <v>204</v>
      </c>
      <c r="B20" s="307" t="s">
        <v>198</v>
      </c>
      <c r="C20" s="263" t="s">
        <v>172</v>
      </c>
      <c r="D20" s="233">
        <v>144156909</v>
      </c>
      <c r="E20" s="233">
        <v>2522506900</v>
      </c>
      <c r="F20" s="233">
        <v>3672831795</v>
      </c>
      <c r="G20" s="233">
        <v>-224061946</v>
      </c>
      <c r="H20" s="233"/>
      <c r="I20" s="233"/>
      <c r="J20" s="233"/>
      <c r="K20" s="233"/>
      <c r="L20" s="233"/>
      <c r="M20" s="233"/>
      <c r="N20" s="233"/>
      <c r="O20" s="233"/>
      <c r="P20" s="229">
        <f t="shared" si="13"/>
        <v>6115433658</v>
      </c>
      <c r="Q20" s="294">
        <f>+P20+'Summary 2023'!O25</f>
        <v>8804407658</v>
      </c>
      <c r="R20" s="231">
        <f t="shared" si="2"/>
        <v>5.9482941613369098</v>
      </c>
      <c r="S20" s="231">
        <f t="shared" si="3"/>
        <v>103.12783728536385</v>
      </c>
      <c r="T20" s="231">
        <f t="shared" si="4"/>
        <v>149.18082026807474</v>
      </c>
      <c r="U20" s="231">
        <f t="shared" si="5"/>
        <v>-8.9100865311965638</v>
      </c>
      <c r="V20" s="231">
        <f t="shared" si="6"/>
        <v>0</v>
      </c>
      <c r="W20" s="231">
        <f t="shared" si="7"/>
        <v>0</v>
      </c>
      <c r="X20" s="231">
        <f t="shared" si="8"/>
        <v>0</v>
      </c>
      <c r="Y20" s="231">
        <f t="shared" si="9"/>
        <v>0</v>
      </c>
      <c r="Z20" s="231">
        <f t="shared" si="10"/>
        <v>0</v>
      </c>
      <c r="AA20" s="231">
        <f t="shared" si="11"/>
        <v>0</v>
      </c>
      <c r="AB20" s="231">
        <f t="shared" si="12"/>
        <v>0</v>
      </c>
      <c r="AC20" s="231">
        <f t="shared" si="14"/>
        <v>0</v>
      </c>
      <c r="AD20" s="232">
        <f>SUM(R20:AC20)</f>
        <v>249.34686518357893</v>
      </c>
      <c r="AE20" s="257"/>
      <c r="AF20" s="257"/>
    </row>
    <row r="21" spans="1:34" ht="13.5">
      <c r="A21" s="308"/>
      <c r="B21" s="307" t="s">
        <v>198</v>
      </c>
      <c r="C21" s="263" t="s">
        <v>165</v>
      </c>
      <c r="D21" s="233"/>
      <c r="E21" s="233"/>
      <c r="F21" s="233"/>
      <c r="G21" s="233"/>
      <c r="H21" s="233">
        <v>2075985072</v>
      </c>
      <c r="I21" s="233">
        <v>3373475742</v>
      </c>
      <c r="J21" s="233">
        <v>4930464545</v>
      </c>
      <c r="K21" s="233"/>
      <c r="L21" s="233"/>
      <c r="M21" s="233"/>
      <c r="N21" s="233"/>
      <c r="O21" s="233"/>
      <c r="P21" s="229">
        <f t="shared" si="13"/>
        <v>10379925359</v>
      </c>
      <c r="Q21" s="294">
        <f>+P21</f>
        <v>10379925359</v>
      </c>
      <c r="R21" s="234"/>
      <c r="S21" s="234"/>
      <c r="T21" s="234"/>
      <c r="U21" s="231">
        <f t="shared" si="5"/>
        <v>0</v>
      </c>
      <c r="V21" s="231">
        <f t="shared" si="6"/>
        <v>82.269361654910043</v>
      </c>
      <c r="W21" s="231">
        <f t="shared" si="7"/>
        <v>133.69</v>
      </c>
      <c r="X21" s="231">
        <f t="shared" si="8"/>
        <v>196.47198824467026</v>
      </c>
      <c r="Y21" s="231">
        <f t="shared" si="9"/>
        <v>0</v>
      </c>
      <c r="Z21" s="231">
        <f t="shared" si="10"/>
        <v>0</v>
      </c>
      <c r="AA21" s="231">
        <f t="shared" si="11"/>
        <v>0</v>
      </c>
      <c r="AB21" s="231">
        <f t="shared" si="12"/>
        <v>0</v>
      </c>
      <c r="AC21" s="231">
        <f t="shared" si="14"/>
        <v>0</v>
      </c>
      <c r="AD21" s="232">
        <f>SUM(R21:AC21)</f>
        <v>412.43134989958025</v>
      </c>
      <c r="AE21" s="257"/>
      <c r="AF21" s="257"/>
    </row>
    <row r="22" spans="1:34" ht="13.5">
      <c r="A22" s="307"/>
      <c r="B22" s="307" t="s">
        <v>198</v>
      </c>
      <c r="C22" s="263" t="s">
        <v>171</v>
      </c>
      <c r="D22" s="233"/>
      <c r="E22" s="233"/>
      <c r="F22" s="233"/>
      <c r="G22" s="233"/>
      <c r="H22" s="233"/>
      <c r="I22" s="233"/>
      <c r="J22" s="233"/>
      <c r="K22" s="233"/>
      <c r="L22" s="233">
        <v>2375375979</v>
      </c>
      <c r="M22" s="233">
        <v>3563063968</v>
      </c>
      <c r="N22" s="233">
        <v>3958959964</v>
      </c>
      <c r="O22" s="233"/>
      <c r="P22" s="229">
        <f t="shared" si="13"/>
        <v>9897399911</v>
      </c>
      <c r="Q22" s="294">
        <f>+P22</f>
        <v>9897399911</v>
      </c>
      <c r="R22" s="234"/>
      <c r="S22" s="234"/>
      <c r="T22" s="234"/>
      <c r="U22" s="234"/>
      <c r="V22" s="234"/>
      <c r="W22" s="234"/>
      <c r="X22" s="231">
        <f t="shared" si="8"/>
        <v>0</v>
      </c>
      <c r="Y22" s="231">
        <f t="shared" si="9"/>
        <v>0</v>
      </c>
      <c r="Z22" s="231">
        <f t="shared" si="10"/>
        <v>96.49</v>
      </c>
      <c r="AA22" s="231">
        <f t="shared" si="11"/>
        <v>140.88999999999999</v>
      </c>
      <c r="AB22" s="231">
        <f t="shared" si="12"/>
        <v>156.12</v>
      </c>
      <c r="AC22" s="231">
        <f t="shared" si="14"/>
        <v>0</v>
      </c>
      <c r="AD22" s="232">
        <f t="shared" ref="AD22:AD24" si="16">SUM(R22:AC22)</f>
        <v>393.5</v>
      </c>
      <c r="AE22" s="257"/>
      <c r="AF22" s="257"/>
    </row>
    <row r="23" spans="1:34" ht="13.5">
      <c r="A23" s="308" t="s">
        <v>204</v>
      </c>
      <c r="B23" s="307" t="s">
        <v>198</v>
      </c>
      <c r="C23" s="263" t="s">
        <v>173</v>
      </c>
      <c r="D23" s="233"/>
      <c r="E23" s="233"/>
      <c r="F23" s="233"/>
      <c r="G23" s="233"/>
      <c r="H23" s="233"/>
      <c r="I23" s="233"/>
      <c r="J23" s="233"/>
      <c r="K23" s="233"/>
      <c r="L23" s="233">
        <v>7048306733</v>
      </c>
      <c r="M23" s="233">
        <v>2104374512</v>
      </c>
      <c r="N23" s="233">
        <v>11421554786</v>
      </c>
      <c r="O23" s="233">
        <f>13272382415+398388578</f>
        <v>13670770993</v>
      </c>
      <c r="P23" s="229">
        <f t="shared" si="13"/>
        <v>34245007024</v>
      </c>
      <c r="Q23" s="294">
        <f>+P23</f>
        <v>34245007024</v>
      </c>
      <c r="R23" s="234"/>
      <c r="S23" s="234"/>
      <c r="T23" s="234"/>
      <c r="U23" s="234"/>
      <c r="V23" s="234"/>
      <c r="W23" s="234"/>
      <c r="X23" s="231">
        <f t="shared" si="8"/>
        <v>0</v>
      </c>
      <c r="Y23" s="231">
        <f t="shared" si="9"/>
        <v>0</v>
      </c>
      <c r="Z23" s="231">
        <f t="shared" si="10"/>
        <v>286.3</v>
      </c>
      <c r="AA23" s="231">
        <f t="shared" si="11"/>
        <v>83.21</v>
      </c>
      <c r="AB23" s="231">
        <f t="shared" si="12"/>
        <v>450.41</v>
      </c>
      <c r="AC23" s="231">
        <f t="shared" si="14"/>
        <v>536.59</v>
      </c>
      <c r="AD23" s="232">
        <f t="shared" si="16"/>
        <v>1356.5100000000002</v>
      </c>
      <c r="AE23" s="257"/>
      <c r="AF23" s="257"/>
    </row>
    <row r="24" spans="1:34" ht="13.5">
      <c r="A24" s="308" t="s">
        <v>200</v>
      </c>
      <c r="B24" s="307" t="s">
        <v>198</v>
      </c>
      <c r="C24" s="263" t="s">
        <v>175</v>
      </c>
      <c r="D24" s="233"/>
      <c r="E24" s="233"/>
      <c r="F24" s="233"/>
      <c r="G24" s="233"/>
      <c r="H24" s="233"/>
      <c r="I24" s="233"/>
      <c r="J24" s="233"/>
      <c r="K24" s="233"/>
      <c r="L24" s="233">
        <v>1281806942</v>
      </c>
      <c r="M24" s="233">
        <v>1015379985</v>
      </c>
      <c r="N24" s="233">
        <v>18297795802</v>
      </c>
      <c r="O24" s="233">
        <v>43114701071</v>
      </c>
      <c r="P24" s="229">
        <f t="shared" si="13"/>
        <v>63709683800</v>
      </c>
      <c r="Q24" s="294">
        <f t="shared" ref="Q24:Q25" si="17">+P24</f>
        <v>63709683800</v>
      </c>
      <c r="R24" s="234"/>
      <c r="S24" s="234"/>
      <c r="T24" s="234"/>
      <c r="U24" s="234"/>
      <c r="V24" s="234"/>
      <c r="W24" s="234"/>
      <c r="X24" s="234"/>
      <c r="Y24" s="231">
        <f t="shared" si="9"/>
        <v>0</v>
      </c>
      <c r="Z24" s="231">
        <f t="shared" si="10"/>
        <v>52.07</v>
      </c>
      <c r="AA24" s="231">
        <f t="shared" si="11"/>
        <v>40.15</v>
      </c>
      <c r="AB24" s="231">
        <f t="shared" si="12"/>
        <v>721.58</v>
      </c>
      <c r="AC24" s="231">
        <f t="shared" si="14"/>
        <v>1692.3</v>
      </c>
      <c r="AD24" s="232">
        <f t="shared" si="16"/>
        <v>2506.1</v>
      </c>
      <c r="AE24" s="257"/>
      <c r="AF24" s="257"/>
    </row>
    <row r="25" spans="1:34" ht="13.5">
      <c r="A25" s="307"/>
      <c r="B25" s="307" t="s">
        <v>199</v>
      </c>
      <c r="C25" s="263" t="s">
        <v>176</v>
      </c>
      <c r="D25" s="233"/>
      <c r="E25" s="233"/>
      <c r="F25" s="233"/>
      <c r="G25" s="233"/>
      <c r="H25" s="233"/>
      <c r="I25" s="233"/>
      <c r="J25" s="233"/>
      <c r="K25" s="233"/>
      <c r="L25" s="233"/>
      <c r="M25" s="233">
        <v>1024700000</v>
      </c>
      <c r="N25" s="233"/>
      <c r="O25" s="233"/>
      <c r="P25" s="229">
        <f t="shared" si="13"/>
        <v>1024700000</v>
      </c>
      <c r="Q25" s="294">
        <f t="shared" si="17"/>
        <v>1024700000</v>
      </c>
      <c r="R25" s="234"/>
      <c r="S25" s="234"/>
      <c r="T25" s="234"/>
      <c r="U25" s="234"/>
      <c r="V25" s="234"/>
      <c r="W25" s="234"/>
      <c r="X25" s="234"/>
      <c r="Y25" s="231">
        <f t="shared" si="9"/>
        <v>0</v>
      </c>
      <c r="Z25" s="231">
        <f t="shared" si="10"/>
        <v>0</v>
      </c>
      <c r="AA25" s="231">
        <f t="shared" si="11"/>
        <v>40.520000000000003</v>
      </c>
      <c r="AB25" s="231">
        <f t="shared" si="12"/>
        <v>0</v>
      </c>
      <c r="AC25" s="231">
        <f t="shared" si="14"/>
        <v>0</v>
      </c>
      <c r="AD25" s="232">
        <f>SUM(R25:AC25)</f>
        <v>40.520000000000003</v>
      </c>
      <c r="AE25" s="257"/>
      <c r="AF25" s="257"/>
    </row>
    <row r="26" spans="1:34" ht="13.5">
      <c r="B26" s="307" t="s">
        <v>199</v>
      </c>
      <c r="C26" s="263" t="s">
        <v>180</v>
      </c>
      <c r="D26" s="233"/>
      <c r="E26" s="233"/>
      <c r="F26" s="233"/>
      <c r="G26" s="233"/>
      <c r="H26" s="233"/>
      <c r="I26" s="233"/>
      <c r="J26" s="233"/>
      <c r="K26" s="233"/>
      <c r="L26" s="233"/>
      <c r="M26" s="233"/>
      <c r="N26" s="233"/>
      <c r="O26" s="233"/>
      <c r="P26" s="229">
        <f t="shared" si="13"/>
        <v>0</v>
      </c>
      <c r="Q26" s="294">
        <f>+P26</f>
        <v>0</v>
      </c>
      <c r="R26" s="234"/>
      <c r="S26" s="234"/>
      <c r="T26" s="234"/>
      <c r="U26" s="234"/>
      <c r="V26" s="234"/>
      <c r="W26" s="234"/>
      <c r="X26" s="234"/>
      <c r="Y26" s="231">
        <f t="shared" si="9"/>
        <v>0</v>
      </c>
      <c r="Z26" s="231">
        <f t="shared" si="10"/>
        <v>0</v>
      </c>
      <c r="AA26" s="231">
        <f t="shared" si="11"/>
        <v>0</v>
      </c>
      <c r="AB26" s="231">
        <f t="shared" si="12"/>
        <v>0</v>
      </c>
      <c r="AC26" s="231">
        <f t="shared" si="14"/>
        <v>0</v>
      </c>
      <c r="AD26" s="232">
        <f t="shared" ref="AD26" si="18">SUM(R26:AC26)</f>
        <v>0</v>
      </c>
      <c r="AE26" s="257"/>
      <c r="AF26" s="257"/>
    </row>
    <row r="27" spans="1:34" ht="13.5">
      <c r="C27" s="223" t="s">
        <v>15</v>
      </c>
      <c r="D27" s="224">
        <f t="shared" ref="D27:M27" si="19">SUM(D28:D45)</f>
        <v>5507422882</v>
      </c>
      <c r="E27" s="224">
        <f t="shared" si="19"/>
        <v>19311198614</v>
      </c>
      <c r="F27" s="224">
        <f t="shared" si="19"/>
        <v>12838443246</v>
      </c>
      <c r="G27" s="224">
        <f t="shared" si="19"/>
        <v>18199766102</v>
      </c>
      <c r="H27" s="224">
        <f t="shared" si="19"/>
        <v>14917924280</v>
      </c>
      <c r="I27" s="224">
        <f t="shared" si="19"/>
        <v>18787522340</v>
      </c>
      <c r="J27" s="224">
        <f t="shared" si="19"/>
        <v>23087886550</v>
      </c>
      <c r="K27" s="224">
        <f t="shared" si="19"/>
        <v>27376683428</v>
      </c>
      <c r="L27" s="224">
        <f t="shared" si="19"/>
        <v>25837918391</v>
      </c>
      <c r="M27" s="224">
        <f t="shared" si="19"/>
        <v>32663859108</v>
      </c>
      <c r="N27" s="224">
        <f>SUM(N28:N45)</f>
        <v>103393212133</v>
      </c>
      <c r="O27" s="224">
        <f>SUM(O28:O45)</f>
        <v>228876093012</v>
      </c>
      <c r="P27" s="224">
        <f>SUM(P28:P45)</f>
        <v>530797930086</v>
      </c>
      <c r="Q27" s="224">
        <f>SUM(Q28:Q45)</f>
        <v>1351445953092</v>
      </c>
      <c r="R27" s="224">
        <f t="shared" ref="R27:AA27" si="20">SUM(R28:R45)</f>
        <v>227.25078943676499</v>
      </c>
      <c r="S27" s="224">
        <f t="shared" si="20"/>
        <v>789.50116982829115</v>
      </c>
      <c r="T27" s="224">
        <f t="shared" si="20"/>
        <v>521.46398237205517</v>
      </c>
      <c r="U27" s="224">
        <f t="shared" si="20"/>
        <v>723.73508179902171</v>
      </c>
      <c r="V27" s="224">
        <f t="shared" si="20"/>
        <v>591.18349369897749</v>
      </c>
      <c r="W27" s="224">
        <f t="shared" si="20"/>
        <v>744.56000000000006</v>
      </c>
      <c r="X27" s="224">
        <f t="shared" si="20"/>
        <v>920.01938832436747</v>
      </c>
      <c r="Y27" s="224">
        <f t="shared" si="20"/>
        <v>1100.97</v>
      </c>
      <c r="Z27" s="224">
        <f t="shared" si="20"/>
        <v>1049.5100000000002</v>
      </c>
      <c r="AA27" s="224">
        <f t="shared" si="20"/>
        <v>1291.6199999999999</v>
      </c>
      <c r="AB27" s="224">
        <f>SUM(AB28:AB45)</f>
        <v>4077.33</v>
      </c>
      <c r="AC27" s="224">
        <f>SUM(AC28:AC45)</f>
        <v>8983.6299999999992</v>
      </c>
      <c r="AD27" s="224">
        <f>SUM(AD28:AD45)</f>
        <v>21020.773905459479</v>
      </c>
      <c r="AE27" s="257">
        <f>+AD27-'[3]IS (01)'!$G$14</f>
        <v>-1.6094540522317402E-2</v>
      </c>
      <c r="AF27" s="257">
        <f>+P27-'[3]IS (01)'!$L$14</f>
        <v>0</v>
      </c>
      <c r="AG27" s="265"/>
      <c r="AH27" s="265"/>
    </row>
    <row r="28" spans="1:34" ht="13.5">
      <c r="A28" s="307"/>
      <c r="B28" s="307" t="s">
        <v>197</v>
      </c>
      <c r="C28" s="262" t="s">
        <v>133</v>
      </c>
      <c r="D28" s="228">
        <v>217956220</v>
      </c>
      <c r="E28" s="228">
        <v>1507855094</v>
      </c>
      <c r="F28" s="228">
        <v>1101561185</v>
      </c>
      <c r="G28" s="228">
        <v>2164366902</v>
      </c>
      <c r="H28" s="233">
        <v>1206989809</v>
      </c>
      <c r="I28" s="225">
        <v>1335281302</v>
      </c>
      <c r="J28" s="227">
        <v>1234728343</v>
      </c>
      <c r="K28" s="227">
        <v>1227173067</v>
      </c>
      <c r="L28" s="227">
        <v>1433595686</v>
      </c>
      <c r="M28" s="227">
        <v>1879623438</v>
      </c>
      <c r="N28" s="227">
        <v>1176971299</v>
      </c>
      <c r="O28" s="228">
        <v>2181718958</v>
      </c>
      <c r="P28" s="229">
        <f>SUM(D28:O28)</f>
        <v>16667821303</v>
      </c>
      <c r="Q28" s="294">
        <f>+P28+'Summary 2023'!O28</f>
        <v>90319341607</v>
      </c>
      <c r="R28" s="231">
        <f t="shared" ref="R28:R39" si="21">D28/$R$46</f>
        <v>8.9934483185475553</v>
      </c>
      <c r="S28" s="231">
        <f t="shared" ref="S28:S39" si="22">E28/$S$46</f>
        <v>61.645752003270644</v>
      </c>
      <c r="T28" s="231">
        <f t="shared" ref="T28:T39" si="23">F28/$T$46</f>
        <v>44.742533915515843</v>
      </c>
      <c r="U28" s="231">
        <f t="shared" ref="U28:U40" si="24">G28/$U$46</f>
        <v>86.068592754602932</v>
      </c>
      <c r="V28" s="231">
        <f t="shared" ref="V28:V40" si="25">H28/$V$46</f>
        <v>47.831885907902034</v>
      </c>
      <c r="W28" s="231">
        <f t="shared" ref="W28:W40" si="26">ROUND(I28/$W$46,2)</f>
        <v>52.92</v>
      </c>
      <c r="X28" s="231">
        <f t="shared" ref="X28:X42" si="27">J28/$X$46</f>
        <v>49.202165491133691</v>
      </c>
      <c r="Y28" s="231">
        <f t="shared" ref="Y28:Y41" si="28">ROUND(K28/$Y$46,2)</f>
        <v>49.35</v>
      </c>
      <c r="Z28" s="231">
        <f t="shared" ref="Z28:Z44" si="29">ROUND(L28/$Z$46,2)</f>
        <v>58.23</v>
      </c>
      <c r="AA28" s="231">
        <f t="shared" ref="AA28:AA44" si="30">ROUND(M28/$AA$46,2)</f>
        <v>74.33</v>
      </c>
      <c r="AB28" s="231">
        <f t="shared" ref="AB28:AB45" si="31">ROUND(N28/$AB$46,2)</f>
        <v>46.41</v>
      </c>
      <c r="AC28" s="231">
        <f>ROUND(O28/$AC$46,2)</f>
        <v>85.63</v>
      </c>
      <c r="AD28" s="232">
        <f t="shared" ref="AD28:AD45" si="32">SUM(R28:AC28)</f>
        <v>665.35437839097267</v>
      </c>
      <c r="AE28" s="257"/>
      <c r="AF28" s="257"/>
    </row>
    <row r="29" spans="1:34" ht="13.5">
      <c r="A29" s="308" t="s">
        <v>200</v>
      </c>
      <c r="B29" s="307" t="s">
        <v>198</v>
      </c>
      <c r="C29" s="262" t="s">
        <v>141</v>
      </c>
      <c r="D29" s="228">
        <v>1959243762</v>
      </c>
      <c r="E29" s="228">
        <v>8568341434</v>
      </c>
      <c r="F29" s="228">
        <v>3982321772</v>
      </c>
      <c r="G29" s="228">
        <v>11141063289</v>
      </c>
      <c r="H29" s="233">
        <v>7846482880</v>
      </c>
      <c r="I29" s="228">
        <v>12035499219</v>
      </c>
      <c r="J29" s="228">
        <v>16438197685</v>
      </c>
      <c r="K29" s="227">
        <v>13493808755</v>
      </c>
      <c r="L29" s="295">
        <v>8825920849</v>
      </c>
      <c r="M29" s="228">
        <v>11282049141</v>
      </c>
      <c r="N29" s="228">
        <v>31437425875</v>
      </c>
      <c r="O29" s="228">
        <v>71685189265</v>
      </c>
      <c r="P29" s="229">
        <f t="shared" ref="P29:P45" si="33">SUM(D29:O29)</f>
        <v>198695543926</v>
      </c>
      <c r="Q29" s="294">
        <f>+P29+'Summary 2023'!O29</f>
        <v>852554324210</v>
      </c>
      <c r="R29" s="231">
        <f t="shared" si="21"/>
        <v>80.843563523829175</v>
      </c>
      <c r="S29" s="231">
        <f t="shared" si="22"/>
        <v>350.30014039247749</v>
      </c>
      <c r="T29" s="231">
        <f t="shared" si="23"/>
        <v>161.75149358245329</v>
      </c>
      <c r="U29" s="231">
        <f t="shared" si="24"/>
        <v>443.03747122917247</v>
      </c>
      <c r="V29" s="231">
        <f t="shared" si="25"/>
        <v>310.94883411270507</v>
      </c>
      <c r="W29" s="231">
        <f t="shared" si="26"/>
        <v>476.97</v>
      </c>
      <c r="X29" s="231">
        <f t="shared" si="27"/>
        <v>655.03876011157604</v>
      </c>
      <c r="Y29" s="231">
        <f t="shared" si="28"/>
        <v>542.66</v>
      </c>
      <c r="Z29" s="231">
        <f t="shared" si="29"/>
        <v>358.5</v>
      </c>
      <c r="AA29" s="231">
        <f t="shared" si="30"/>
        <v>446.12</v>
      </c>
      <c r="AB29" s="231">
        <f t="shared" si="31"/>
        <v>1239.74</v>
      </c>
      <c r="AC29" s="231">
        <f t="shared" ref="AC29:AC45" si="34">ROUND(O29/$AC$46,2)</f>
        <v>2813.72</v>
      </c>
      <c r="AD29" s="232">
        <f t="shared" si="32"/>
        <v>7879.6302629522124</v>
      </c>
      <c r="AE29" s="257"/>
      <c r="AF29" s="259"/>
    </row>
    <row r="30" spans="1:34" ht="13.5">
      <c r="A30" s="307"/>
      <c r="B30" s="307" t="s">
        <v>199</v>
      </c>
      <c r="C30" s="262" t="s">
        <v>134</v>
      </c>
      <c r="D30" s="227"/>
      <c r="E30" s="227"/>
      <c r="F30" s="227"/>
      <c r="G30" s="227"/>
      <c r="H30" s="227"/>
      <c r="I30" s="227"/>
      <c r="J30" s="227"/>
      <c r="K30" s="235">
        <v>3830695221</v>
      </c>
      <c r="L30" s="295">
        <v>22666285</v>
      </c>
      <c r="M30" s="228"/>
      <c r="N30" s="228"/>
      <c r="O30" s="228"/>
      <c r="P30" s="229">
        <f t="shared" si="33"/>
        <v>3853361506</v>
      </c>
      <c r="Q30" s="294">
        <f>+P30+'Summary 2023'!O30</f>
        <v>20208965609</v>
      </c>
      <c r="R30" s="231">
        <f t="shared" si="21"/>
        <v>0</v>
      </c>
      <c r="S30" s="231">
        <f t="shared" si="22"/>
        <v>0</v>
      </c>
      <c r="T30" s="231">
        <f t="shared" si="23"/>
        <v>0</v>
      </c>
      <c r="U30" s="231">
        <f t="shared" si="24"/>
        <v>0</v>
      </c>
      <c r="V30" s="231">
        <f t="shared" si="25"/>
        <v>0</v>
      </c>
      <c r="W30" s="231">
        <f t="shared" si="26"/>
        <v>0</v>
      </c>
      <c r="X30" s="231">
        <f t="shared" si="27"/>
        <v>0</v>
      </c>
      <c r="Y30" s="231">
        <f t="shared" si="28"/>
        <v>154.05000000000001</v>
      </c>
      <c r="Z30" s="231">
        <f t="shared" si="29"/>
        <v>0.92</v>
      </c>
      <c r="AA30" s="231">
        <f t="shared" si="30"/>
        <v>0</v>
      </c>
      <c r="AB30" s="231">
        <f t="shared" si="31"/>
        <v>0</v>
      </c>
      <c r="AC30" s="231">
        <f t="shared" si="34"/>
        <v>0</v>
      </c>
      <c r="AD30" s="232">
        <f t="shared" si="32"/>
        <v>154.97</v>
      </c>
      <c r="AE30" s="257"/>
      <c r="AF30" s="257"/>
    </row>
    <row r="31" spans="1:34" ht="13.5">
      <c r="A31" s="307"/>
      <c r="B31" s="307" t="s">
        <v>199</v>
      </c>
      <c r="C31" s="262" t="s">
        <v>137</v>
      </c>
      <c r="D31" s="235"/>
      <c r="E31" s="235"/>
      <c r="F31" s="235"/>
      <c r="G31" s="235"/>
      <c r="H31" s="235"/>
      <c r="I31" s="235"/>
      <c r="J31" s="235"/>
      <c r="K31" s="235"/>
      <c r="L31" s="296"/>
      <c r="M31" s="235"/>
      <c r="N31" s="235"/>
      <c r="O31" s="233"/>
      <c r="P31" s="229">
        <f t="shared" si="33"/>
        <v>0</v>
      </c>
      <c r="Q31" s="294">
        <f>+P31+'Summary 2023'!O34</f>
        <v>8408398062</v>
      </c>
      <c r="R31" s="231">
        <f t="shared" si="21"/>
        <v>0</v>
      </c>
      <c r="S31" s="231">
        <f t="shared" si="22"/>
        <v>0</v>
      </c>
      <c r="T31" s="231">
        <f t="shared" si="23"/>
        <v>0</v>
      </c>
      <c r="U31" s="231">
        <f t="shared" si="24"/>
        <v>0</v>
      </c>
      <c r="V31" s="231">
        <f t="shared" si="25"/>
        <v>0</v>
      </c>
      <c r="W31" s="231">
        <f t="shared" si="26"/>
        <v>0</v>
      </c>
      <c r="X31" s="231">
        <f t="shared" si="27"/>
        <v>0</v>
      </c>
      <c r="Y31" s="231">
        <f t="shared" si="28"/>
        <v>0</v>
      </c>
      <c r="Z31" s="231">
        <f t="shared" si="29"/>
        <v>0</v>
      </c>
      <c r="AA31" s="231">
        <f t="shared" si="30"/>
        <v>0</v>
      </c>
      <c r="AB31" s="231">
        <f t="shared" si="31"/>
        <v>0</v>
      </c>
      <c r="AC31" s="231">
        <f t="shared" si="34"/>
        <v>0</v>
      </c>
      <c r="AD31" s="232">
        <f t="shared" si="32"/>
        <v>0</v>
      </c>
      <c r="AE31" s="257"/>
      <c r="AF31" s="284"/>
    </row>
    <row r="32" spans="1:34" ht="13.5">
      <c r="A32" s="307"/>
      <c r="B32" s="307" t="s">
        <v>199</v>
      </c>
      <c r="C32" s="262" t="s">
        <v>138</v>
      </c>
      <c r="D32" s="227"/>
      <c r="E32" s="227"/>
      <c r="F32" s="227"/>
      <c r="G32" s="227"/>
      <c r="H32" s="227"/>
      <c r="I32" s="227"/>
      <c r="J32" s="227"/>
      <c r="K32" s="227"/>
      <c r="L32" s="295"/>
      <c r="M32" s="227"/>
      <c r="N32" s="227"/>
      <c r="O32" s="233">
        <v>10429951362</v>
      </c>
      <c r="P32" s="229">
        <f t="shared" si="33"/>
        <v>10429951362</v>
      </c>
      <c r="Q32" s="294">
        <f>+P32+'Summary 2023'!O35</f>
        <v>33848579989</v>
      </c>
      <c r="R32" s="231">
        <f t="shared" si="21"/>
        <v>0</v>
      </c>
      <c r="S32" s="231">
        <f t="shared" si="22"/>
        <v>0</v>
      </c>
      <c r="T32" s="231">
        <f t="shared" si="23"/>
        <v>0</v>
      </c>
      <c r="U32" s="231">
        <f t="shared" si="24"/>
        <v>0</v>
      </c>
      <c r="V32" s="231">
        <f t="shared" si="25"/>
        <v>0</v>
      </c>
      <c r="W32" s="231">
        <f t="shared" si="26"/>
        <v>0</v>
      </c>
      <c r="X32" s="231">
        <f t="shared" si="27"/>
        <v>0</v>
      </c>
      <c r="Y32" s="231">
        <f t="shared" si="28"/>
        <v>0</v>
      </c>
      <c r="Z32" s="231">
        <f t="shared" si="29"/>
        <v>0</v>
      </c>
      <c r="AA32" s="231">
        <f t="shared" si="30"/>
        <v>0</v>
      </c>
      <c r="AB32" s="231">
        <f t="shared" si="31"/>
        <v>0</v>
      </c>
      <c r="AC32" s="231">
        <f t="shared" si="34"/>
        <v>409.39</v>
      </c>
      <c r="AD32" s="232">
        <f t="shared" si="32"/>
        <v>409.39</v>
      </c>
      <c r="AE32" s="257"/>
      <c r="AF32" s="260"/>
    </row>
    <row r="33" spans="1:32" ht="13.5">
      <c r="A33" s="307"/>
      <c r="B33" s="307" t="s">
        <v>199</v>
      </c>
      <c r="C33" s="262" t="s">
        <v>139</v>
      </c>
      <c r="D33" s="227"/>
      <c r="E33" s="227"/>
      <c r="F33" s="227"/>
      <c r="G33" s="227"/>
      <c r="H33" s="227"/>
      <c r="I33" s="227"/>
      <c r="J33" s="227"/>
      <c r="K33" s="227"/>
      <c r="L33" s="295"/>
      <c r="M33" s="227"/>
      <c r="N33" s="227"/>
      <c r="O33" s="228">
        <v>13162288877</v>
      </c>
      <c r="P33" s="229">
        <f t="shared" si="33"/>
        <v>13162288877</v>
      </c>
      <c r="Q33" s="294">
        <f>+P33+'Summary 2023'!O36</f>
        <v>21060715417</v>
      </c>
      <c r="R33" s="231">
        <f t="shared" si="21"/>
        <v>0</v>
      </c>
      <c r="S33" s="231">
        <f t="shared" si="22"/>
        <v>0</v>
      </c>
      <c r="T33" s="231">
        <f t="shared" si="23"/>
        <v>0</v>
      </c>
      <c r="U33" s="231">
        <f t="shared" si="24"/>
        <v>0</v>
      </c>
      <c r="V33" s="231">
        <f t="shared" si="25"/>
        <v>0</v>
      </c>
      <c r="W33" s="231">
        <f t="shared" si="26"/>
        <v>0</v>
      </c>
      <c r="X33" s="231">
        <f t="shared" si="27"/>
        <v>0</v>
      </c>
      <c r="Y33" s="231">
        <f t="shared" si="28"/>
        <v>0</v>
      </c>
      <c r="Z33" s="231">
        <f t="shared" si="29"/>
        <v>0</v>
      </c>
      <c r="AA33" s="231">
        <f t="shared" si="30"/>
        <v>0</v>
      </c>
      <c r="AB33" s="231">
        <f t="shared" si="31"/>
        <v>0</v>
      </c>
      <c r="AC33" s="231">
        <f t="shared" si="34"/>
        <v>516.63</v>
      </c>
      <c r="AD33" s="232">
        <f t="shared" si="32"/>
        <v>516.63</v>
      </c>
      <c r="AE33" s="257"/>
      <c r="AF33" s="260"/>
    </row>
    <row r="34" spans="1:32" ht="13.5">
      <c r="B34" s="307" t="s">
        <v>199</v>
      </c>
      <c r="C34" s="263" t="s">
        <v>140</v>
      </c>
      <c r="D34" s="235"/>
      <c r="E34" s="235"/>
      <c r="F34" s="235"/>
      <c r="G34" s="235"/>
      <c r="H34" s="235"/>
      <c r="I34" s="235"/>
      <c r="J34" s="235"/>
      <c r="K34" s="235"/>
      <c r="L34" s="296"/>
      <c r="M34" s="235"/>
      <c r="N34" s="235"/>
      <c r="O34" s="233"/>
      <c r="P34" s="229">
        <f t="shared" si="33"/>
        <v>0</v>
      </c>
      <c r="Q34" s="294">
        <f>+P34+'Summary 2023'!O37</f>
        <v>0</v>
      </c>
      <c r="R34" s="231">
        <f t="shared" si="21"/>
        <v>0</v>
      </c>
      <c r="S34" s="231">
        <f t="shared" si="22"/>
        <v>0</v>
      </c>
      <c r="T34" s="231">
        <f t="shared" si="23"/>
        <v>0</v>
      </c>
      <c r="U34" s="231">
        <f t="shared" si="24"/>
        <v>0</v>
      </c>
      <c r="V34" s="231">
        <f t="shared" si="25"/>
        <v>0</v>
      </c>
      <c r="W34" s="231">
        <f t="shared" si="26"/>
        <v>0</v>
      </c>
      <c r="X34" s="231">
        <f t="shared" si="27"/>
        <v>0</v>
      </c>
      <c r="Y34" s="231">
        <f t="shared" si="28"/>
        <v>0</v>
      </c>
      <c r="Z34" s="231">
        <f t="shared" si="29"/>
        <v>0</v>
      </c>
      <c r="AA34" s="231">
        <f t="shared" si="30"/>
        <v>0</v>
      </c>
      <c r="AB34" s="231">
        <f t="shared" si="31"/>
        <v>0</v>
      </c>
      <c r="AC34" s="231">
        <f t="shared" si="34"/>
        <v>0</v>
      </c>
      <c r="AD34" s="232">
        <f t="shared" si="32"/>
        <v>0</v>
      </c>
      <c r="AE34" s="257"/>
      <c r="AF34" s="260"/>
    </row>
    <row r="35" spans="1:32" ht="13.5">
      <c r="A35" s="308" t="s">
        <v>201</v>
      </c>
      <c r="B35" s="307" t="s">
        <v>198</v>
      </c>
      <c r="C35" s="263" t="s">
        <v>146</v>
      </c>
      <c r="D35" s="235"/>
      <c r="E35" s="235"/>
      <c r="F35" s="235"/>
      <c r="G35" s="235"/>
      <c r="H35" s="235"/>
      <c r="I35" s="235"/>
      <c r="J35" s="235"/>
      <c r="K35" s="235"/>
      <c r="L35" s="296"/>
      <c r="M35" s="235"/>
      <c r="N35" s="235"/>
      <c r="O35" s="233"/>
      <c r="P35" s="229">
        <f t="shared" si="33"/>
        <v>0</v>
      </c>
      <c r="Q35" s="294">
        <f>+P35+'Summary 2023'!O38</f>
        <v>0</v>
      </c>
      <c r="R35" s="231">
        <f t="shared" si="21"/>
        <v>0</v>
      </c>
      <c r="S35" s="231">
        <f t="shared" si="22"/>
        <v>0</v>
      </c>
      <c r="T35" s="231">
        <f t="shared" si="23"/>
        <v>0</v>
      </c>
      <c r="U35" s="231">
        <f t="shared" si="24"/>
        <v>0</v>
      </c>
      <c r="V35" s="231">
        <f t="shared" si="25"/>
        <v>0</v>
      </c>
      <c r="W35" s="231">
        <f t="shared" si="26"/>
        <v>0</v>
      </c>
      <c r="X35" s="231">
        <f t="shared" si="27"/>
        <v>0</v>
      </c>
      <c r="Y35" s="231">
        <f t="shared" si="28"/>
        <v>0</v>
      </c>
      <c r="Z35" s="231">
        <f t="shared" si="29"/>
        <v>0</v>
      </c>
      <c r="AA35" s="231">
        <f t="shared" si="30"/>
        <v>0</v>
      </c>
      <c r="AB35" s="231">
        <f t="shared" si="31"/>
        <v>0</v>
      </c>
      <c r="AC35" s="231">
        <f t="shared" si="34"/>
        <v>0</v>
      </c>
      <c r="AD35" s="232">
        <f t="shared" si="32"/>
        <v>0</v>
      </c>
      <c r="AE35" s="257"/>
      <c r="AF35" s="260"/>
    </row>
    <row r="36" spans="1:32" ht="13.5">
      <c r="A36" s="307"/>
      <c r="B36" s="307" t="s">
        <v>199</v>
      </c>
      <c r="C36" s="263" t="s">
        <v>147</v>
      </c>
      <c r="D36" s="235"/>
      <c r="E36" s="235"/>
      <c r="F36" s="235"/>
      <c r="G36" s="235"/>
      <c r="H36" s="235"/>
      <c r="I36" s="235"/>
      <c r="J36" s="235"/>
      <c r="K36" s="235"/>
      <c r="L36" s="296"/>
      <c r="M36" s="235">
        <v>9363421544</v>
      </c>
      <c r="N36" s="235"/>
      <c r="O36" s="233"/>
      <c r="P36" s="229">
        <f t="shared" si="33"/>
        <v>9363421544</v>
      </c>
      <c r="Q36" s="294">
        <f>+P36+'Summary 2023'!O39</f>
        <v>10046168062</v>
      </c>
      <c r="R36" s="231">
        <f t="shared" si="21"/>
        <v>0</v>
      </c>
      <c r="S36" s="231">
        <f t="shared" si="22"/>
        <v>0</v>
      </c>
      <c r="T36" s="231">
        <f t="shared" si="23"/>
        <v>0</v>
      </c>
      <c r="U36" s="231">
        <f t="shared" si="24"/>
        <v>0</v>
      </c>
      <c r="V36" s="231">
        <f t="shared" si="25"/>
        <v>0</v>
      </c>
      <c r="W36" s="231">
        <f t="shared" si="26"/>
        <v>0</v>
      </c>
      <c r="X36" s="231">
        <f t="shared" si="27"/>
        <v>0</v>
      </c>
      <c r="Y36" s="231">
        <f t="shared" si="28"/>
        <v>0</v>
      </c>
      <c r="Z36" s="231">
        <f t="shared" si="29"/>
        <v>0</v>
      </c>
      <c r="AA36" s="231">
        <f t="shared" si="30"/>
        <v>370.26</v>
      </c>
      <c r="AB36" s="231">
        <f t="shared" si="31"/>
        <v>0</v>
      </c>
      <c r="AC36" s="231">
        <f t="shared" si="34"/>
        <v>0</v>
      </c>
      <c r="AD36" s="232">
        <f t="shared" si="32"/>
        <v>370.26</v>
      </c>
      <c r="AE36" s="257"/>
      <c r="AF36" s="260"/>
    </row>
    <row r="37" spans="1:32" ht="13.5">
      <c r="A37" s="307"/>
      <c r="B37" s="307" t="s">
        <v>197</v>
      </c>
      <c r="C37" s="263" t="s">
        <v>149</v>
      </c>
      <c r="D37" s="235">
        <v>2057634797</v>
      </c>
      <c r="E37" s="235">
        <v>2087497394</v>
      </c>
      <c r="F37" s="235">
        <v>2005928398</v>
      </c>
      <c r="G37" s="235">
        <v>2076510762</v>
      </c>
      <c r="H37" s="235">
        <v>2120217782</v>
      </c>
      <c r="I37" s="235">
        <v>2165845432</v>
      </c>
      <c r="J37" s="235">
        <v>2179296258</v>
      </c>
      <c r="K37" s="235">
        <v>2250256193</v>
      </c>
      <c r="L37" s="296">
        <v>2286321493</v>
      </c>
      <c r="M37" s="235">
        <v>2146812763</v>
      </c>
      <c r="N37" s="235">
        <v>2064610964</v>
      </c>
      <c r="O37" s="233">
        <v>2630686465</v>
      </c>
      <c r="P37" s="229">
        <f t="shared" si="33"/>
        <v>26071618701</v>
      </c>
      <c r="Q37" s="294">
        <f>+P37+'Summary 2023'!O41</f>
        <v>38311024431</v>
      </c>
      <c r="R37" s="231">
        <f t="shared" si="21"/>
        <v>84.903437053847739</v>
      </c>
      <c r="S37" s="231">
        <f t="shared" si="22"/>
        <v>85.343311283728539</v>
      </c>
      <c r="T37" s="231">
        <f t="shared" si="23"/>
        <v>81.475564500406179</v>
      </c>
      <c r="U37" s="231">
        <f t="shared" si="24"/>
        <v>82.574890126058776</v>
      </c>
      <c r="V37" s="231">
        <f t="shared" si="25"/>
        <v>84.022262899262898</v>
      </c>
      <c r="W37" s="231">
        <f t="shared" si="26"/>
        <v>85.83</v>
      </c>
      <c r="X37" s="231">
        <f t="shared" si="27"/>
        <v>86.841851285116562</v>
      </c>
      <c r="Y37" s="231">
        <f t="shared" si="28"/>
        <v>90.5</v>
      </c>
      <c r="Z37" s="231">
        <f t="shared" si="29"/>
        <v>92.87</v>
      </c>
      <c r="AA37" s="231">
        <f t="shared" si="30"/>
        <v>84.89</v>
      </c>
      <c r="AB37" s="231">
        <f t="shared" si="31"/>
        <v>81.42</v>
      </c>
      <c r="AC37" s="231">
        <f t="shared" si="34"/>
        <v>103.26</v>
      </c>
      <c r="AD37" s="232">
        <f t="shared" si="32"/>
        <v>1043.9313171484207</v>
      </c>
      <c r="AE37" s="257"/>
      <c r="AF37" s="260"/>
    </row>
    <row r="38" spans="1:32" ht="13.5">
      <c r="A38" s="308" t="s">
        <v>201</v>
      </c>
      <c r="B38" s="307" t="s">
        <v>198</v>
      </c>
      <c r="C38" s="273" t="s">
        <v>156</v>
      </c>
      <c r="D38" s="235">
        <v>1147229255</v>
      </c>
      <c r="E38" s="235">
        <v>4953932692</v>
      </c>
      <c r="F38" s="235">
        <v>2554737362</v>
      </c>
      <c r="G38" s="235">
        <v>2817825149</v>
      </c>
      <c r="H38" s="235">
        <v>2535228947</v>
      </c>
      <c r="I38" s="235"/>
      <c r="J38" s="235"/>
      <c r="K38" s="235">
        <v>6574750192</v>
      </c>
      <c r="L38" s="296">
        <v>4231711531</v>
      </c>
      <c r="M38" s="235">
        <v>1687680883</v>
      </c>
      <c r="N38" s="274">
        <v>38579742761</v>
      </c>
      <c r="O38" s="275">
        <v>76659888501</v>
      </c>
      <c r="P38" s="229">
        <f t="shared" si="33"/>
        <v>141742727273</v>
      </c>
      <c r="Q38" s="294">
        <f>+P38+'Summary 2023'!O42</f>
        <v>163538908320</v>
      </c>
      <c r="R38" s="231">
        <f t="shared" si="21"/>
        <v>47.337703940581804</v>
      </c>
      <c r="S38" s="231">
        <f t="shared" si="22"/>
        <v>202.53199885527391</v>
      </c>
      <c r="T38" s="231">
        <f t="shared" si="23"/>
        <v>103.76674906580016</v>
      </c>
      <c r="U38" s="231">
        <f t="shared" si="24"/>
        <v>112.05412768918758</v>
      </c>
      <c r="V38" s="231">
        <f t="shared" si="25"/>
        <v>100.46877019101213</v>
      </c>
      <c r="W38" s="231">
        <f t="shared" si="26"/>
        <v>0</v>
      </c>
      <c r="X38" s="231">
        <f t="shared" si="27"/>
        <v>0</v>
      </c>
      <c r="Y38" s="231">
        <f t="shared" si="28"/>
        <v>264.41000000000003</v>
      </c>
      <c r="Z38" s="231">
        <f t="shared" si="29"/>
        <v>171.89</v>
      </c>
      <c r="AA38" s="231">
        <f t="shared" si="30"/>
        <v>66.739999999999995</v>
      </c>
      <c r="AB38" s="231">
        <f t="shared" si="31"/>
        <v>1521.4</v>
      </c>
      <c r="AC38" s="231">
        <f t="shared" si="34"/>
        <v>3008.98</v>
      </c>
      <c r="AD38" s="232">
        <f t="shared" si="32"/>
        <v>5599.5793497418563</v>
      </c>
      <c r="AE38" s="257">
        <f>+G38-'[4]회계원가 SITE23'!$I$86</f>
        <v>0</v>
      </c>
      <c r="AF38" s="260"/>
    </row>
    <row r="39" spans="1:32" ht="13.5">
      <c r="A39" s="308" t="s">
        <v>204</v>
      </c>
      <c r="B39" s="307" t="s">
        <v>198</v>
      </c>
      <c r="C39" s="263" t="s">
        <v>172</v>
      </c>
      <c r="D39" s="235">
        <v>125358848</v>
      </c>
      <c r="E39" s="235">
        <v>2193572000</v>
      </c>
      <c r="F39" s="235">
        <v>3193894529</v>
      </c>
      <c r="G39" s="235"/>
      <c r="H39" s="235">
        <v>28174105</v>
      </c>
      <c r="I39" s="235"/>
      <c r="J39" s="235"/>
      <c r="K39" s="235"/>
      <c r="L39" s="296">
        <v>63519434</v>
      </c>
      <c r="M39" s="235"/>
      <c r="N39" s="235"/>
      <c r="O39" s="233"/>
      <c r="P39" s="229">
        <f t="shared" si="33"/>
        <v>5604518916</v>
      </c>
      <c r="Q39" s="294">
        <f>+P39+'Summary 2023'!O43</f>
        <v>7942850707</v>
      </c>
      <c r="R39" s="231">
        <f t="shared" si="21"/>
        <v>5.1726365999587376</v>
      </c>
      <c r="S39" s="231">
        <f t="shared" si="22"/>
        <v>89.679967293540471</v>
      </c>
      <c r="T39" s="231">
        <f t="shared" si="23"/>
        <v>129.72764130787976</v>
      </c>
      <c r="U39" s="231">
        <f t="shared" si="24"/>
        <v>0</v>
      </c>
      <c r="V39" s="231">
        <f t="shared" si="25"/>
        <v>1.1165136324007292</v>
      </c>
      <c r="W39" s="231">
        <f t="shared" si="26"/>
        <v>0</v>
      </c>
      <c r="X39" s="231">
        <f t="shared" si="27"/>
        <v>0</v>
      </c>
      <c r="Y39" s="231">
        <f t="shared" si="28"/>
        <v>0</v>
      </c>
      <c r="Z39" s="231">
        <f t="shared" si="29"/>
        <v>2.58</v>
      </c>
      <c r="AA39" s="231">
        <f t="shared" si="30"/>
        <v>0</v>
      </c>
      <c r="AB39" s="231">
        <f t="shared" si="31"/>
        <v>0</v>
      </c>
      <c r="AC39" s="231">
        <f t="shared" si="34"/>
        <v>0</v>
      </c>
      <c r="AD39" s="232">
        <f t="shared" si="32"/>
        <v>228.27675883377972</v>
      </c>
      <c r="AE39" s="257"/>
      <c r="AF39" s="260"/>
    </row>
    <row r="40" spans="1:32" ht="13.5">
      <c r="A40" s="308"/>
      <c r="B40" s="307" t="s">
        <v>198</v>
      </c>
      <c r="C40" s="263" t="s">
        <v>165</v>
      </c>
      <c r="D40" s="235"/>
      <c r="E40" s="235"/>
      <c r="F40" s="235"/>
      <c r="G40" s="235"/>
      <c r="H40" s="235">
        <v>1180830757</v>
      </c>
      <c r="I40" s="235">
        <v>3250896387</v>
      </c>
      <c r="J40" s="235">
        <v>3235664264</v>
      </c>
      <c r="K40" s="235"/>
      <c r="L40" s="296">
        <v>283703438</v>
      </c>
      <c r="M40" s="235"/>
      <c r="N40" s="235"/>
      <c r="O40" s="233">
        <v>-7947388</v>
      </c>
      <c r="P40" s="229">
        <f t="shared" si="33"/>
        <v>7943147458</v>
      </c>
      <c r="Q40" s="294">
        <f>+P40</f>
        <v>7943147458</v>
      </c>
      <c r="R40" s="234"/>
      <c r="S40" s="234"/>
      <c r="T40" s="234"/>
      <c r="U40" s="231">
        <f t="shared" si="24"/>
        <v>0</v>
      </c>
      <c r="V40" s="231">
        <f t="shared" si="25"/>
        <v>46.795226955694694</v>
      </c>
      <c r="W40" s="231">
        <f t="shared" si="26"/>
        <v>128.84</v>
      </c>
      <c r="X40" s="231">
        <f t="shared" si="27"/>
        <v>128.93661143654114</v>
      </c>
      <c r="Y40" s="231">
        <f t="shared" si="28"/>
        <v>0</v>
      </c>
      <c r="Z40" s="231">
        <f t="shared" si="29"/>
        <v>11.52</v>
      </c>
      <c r="AA40" s="231">
        <f t="shared" si="30"/>
        <v>0</v>
      </c>
      <c r="AB40" s="231">
        <f t="shared" si="31"/>
        <v>0</v>
      </c>
      <c r="AC40" s="231">
        <f t="shared" si="34"/>
        <v>-0.31</v>
      </c>
      <c r="AD40" s="232">
        <f t="shared" si="32"/>
        <v>315.78183839223578</v>
      </c>
      <c r="AE40" s="257"/>
      <c r="AF40" s="260"/>
    </row>
    <row r="41" spans="1:32" ht="13.5">
      <c r="A41" s="307"/>
      <c r="B41" s="307" t="s">
        <v>198</v>
      </c>
      <c r="C41" s="263" t="s">
        <v>171</v>
      </c>
      <c r="D41" s="235"/>
      <c r="E41" s="235"/>
      <c r="F41" s="235"/>
      <c r="G41" s="235"/>
      <c r="H41" s="235"/>
      <c r="I41" s="235"/>
      <c r="J41" s="235"/>
      <c r="K41" s="235"/>
      <c r="L41" s="235">
        <v>1360696110</v>
      </c>
      <c r="M41" s="235">
        <v>2550954113</v>
      </c>
      <c r="N41" s="235">
        <v>3415210161</v>
      </c>
      <c r="O41" s="233">
        <v>333936413</v>
      </c>
      <c r="P41" s="229">
        <f t="shared" si="33"/>
        <v>7660796797</v>
      </c>
      <c r="Q41" s="294">
        <f>+P41</f>
        <v>7660796797</v>
      </c>
      <c r="R41" s="234"/>
      <c r="S41" s="234"/>
      <c r="T41" s="234"/>
      <c r="U41" s="234"/>
      <c r="V41" s="234"/>
      <c r="W41" s="234"/>
      <c r="X41" s="231">
        <f t="shared" si="27"/>
        <v>0</v>
      </c>
      <c r="Y41" s="231">
        <f t="shared" si="28"/>
        <v>0</v>
      </c>
      <c r="Z41" s="231">
        <f t="shared" si="29"/>
        <v>55.27</v>
      </c>
      <c r="AA41" s="231">
        <f t="shared" si="30"/>
        <v>100.87</v>
      </c>
      <c r="AB41" s="231">
        <f t="shared" si="31"/>
        <v>134.68</v>
      </c>
      <c r="AC41" s="231">
        <f t="shared" si="34"/>
        <v>13.11</v>
      </c>
      <c r="AD41" s="232">
        <f t="shared" si="32"/>
        <v>303.93000000000006</v>
      </c>
      <c r="AE41" s="257"/>
      <c r="AF41" s="260"/>
    </row>
    <row r="42" spans="1:32" ht="13.5">
      <c r="A42" s="308" t="s">
        <v>204</v>
      </c>
      <c r="B42" s="307" t="s">
        <v>198</v>
      </c>
      <c r="C42" s="263" t="s">
        <v>173</v>
      </c>
      <c r="D42" s="235"/>
      <c r="E42" s="235"/>
      <c r="F42" s="235"/>
      <c r="G42" s="235"/>
      <c r="H42" s="235"/>
      <c r="I42" s="235"/>
      <c r="J42" s="235"/>
      <c r="K42" s="235"/>
      <c r="L42" s="235">
        <v>6129207535</v>
      </c>
      <c r="M42" s="235">
        <v>1829964076</v>
      </c>
      <c r="N42" s="235">
        <v>9932184042</v>
      </c>
      <c r="O42" s="233">
        <v>11997686477</v>
      </c>
      <c r="P42" s="229">
        <f t="shared" si="33"/>
        <v>29889042130</v>
      </c>
      <c r="Q42" s="294">
        <f t="shared" ref="Q42:Q47" si="35">+P42</f>
        <v>29889042130</v>
      </c>
      <c r="R42" s="234"/>
      <c r="S42" s="234"/>
      <c r="T42" s="234"/>
      <c r="U42" s="234"/>
      <c r="V42" s="234"/>
      <c r="W42" s="234"/>
      <c r="X42" s="231">
        <f t="shared" si="27"/>
        <v>0</v>
      </c>
      <c r="Y42" s="231">
        <f t="shared" ref="Y42:Y44" si="36">ROUND(K42/$Y$46,2)</f>
        <v>0</v>
      </c>
      <c r="Z42" s="231">
        <f t="shared" si="29"/>
        <v>248.96</v>
      </c>
      <c r="AA42" s="231">
        <f t="shared" si="30"/>
        <v>72.36</v>
      </c>
      <c r="AB42" s="231">
        <f t="shared" si="31"/>
        <v>391.68</v>
      </c>
      <c r="AC42" s="231">
        <f t="shared" si="34"/>
        <v>470.92</v>
      </c>
      <c r="AD42" s="232">
        <f t="shared" si="32"/>
        <v>1183.92</v>
      </c>
      <c r="AE42" s="257"/>
      <c r="AF42" s="260"/>
    </row>
    <row r="43" spans="1:32" ht="13.5">
      <c r="A43" s="308" t="s">
        <v>200</v>
      </c>
      <c r="B43" s="307" t="s">
        <v>198</v>
      </c>
      <c r="C43" s="263" t="s">
        <v>175</v>
      </c>
      <c r="D43" s="235"/>
      <c r="E43" s="235"/>
      <c r="F43" s="235"/>
      <c r="G43" s="235"/>
      <c r="H43" s="235"/>
      <c r="I43" s="235"/>
      <c r="J43" s="235"/>
      <c r="K43" s="235"/>
      <c r="L43" s="235">
        <v>1200576030</v>
      </c>
      <c r="M43" s="235">
        <v>965858798</v>
      </c>
      <c r="N43" s="235">
        <v>16787067031</v>
      </c>
      <c r="O43" s="233">
        <v>39802694082</v>
      </c>
      <c r="P43" s="229">
        <f t="shared" si="33"/>
        <v>58756195941</v>
      </c>
      <c r="Q43" s="294">
        <f t="shared" si="35"/>
        <v>58756195941</v>
      </c>
      <c r="R43" s="234"/>
      <c r="S43" s="234"/>
      <c r="T43" s="234"/>
      <c r="U43" s="234"/>
      <c r="V43" s="234"/>
      <c r="W43" s="234"/>
      <c r="X43" s="234"/>
      <c r="Y43" s="231">
        <f t="shared" si="36"/>
        <v>0</v>
      </c>
      <c r="Z43" s="231">
        <f t="shared" si="29"/>
        <v>48.77</v>
      </c>
      <c r="AA43" s="231">
        <f t="shared" si="30"/>
        <v>38.19</v>
      </c>
      <c r="AB43" s="231">
        <f t="shared" si="31"/>
        <v>662</v>
      </c>
      <c r="AC43" s="231">
        <f t="shared" si="34"/>
        <v>1562.3</v>
      </c>
      <c r="AD43" s="232">
        <f t="shared" si="32"/>
        <v>2311.2600000000002</v>
      </c>
      <c r="AE43" s="257"/>
      <c r="AF43" s="260"/>
    </row>
    <row r="44" spans="1:32" ht="13.5">
      <c r="A44" s="307"/>
      <c r="B44" s="307" t="s">
        <v>199</v>
      </c>
      <c r="C44" s="263" t="s">
        <v>176</v>
      </c>
      <c r="D44" s="235"/>
      <c r="E44" s="235"/>
      <c r="F44" s="235"/>
      <c r="G44" s="235"/>
      <c r="H44" s="235"/>
      <c r="I44" s="235"/>
      <c r="J44" s="235"/>
      <c r="K44" s="235"/>
      <c r="L44" s="235"/>
      <c r="M44" s="235">
        <v>957494352</v>
      </c>
      <c r="N44" s="235"/>
      <c r="O44" s="233"/>
      <c r="P44" s="229">
        <f t="shared" si="33"/>
        <v>957494352</v>
      </c>
      <c r="Q44" s="294">
        <f t="shared" si="35"/>
        <v>957494352</v>
      </c>
      <c r="R44" s="234"/>
      <c r="S44" s="234"/>
      <c r="T44" s="234"/>
      <c r="U44" s="234"/>
      <c r="V44" s="234"/>
      <c r="W44" s="234"/>
      <c r="X44" s="234"/>
      <c r="Y44" s="231">
        <f t="shared" si="36"/>
        <v>0</v>
      </c>
      <c r="Z44" s="231">
        <f t="shared" si="29"/>
        <v>0</v>
      </c>
      <c r="AA44" s="231">
        <f t="shared" si="30"/>
        <v>37.86</v>
      </c>
      <c r="AB44" s="231">
        <f t="shared" si="31"/>
        <v>0</v>
      </c>
      <c r="AC44" s="231">
        <f t="shared" si="34"/>
        <v>0</v>
      </c>
      <c r="AD44" s="232">
        <f t="shared" si="32"/>
        <v>37.86</v>
      </c>
      <c r="AE44" s="257"/>
      <c r="AF44" s="260"/>
    </row>
    <row r="45" spans="1:32" ht="13.5">
      <c r="B45" s="307" t="s">
        <v>199</v>
      </c>
      <c r="C45" s="263" t="s">
        <v>180</v>
      </c>
      <c r="D45" s="235"/>
      <c r="E45" s="235"/>
      <c r="F45" s="235"/>
      <c r="G45" s="235"/>
      <c r="H45" s="235"/>
      <c r="I45" s="235"/>
      <c r="J45" s="235"/>
      <c r="K45" s="235"/>
      <c r="L45" s="235"/>
      <c r="M45" s="235"/>
      <c r="N45" s="235"/>
      <c r="O45" s="233"/>
      <c r="P45" s="229">
        <f t="shared" si="33"/>
        <v>0</v>
      </c>
      <c r="Q45" s="294">
        <f>+P45</f>
        <v>0</v>
      </c>
      <c r="R45" s="234"/>
      <c r="S45" s="234"/>
      <c r="T45" s="234"/>
      <c r="U45" s="234"/>
      <c r="V45" s="234"/>
      <c r="W45" s="234"/>
      <c r="X45" s="234"/>
      <c r="Y45" s="234"/>
      <c r="Z45" s="234"/>
      <c r="AA45" s="234"/>
      <c r="AB45" s="231">
        <f t="shared" si="31"/>
        <v>0</v>
      </c>
      <c r="AC45" s="231">
        <f t="shared" si="34"/>
        <v>0</v>
      </c>
      <c r="AD45" s="232">
        <f t="shared" si="32"/>
        <v>0</v>
      </c>
      <c r="AE45" s="257"/>
      <c r="AF45" s="260"/>
    </row>
    <row r="46" spans="1:32" ht="13.5">
      <c r="C46" s="236" t="s">
        <v>19</v>
      </c>
      <c r="D46" s="236"/>
      <c r="E46" s="236"/>
      <c r="F46" s="236"/>
      <c r="G46" s="237"/>
      <c r="H46" s="237"/>
      <c r="I46" s="236"/>
      <c r="J46" s="238"/>
      <c r="K46" s="236"/>
      <c r="L46" s="236"/>
      <c r="M46" s="236"/>
      <c r="N46" s="236"/>
      <c r="O46" s="236"/>
      <c r="P46" s="236"/>
      <c r="Q46" s="236">
        <f t="shared" si="35"/>
        <v>0</v>
      </c>
      <c r="R46" s="236">
        <v>24235000</v>
      </c>
      <c r="S46" s="236">
        <f>24460*1000</f>
        <v>24460000</v>
      </c>
      <c r="T46" s="236">
        <v>24620000</v>
      </c>
      <c r="U46" s="236">
        <v>25147000</v>
      </c>
      <c r="V46" s="236">
        <f>25234*1000</f>
        <v>25234000</v>
      </c>
      <c r="W46" s="236">
        <f>25233*1000</f>
        <v>25233000</v>
      </c>
      <c r="X46" s="236">
        <v>25095000</v>
      </c>
      <c r="Y46" s="236">
        <v>24866000</v>
      </c>
      <c r="Z46" s="240">
        <v>24619000</v>
      </c>
      <c r="AA46" s="236">
        <v>25289000</v>
      </c>
      <c r="AB46" s="236">
        <v>25358000</v>
      </c>
      <c r="AC46" s="236">
        <v>25477000</v>
      </c>
      <c r="AD46" s="236"/>
      <c r="AE46" s="236"/>
      <c r="AF46" s="236"/>
    </row>
    <row r="47" spans="1:32" ht="13.5">
      <c r="C47" s="241"/>
      <c r="D47" s="242"/>
      <c r="E47" s="242"/>
      <c r="F47" s="242"/>
      <c r="G47" s="242"/>
      <c r="H47" s="242"/>
      <c r="I47" s="241"/>
      <c r="J47" s="243"/>
      <c r="K47" s="241"/>
      <c r="L47" s="242"/>
      <c r="M47" s="241"/>
      <c r="N47" s="241"/>
      <c r="O47" s="241"/>
      <c r="P47" s="236"/>
      <c r="Q47" s="236">
        <f t="shared" si="35"/>
        <v>0</v>
      </c>
      <c r="R47" s="241"/>
      <c r="S47" s="241"/>
      <c r="T47" s="241"/>
      <c r="U47" s="241"/>
      <c r="V47" s="244"/>
      <c r="W47" s="241"/>
      <c r="X47" s="241"/>
      <c r="Y47" s="241"/>
      <c r="Z47" s="241"/>
      <c r="AA47" s="241"/>
      <c r="AB47" s="241"/>
      <c r="AC47" s="241"/>
      <c r="AD47" s="241"/>
      <c r="AE47" s="236"/>
      <c r="AF47" s="236"/>
    </row>
    <row r="48" spans="1:32" ht="13.5">
      <c r="C48" s="245"/>
      <c r="D48" s="246"/>
      <c r="E48" s="246"/>
      <c r="F48" s="246"/>
      <c r="G48" s="247"/>
      <c r="H48" s="246"/>
      <c r="I48" s="246"/>
      <c r="J48" s="246"/>
      <c r="K48" s="246"/>
      <c r="L48" s="246"/>
      <c r="M48" s="246"/>
      <c r="N48" s="246"/>
      <c r="O48" s="246"/>
      <c r="P48" s="248"/>
      <c r="Q48" s="248"/>
      <c r="R48" s="249"/>
      <c r="S48" s="248"/>
      <c r="T48" s="248"/>
      <c r="U48" s="245"/>
      <c r="V48" s="245"/>
      <c r="W48" s="250"/>
      <c r="X48" s="245"/>
      <c r="Y48" s="245"/>
      <c r="Z48" s="245"/>
      <c r="AA48" s="245"/>
      <c r="AB48" s="245"/>
      <c r="AC48" s="245"/>
      <c r="AD48" s="246"/>
      <c r="AE48" s="248"/>
      <c r="AF48" s="248"/>
    </row>
    <row r="49" spans="3:34" ht="13.5">
      <c r="C49" s="241"/>
      <c r="D49" s="251"/>
      <c r="E49" s="252"/>
      <c r="F49" s="252"/>
      <c r="G49" s="252"/>
      <c r="H49" s="251"/>
      <c r="I49" s="251"/>
      <c r="J49" s="251"/>
      <c r="K49" s="251"/>
      <c r="L49" s="251"/>
      <c r="M49" s="251"/>
      <c r="N49" s="251"/>
      <c r="O49" s="251"/>
      <c r="P49" s="251"/>
      <c r="Q49" s="303"/>
      <c r="R49" s="241"/>
      <c r="S49" s="236"/>
      <c r="T49" s="236"/>
      <c r="U49" s="241"/>
      <c r="V49" s="241"/>
      <c r="W49" s="244"/>
      <c r="X49" s="241"/>
      <c r="Y49" s="241"/>
      <c r="Z49" s="241"/>
      <c r="AA49" s="241"/>
      <c r="AB49" s="241"/>
      <c r="AC49" s="241"/>
      <c r="AD49" s="251"/>
      <c r="AE49" s="236"/>
      <c r="AF49" s="236"/>
    </row>
    <row r="50" spans="3:34" ht="13.5">
      <c r="C50" s="245" t="s">
        <v>38</v>
      </c>
      <c r="D50" s="247">
        <f t="shared" ref="D50" si="37">IFERROR(D29/D10,0)</f>
        <v>0.86959999988104963</v>
      </c>
      <c r="E50" s="247">
        <f t="shared" ref="E50:AD50" si="38">IFERROR(E29/E10,0)</f>
        <v>0.86960000001404625</v>
      </c>
      <c r="F50" s="247">
        <f t="shared" si="38"/>
        <v>0.86960000006184102</v>
      </c>
      <c r="G50" s="247">
        <f t="shared" si="38"/>
        <v>0.86959999999575388</v>
      </c>
      <c r="H50" s="247">
        <f t="shared" si="38"/>
        <v>0.8696000000216334</v>
      </c>
      <c r="I50" s="247">
        <f t="shared" si="38"/>
        <v>0.86960000000190751</v>
      </c>
      <c r="J50" s="247">
        <f t="shared" si="38"/>
        <v>0.86959999999547166</v>
      </c>
      <c r="K50" s="247">
        <f t="shared" si="38"/>
        <v>0.86959999999298843</v>
      </c>
      <c r="L50" s="247">
        <f t="shared" si="38"/>
        <v>0.86960000001970561</v>
      </c>
      <c r="M50" s="247">
        <f t="shared" si="38"/>
        <v>0.86959999997638326</v>
      </c>
      <c r="N50" s="247">
        <f t="shared" si="38"/>
        <v>0.86959999998802817</v>
      </c>
      <c r="O50" s="247">
        <f>IFERROR(O29/O10,0)</f>
        <v>0.86959999999935944</v>
      </c>
      <c r="P50" s="247">
        <f t="shared" si="38"/>
        <v>0.86959999999796223</v>
      </c>
      <c r="Q50" s="304">
        <f t="shared" si="38"/>
        <v>0.86960000000055082</v>
      </c>
      <c r="R50" s="247">
        <f t="shared" si="38"/>
        <v>0.86959999988104963</v>
      </c>
      <c r="S50" s="247">
        <f t="shared" si="38"/>
        <v>0.86960000001404614</v>
      </c>
      <c r="T50" s="247">
        <f t="shared" si="38"/>
        <v>0.86960000006184091</v>
      </c>
      <c r="U50" s="247">
        <f t="shared" si="38"/>
        <v>0.86959999999575399</v>
      </c>
      <c r="V50" s="247">
        <f t="shared" si="38"/>
        <v>0.8696000000216334</v>
      </c>
      <c r="W50" s="247">
        <f t="shared" si="38"/>
        <v>0.86958979033728356</v>
      </c>
      <c r="X50" s="247">
        <f t="shared" si="38"/>
        <v>0.86959999999547166</v>
      </c>
      <c r="Y50" s="247">
        <f t="shared" si="38"/>
        <v>0.86959169284020255</v>
      </c>
      <c r="Z50" s="247">
        <f t="shared" si="38"/>
        <v>0.86959685635278705</v>
      </c>
      <c r="AA50" s="247">
        <f t="shared" si="38"/>
        <v>0.86959572726209511</v>
      </c>
      <c r="AB50" s="247">
        <f t="shared" si="38"/>
        <v>0.86959632448356883</v>
      </c>
      <c r="AC50" s="247">
        <f t="shared" si="38"/>
        <v>0.86959961676942799</v>
      </c>
      <c r="AD50" s="247">
        <f t="shared" si="38"/>
        <v>0.86959770980567797</v>
      </c>
      <c r="AE50" s="256"/>
      <c r="AF50" s="256"/>
    </row>
    <row r="51" spans="3:34" ht="13.5">
      <c r="C51" s="245"/>
      <c r="D51" s="247"/>
      <c r="E51" s="247"/>
      <c r="F51" s="247"/>
      <c r="G51" s="247"/>
      <c r="H51" s="247"/>
      <c r="I51" s="247"/>
      <c r="J51" s="247"/>
      <c r="K51" s="247"/>
      <c r="L51" s="247"/>
      <c r="M51" s="247"/>
      <c r="N51" s="247"/>
      <c r="O51" s="247"/>
      <c r="P51" s="247"/>
      <c r="Q51" s="304"/>
      <c r="R51" s="247"/>
      <c r="S51" s="247"/>
      <c r="T51" s="247"/>
      <c r="U51" s="247"/>
      <c r="V51" s="247"/>
      <c r="W51" s="247"/>
      <c r="X51" s="247"/>
      <c r="Y51" s="247"/>
      <c r="Z51" s="247"/>
      <c r="AA51" s="247"/>
      <c r="AB51" s="247"/>
      <c r="AC51" s="247"/>
      <c r="AD51" s="247"/>
      <c r="AE51" s="236"/>
      <c r="AF51" s="236"/>
    </row>
    <row r="52" spans="3:34" ht="13.5">
      <c r="C52" s="245" t="s">
        <v>160</v>
      </c>
      <c r="D52" s="247">
        <f t="shared" ref="D52:AD52" si="39">IFERROR(D38/D19,0)</f>
        <v>0.86869999985491753</v>
      </c>
      <c r="E52" s="247">
        <f t="shared" si="39"/>
        <v>0.86870000001450187</v>
      </c>
      <c r="F52" s="247">
        <f t="shared" si="39"/>
        <v>0.86870000001931402</v>
      </c>
      <c r="G52" s="247">
        <f t="shared" si="39"/>
        <v>0.86870000003936831</v>
      </c>
      <c r="H52" s="247">
        <f t="shared" si="39"/>
        <v>0.86870000002336878</v>
      </c>
      <c r="I52" s="247">
        <f t="shared" si="39"/>
        <v>0</v>
      </c>
      <c r="J52" s="247">
        <f t="shared" si="39"/>
        <v>0</v>
      </c>
      <c r="K52" s="247">
        <f t="shared" si="39"/>
        <v>0.86869999996612268</v>
      </c>
      <c r="L52" s="247">
        <f t="shared" si="39"/>
        <v>0.86870000005228565</v>
      </c>
      <c r="M52" s="247">
        <f t="shared" si="39"/>
        <v>0.8686999998601993</v>
      </c>
      <c r="N52" s="247">
        <f t="shared" si="39"/>
        <v>0.86869999999410508</v>
      </c>
      <c r="O52" s="247">
        <f>IFERROR(O38/O19,0)</f>
        <v>0.82975724735405487</v>
      </c>
      <c r="P52" s="247">
        <f t="shared" si="39"/>
        <v>0.84719563128444464</v>
      </c>
      <c r="Q52" s="304">
        <f t="shared" si="39"/>
        <v>0.85000000000259879</v>
      </c>
      <c r="R52" s="247">
        <f t="shared" si="39"/>
        <v>0.86869999985491742</v>
      </c>
      <c r="S52" s="247">
        <f t="shared" si="39"/>
        <v>0.86870000001450187</v>
      </c>
      <c r="T52" s="247">
        <f t="shared" si="39"/>
        <v>0.86870000001931391</v>
      </c>
      <c r="U52" s="247">
        <f t="shared" si="39"/>
        <v>0.86870000003936843</v>
      </c>
      <c r="V52" s="247">
        <f t="shared" si="39"/>
        <v>0.86870000002336889</v>
      </c>
      <c r="W52" s="247">
        <f t="shared" si="39"/>
        <v>0</v>
      </c>
      <c r="X52" s="247">
        <f t="shared" si="39"/>
        <v>0</v>
      </c>
      <c r="Y52" s="247">
        <f t="shared" si="39"/>
        <v>0.86871242238065516</v>
      </c>
      <c r="Z52" s="247">
        <f t="shared" si="39"/>
        <v>0.86870167281548483</v>
      </c>
      <c r="AA52" s="247">
        <f t="shared" si="39"/>
        <v>0.86878417078885706</v>
      </c>
      <c r="AB52" s="247">
        <f t="shared" si="39"/>
        <v>0.8686963274255437</v>
      </c>
      <c r="AC52" s="247">
        <f t="shared" si="39"/>
        <v>0.82975672441083848</v>
      </c>
      <c r="AD52" s="247">
        <f t="shared" si="39"/>
        <v>0.84733091642309533</v>
      </c>
      <c r="AE52" s="248"/>
      <c r="AF52" s="248"/>
      <c r="AG52" s="279"/>
      <c r="AH52" s="279"/>
    </row>
    <row r="53" spans="3:34" ht="13.5">
      <c r="C53" s="245"/>
      <c r="D53" s="247"/>
      <c r="E53" s="247"/>
      <c r="F53" s="247"/>
      <c r="G53" s="247"/>
      <c r="H53" s="247"/>
      <c r="I53" s="247"/>
      <c r="J53" s="247"/>
      <c r="K53" s="247"/>
      <c r="L53" s="247"/>
      <c r="M53" s="247"/>
      <c r="N53" s="247"/>
      <c r="O53" s="247"/>
      <c r="P53" s="247"/>
      <c r="Q53" s="304"/>
      <c r="R53" s="247"/>
      <c r="S53" s="247"/>
      <c r="T53" s="247"/>
      <c r="U53" s="247"/>
      <c r="V53" s="247"/>
      <c r="W53" s="247"/>
      <c r="X53" s="247"/>
      <c r="Y53" s="247"/>
      <c r="Z53" s="247"/>
      <c r="AA53" s="247"/>
      <c r="AB53" s="247"/>
      <c r="AC53" s="247"/>
      <c r="AD53" s="247"/>
      <c r="AE53" s="248"/>
      <c r="AF53" s="248"/>
      <c r="AG53" s="279"/>
      <c r="AH53" s="279"/>
    </row>
    <row r="54" spans="3:34" ht="13.5">
      <c r="C54" s="245" t="s">
        <v>161</v>
      </c>
      <c r="D54" s="247">
        <f t="shared" ref="D54:Z54" si="40">IFERROR(D39/D20,0)</f>
        <v>0.86959999953939082</v>
      </c>
      <c r="E54" s="247">
        <f t="shared" si="40"/>
        <v>0.86959999990485659</v>
      </c>
      <c r="F54" s="247">
        <f t="shared" si="40"/>
        <v>0.86960000001851434</v>
      </c>
      <c r="G54" s="247">
        <f t="shared" si="40"/>
        <v>0</v>
      </c>
      <c r="H54" s="247">
        <f t="shared" si="40"/>
        <v>0</v>
      </c>
      <c r="I54" s="247">
        <f t="shared" si="40"/>
        <v>0</v>
      </c>
      <c r="J54" s="247">
        <f t="shared" si="40"/>
        <v>0</v>
      </c>
      <c r="K54" s="247">
        <f t="shared" si="40"/>
        <v>0</v>
      </c>
      <c r="L54" s="247">
        <f t="shared" si="40"/>
        <v>0</v>
      </c>
      <c r="M54" s="247">
        <f t="shared" si="40"/>
        <v>0</v>
      </c>
      <c r="N54" s="247">
        <f t="shared" si="40"/>
        <v>0</v>
      </c>
      <c r="O54" s="247">
        <f t="shared" si="40"/>
        <v>0</v>
      </c>
      <c r="P54" s="247">
        <f t="shared" si="40"/>
        <v>0.91645486312624147</v>
      </c>
      <c r="Q54" s="304">
        <f t="shared" si="40"/>
        <v>0.9021448137720931</v>
      </c>
      <c r="R54" s="247">
        <f t="shared" si="40"/>
        <v>0.86959999953939082</v>
      </c>
      <c r="S54" s="247">
        <f t="shared" si="40"/>
        <v>0.86959999990485659</v>
      </c>
      <c r="T54" s="247">
        <f t="shared" si="40"/>
        <v>0.86960000001851423</v>
      </c>
      <c r="U54" s="247">
        <f t="shared" si="40"/>
        <v>0</v>
      </c>
      <c r="V54" s="247">
        <f t="shared" si="40"/>
        <v>0</v>
      </c>
      <c r="W54" s="247">
        <f t="shared" si="40"/>
        <v>0</v>
      </c>
      <c r="X54" s="247">
        <f t="shared" si="40"/>
        <v>0</v>
      </c>
      <c r="Y54" s="247">
        <f t="shared" si="40"/>
        <v>0</v>
      </c>
      <c r="Z54" s="247">
        <f t="shared" si="40"/>
        <v>0</v>
      </c>
      <c r="AA54" s="247">
        <f>IFERROR(AA39/AA20,0)</f>
        <v>0</v>
      </c>
      <c r="AB54" s="247">
        <f>IFERROR(AB39/AB20,0)</f>
        <v>0</v>
      </c>
      <c r="AC54" s="247">
        <f>IFERROR(AC39/AC20,0)</f>
        <v>0</v>
      </c>
      <c r="AD54" s="247">
        <f>IFERROR(AD39/AD20,0)</f>
        <v>0.91549881192897065</v>
      </c>
      <c r="AE54" s="248"/>
      <c r="AF54" s="248"/>
      <c r="AG54" s="279"/>
      <c r="AH54" s="279"/>
    </row>
    <row r="55" spans="3:34" ht="13.5">
      <c r="C55" s="245"/>
      <c r="D55" s="280"/>
      <c r="E55" s="280"/>
      <c r="F55" s="280"/>
      <c r="G55" s="280"/>
      <c r="H55" s="280"/>
      <c r="I55" s="245"/>
      <c r="J55" s="245"/>
      <c r="K55" s="245"/>
      <c r="L55" s="245"/>
      <c r="M55" s="245"/>
      <c r="N55" s="245"/>
      <c r="O55" s="245"/>
      <c r="P55" s="245"/>
      <c r="Q55" s="304"/>
      <c r="R55" s="245"/>
      <c r="S55" s="245"/>
      <c r="T55" s="245"/>
      <c r="U55" s="245"/>
      <c r="V55" s="250"/>
      <c r="W55" s="245"/>
      <c r="X55" s="245"/>
      <c r="Y55" s="245"/>
      <c r="Z55" s="245"/>
      <c r="AA55" s="245"/>
      <c r="AB55" s="245"/>
      <c r="AC55" s="245"/>
      <c r="AD55" s="245"/>
      <c r="AE55" s="236"/>
      <c r="AF55" s="236"/>
    </row>
    <row r="56" spans="3:34" ht="13.5">
      <c r="C56" s="245" t="s">
        <v>178</v>
      </c>
      <c r="D56" s="242"/>
      <c r="E56" s="242"/>
      <c r="F56" s="242"/>
      <c r="G56" s="242"/>
      <c r="H56" s="242"/>
      <c r="I56" s="241"/>
      <c r="J56" s="241"/>
      <c r="K56" s="241"/>
      <c r="L56" s="247">
        <f t="shared" ref="L56:Y56" si="41">IFERROR(L42/L23,0)</f>
        <v>0.8695999999976165</v>
      </c>
      <c r="M56" s="247">
        <f t="shared" si="41"/>
        <v>0.86960000017335315</v>
      </c>
      <c r="N56" s="247">
        <f t="shared" si="41"/>
        <v>0.86960000000826509</v>
      </c>
      <c r="O56" s="247">
        <f>IFERROR(O42/O23,0)</f>
        <v>0.87761593571740115</v>
      </c>
      <c r="P56" s="247">
        <f t="shared" si="41"/>
        <v>0.87279999998402102</v>
      </c>
      <c r="Q56" s="304">
        <f t="shared" si="41"/>
        <v>0.87279999998402102</v>
      </c>
      <c r="R56" s="247">
        <f t="shared" si="41"/>
        <v>0</v>
      </c>
      <c r="S56" s="247">
        <f t="shared" si="41"/>
        <v>0</v>
      </c>
      <c r="T56" s="247">
        <f t="shared" si="41"/>
        <v>0</v>
      </c>
      <c r="U56" s="247">
        <f t="shared" si="41"/>
        <v>0</v>
      </c>
      <c r="V56" s="247">
        <f t="shared" si="41"/>
        <v>0</v>
      </c>
      <c r="W56" s="247">
        <f t="shared" si="41"/>
        <v>0</v>
      </c>
      <c r="X56" s="247">
        <f t="shared" si="41"/>
        <v>0</v>
      </c>
      <c r="Y56" s="247">
        <f t="shared" si="41"/>
        <v>0</v>
      </c>
      <c r="Z56" s="247">
        <f t="shared" ref="Z56:AC56" si="42">IFERROR(Z42/Z23,0)</f>
        <v>0.86957736639888228</v>
      </c>
      <c r="AA56" s="247">
        <f t="shared" si="42"/>
        <v>0.8696070183872131</v>
      </c>
      <c r="AB56" s="247">
        <f t="shared" si="42"/>
        <v>0.86960769077063116</v>
      </c>
      <c r="AC56" s="247">
        <f t="shared" si="42"/>
        <v>0.87761605695223543</v>
      </c>
      <c r="AD56" s="247">
        <f t="shared" ref="AD56" si="43">IFERROR(AD42/AD23,0)</f>
        <v>0.87276909127098201</v>
      </c>
      <c r="AE56" s="236"/>
      <c r="AF56" s="236"/>
    </row>
    <row r="57" spans="3:34" ht="13.5">
      <c r="C57" s="245"/>
      <c r="D57" s="242"/>
      <c r="E57" s="242"/>
      <c r="F57" s="242"/>
      <c r="G57" s="242"/>
      <c r="H57" s="242"/>
      <c r="I57" s="241"/>
      <c r="J57" s="241"/>
      <c r="K57" s="241"/>
      <c r="L57" s="241"/>
      <c r="M57" s="241"/>
      <c r="N57" s="241"/>
      <c r="O57" s="241"/>
      <c r="P57" s="242"/>
      <c r="Q57" s="305"/>
      <c r="R57" s="241"/>
      <c r="S57" s="241"/>
      <c r="T57" s="241"/>
      <c r="U57" s="241"/>
      <c r="V57" s="241"/>
      <c r="W57" s="241"/>
      <c r="X57" s="241"/>
      <c r="Y57" s="241"/>
      <c r="Z57" s="241"/>
      <c r="AA57" s="241"/>
      <c r="AB57" s="241"/>
      <c r="AC57" s="241"/>
      <c r="AD57" s="241"/>
      <c r="AE57" s="236"/>
      <c r="AF57" s="236"/>
    </row>
    <row r="58" spans="3:34" ht="13.5">
      <c r="C58" s="245" t="s">
        <v>179</v>
      </c>
      <c r="D58" s="242"/>
      <c r="E58" s="242"/>
      <c r="F58" s="242"/>
      <c r="G58" s="242"/>
      <c r="H58" s="242"/>
      <c r="I58" s="241"/>
      <c r="J58" s="241"/>
      <c r="K58" s="241"/>
      <c r="L58" s="247">
        <f t="shared" ref="L58:P58" si="44">IFERROR(L43/L24,0)</f>
        <v>0.9366278108361189</v>
      </c>
      <c r="M58" s="247">
        <f t="shared" si="44"/>
        <v>0.95122891160790413</v>
      </c>
      <c r="N58" s="247">
        <f t="shared" si="44"/>
        <v>0.91743657064776774</v>
      </c>
      <c r="O58" s="247">
        <f t="shared" si="44"/>
        <v>0.92318149246713122</v>
      </c>
      <c r="P58" s="247">
        <f t="shared" si="44"/>
        <v>0.92224905911399302</v>
      </c>
      <c r="Q58" s="247">
        <f>IFERROR(Q43/Q24,0)</f>
        <v>0.92224905911399302</v>
      </c>
      <c r="R58" s="247">
        <f t="shared" ref="R58:Y58" si="45">IFERROR(R43/R24,0)</f>
        <v>0</v>
      </c>
      <c r="S58" s="247">
        <f t="shared" si="45"/>
        <v>0</v>
      </c>
      <c r="T58" s="247">
        <f t="shared" si="45"/>
        <v>0</v>
      </c>
      <c r="U58" s="247">
        <f t="shared" si="45"/>
        <v>0</v>
      </c>
      <c r="V58" s="247">
        <f t="shared" si="45"/>
        <v>0</v>
      </c>
      <c r="W58" s="247">
        <f t="shared" si="45"/>
        <v>0</v>
      </c>
      <c r="X58" s="247">
        <f t="shared" si="45"/>
        <v>0</v>
      </c>
      <c r="Y58" s="247">
        <f t="shared" si="45"/>
        <v>0</v>
      </c>
      <c r="Z58" s="247">
        <f t="shared" ref="Z58:AC58" si="46">IFERROR(Z43/Z24,0)</f>
        <v>0.93662377568657584</v>
      </c>
      <c r="AA58" s="247">
        <f t="shared" si="46"/>
        <v>0.95118306351183057</v>
      </c>
      <c r="AB58" s="247">
        <f t="shared" si="46"/>
        <v>0.9174311926605504</v>
      </c>
      <c r="AC58" s="247">
        <f t="shared" si="46"/>
        <v>0.9231814690066773</v>
      </c>
      <c r="AD58" s="247">
        <f t="shared" ref="AD58" si="47">IFERROR(AD43/AD24,0)</f>
        <v>0.92225370096963422</v>
      </c>
      <c r="AE58" s="236"/>
      <c r="AF58" s="236"/>
    </row>
    <row r="59" spans="3:34" ht="13.5">
      <c r="C59" s="241"/>
      <c r="D59" s="242"/>
      <c r="E59" s="242"/>
      <c r="F59" s="242"/>
      <c r="G59" s="242"/>
      <c r="H59" s="242"/>
      <c r="I59" s="241"/>
      <c r="J59" s="241"/>
      <c r="K59" s="241"/>
      <c r="L59" s="241"/>
      <c r="M59" s="241"/>
      <c r="N59" s="241"/>
      <c r="O59" s="241"/>
      <c r="P59" s="241"/>
      <c r="Q59" s="236"/>
      <c r="R59" s="241"/>
      <c r="S59" s="241"/>
      <c r="T59" s="241"/>
      <c r="U59" s="241"/>
      <c r="V59" s="244"/>
      <c r="W59" s="241"/>
      <c r="X59" s="241"/>
      <c r="Y59" s="241"/>
      <c r="Z59" s="241"/>
      <c r="AA59" s="241"/>
      <c r="AB59" s="241"/>
      <c r="AC59" s="241"/>
      <c r="AD59" s="241"/>
      <c r="AE59" s="236"/>
      <c r="AF59" s="236"/>
    </row>
    <row r="60" spans="3:34" ht="13.5">
      <c r="C60" s="241"/>
      <c r="D60" s="242"/>
      <c r="E60" s="242"/>
      <c r="F60" s="242"/>
      <c r="G60" s="242"/>
      <c r="H60" s="242"/>
      <c r="I60" s="241"/>
      <c r="J60" s="241"/>
      <c r="K60" s="241"/>
      <c r="L60" s="241"/>
      <c r="M60" s="241"/>
      <c r="N60" s="241"/>
      <c r="O60" s="241"/>
      <c r="P60" s="241"/>
      <c r="Q60" s="236"/>
      <c r="R60" s="241"/>
      <c r="S60" s="241"/>
      <c r="T60" s="241"/>
      <c r="U60" s="241"/>
      <c r="V60" s="244"/>
      <c r="W60" s="241"/>
      <c r="X60" s="241"/>
      <c r="Y60" s="241"/>
      <c r="Z60" s="241"/>
      <c r="AA60" s="241"/>
      <c r="AB60" s="241"/>
      <c r="AC60" s="241"/>
      <c r="AD60" s="241"/>
      <c r="AE60" s="236"/>
      <c r="AF60" s="236"/>
    </row>
    <row r="61" spans="3:34" ht="13.5">
      <c r="C61" s="241"/>
      <c r="D61" s="242"/>
      <c r="E61" s="242"/>
      <c r="F61" s="242"/>
      <c r="G61" s="242"/>
      <c r="H61" s="242"/>
      <c r="I61" s="241"/>
      <c r="J61" s="241"/>
      <c r="K61" s="242"/>
      <c r="L61" s="242"/>
      <c r="M61" s="241"/>
      <c r="N61" s="241"/>
      <c r="O61" s="241"/>
      <c r="P61" s="241"/>
      <c r="Q61" s="236"/>
      <c r="R61" s="241"/>
      <c r="S61" s="241"/>
      <c r="T61" s="241"/>
      <c r="U61" s="241"/>
      <c r="V61" s="244"/>
      <c r="W61" s="241"/>
      <c r="X61" s="241"/>
      <c r="Y61" s="241"/>
      <c r="Z61" s="241"/>
      <c r="AA61" s="241"/>
      <c r="AB61" s="241"/>
      <c r="AC61" s="241"/>
      <c r="AD61" s="241"/>
      <c r="AE61" s="236"/>
      <c r="AF61" s="236"/>
    </row>
    <row r="62" spans="3:34" ht="13.5">
      <c r="C62" s="241"/>
      <c r="D62" s="242"/>
      <c r="E62" s="242"/>
      <c r="F62" s="242"/>
      <c r="G62" s="242"/>
      <c r="H62" s="242"/>
      <c r="I62" s="241"/>
      <c r="J62" s="241"/>
      <c r="K62" s="242"/>
      <c r="L62" s="242"/>
      <c r="M62" s="241"/>
      <c r="N62" s="241"/>
      <c r="O62" s="241"/>
      <c r="P62" s="241"/>
      <c r="Q62" s="236"/>
      <c r="R62" s="241"/>
      <c r="S62" s="241"/>
      <c r="T62" s="241"/>
      <c r="U62" s="241"/>
      <c r="V62" s="244"/>
      <c r="W62" s="241"/>
      <c r="X62" s="241"/>
      <c r="Y62" s="241"/>
      <c r="Z62" s="241"/>
      <c r="AA62" s="241"/>
      <c r="AB62" s="241"/>
      <c r="AC62" s="241"/>
      <c r="AD62" s="241"/>
      <c r="AE62" s="236"/>
      <c r="AF62" s="236"/>
    </row>
    <row r="63" spans="3:34" ht="13.5">
      <c r="C63" s="241"/>
      <c r="D63" s="242"/>
      <c r="E63" s="242"/>
      <c r="F63" s="242"/>
      <c r="G63" s="242"/>
      <c r="H63" s="242"/>
      <c r="I63" s="241"/>
      <c r="J63" s="241"/>
      <c r="K63" s="242"/>
      <c r="L63" s="242"/>
      <c r="M63" s="241"/>
      <c r="N63" s="241"/>
      <c r="O63" s="241"/>
      <c r="P63" s="241"/>
      <c r="Q63" s="236"/>
      <c r="R63" s="241"/>
      <c r="S63" s="241"/>
      <c r="T63" s="241"/>
      <c r="U63" s="241"/>
      <c r="V63" s="244"/>
      <c r="W63" s="241"/>
      <c r="X63" s="241"/>
      <c r="Y63" s="241"/>
      <c r="Z63" s="241"/>
      <c r="AA63" s="241"/>
      <c r="AB63" s="241"/>
      <c r="AC63" s="241"/>
      <c r="AD63" s="241"/>
      <c r="AE63" s="236"/>
      <c r="AF63" s="236"/>
    </row>
    <row r="64" spans="3:34" ht="13.5">
      <c r="C64" s="241"/>
      <c r="D64" s="242"/>
      <c r="E64" s="242"/>
      <c r="F64" s="242"/>
      <c r="G64" s="242"/>
      <c r="H64" s="242"/>
      <c r="I64" s="241"/>
      <c r="J64" s="241"/>
      <c r="K64" s="242"/>
      <c r="L64" s="242"/>
      <c r="M64" s="241"/>
      <c r="N64" s="241"/>
      <c r="O64" s="241"/>
      <c r="P64" s="241"/>
      <c r="Q64" s="236"/>
      <c r="R64" s="241"/>
      <c r="S64" s="241"/>
      <c r="T64" s="241"/>
      <c r="U64" s="241"/>
      <c r="V64" s="244"/>
      <c r="W64" s="241"/>
      <c r="X64" s="241"/>
      <c r="Y64" s="241"/>
      <c r="Z64" s="241"/>
      <c r="AA64" s="241"/>
      <c r="AB64" s="241"/>
      <c r="AC64" s="241"/>
      <c r="AD64" s="241"/>
      <c r="AE64" s="236"/>
      <c r="AF64" s="236"/>
    </row>
    <row r="65" spans="3:32" ht="13.5">
      <c r="C65" s="241"/>
      <c r="D65" s="242"/>
      <c r="E65" s="242"/>
      <c r="F65" s="242"/>
      <c r="G65" s="242"/>
      <c r="H65" s="242"/>
      <c r="I65" s="241"/>
      <c r="J65" s="241"/>
      <c r="K65" s="242"/>
      <c r="L65" s="242"/>
      <c r="M65" s="241"/>
      <c r="N65" s="241"/>
      <c r="O65" s="241"/>
      <c r="P65" s="241"/>
      <c r="Q65" s="236"/>
      <c r="R65" s="241"/>
      <c r="S65" s="241"/>
      <c r="T65" s="241"/>
      <c r="U65" s="241"/>
      <c r="V65" s="244"/>
      <c r="W65" s="241"/>
      <c r="X65" s="241"/>
      <c r="Y65" s="241"/>
      <c r="Z65" s="241"/>
      <c r="AA65" s="241"/>
      <c r="AB65" s="241"/>
      <c r="AC65" s="241"/>
      <c r="AD65" s="241"/>
      <c r="AE65" s="236"/>
      <c r="AF65" s="236"/>
    </row>
    <row r="66" spans="3:32" ht="13.5">
      <c r="C66" s="241"/>
      <c r="D66" s="242"/>
      <c r="E66" s="242"/>
      <c r="F66" s="242"/>
      <c r="G66" s="242"/>
      <c r="H66" s="242"/>
      <c r="I66" s="241"/>
      <c r="J66" s="241"/>
      <c r="K66" s="242"/>
      <c r="L66" s="242"/>
      <c r="M66" s="241"/>
      <c r="N66" s="241"/>
      <c r="O66" s="241"/>
      <c r="P66" s="241"/>
      <c r="Q66" s="236"/>
      <c r="R66" s="241"/>
      <c r="S66" s="241"/>
      <c r="T66" s="241"/>
      <c r="U66" s="241"/>
      <c r="V66" s="244"/>
      <c r="W66" s="241"/>
      <c r="X66" s="241"/>
      <c r="Y66" s="241"/>
      <c r="Z66" s="241"/>
      <c r="AA66" s="241"/>
      <c r="AB66" s="241"/>
      <c r="AC66" s="241"/>
      <c r="AD66" s="241"/>
      <c r="AE66" s="236"/>
      <c r="AF66" s="236"/>
    </row>
    <row r="67" spans="3:32" ht="13.5">
      <c r="C67" s="241"/>
      <c r="D67" s="242"/>
      <c r="E67" s="242"/>
      <c r="F67" s="242"/>
      <c r="G67" s="242"/>
      <c r="H67" s="242"/>
      <c r="I67" s="241"/>
      <c r="J67" s="241"/>
      <c r="K67" s="242"/>
      <c r="L67" s="242"/>
      <c r="M67" s="241"/>
      <c r="N67" s="241"/>
      <c r="O67" s="241"/>
      <c r="P67" s="241"/>
      <c r="Q67" s="236"/>
      <c r="R67" s="241"/>
      <c r="S67" s="241"/>
      <c r="T67" s="241"/>
      <c r="U67" s="241"/>
      <c r="V67" s="244"/>
      <c r="W67" s="241"/>
      <c r="X67" s="241"/>
      <c r="Y67" s="241"/>
      <c r="Z67" s="241"/>
      <c r="AA67" s="241"/>
      <c r="AB67" s="241"/>
      <c r="AC67" s="241"/>
      <c r="AD67" s="241"/>
      <c r="AE67" s="236"/>
      <c r="AF67" s="236"/>
    </row>
    <row r="68" spans="3:32" ht="13.5">
      <c r="C68" s="241"/>
      <c r="D68" s="242"/>
      <c r="E68" s="242"/>
      <c r="F68" s="242"/>
      <c r="G68" s="242"/>
      <c r="H68" s="242"/>
      <c r="I68" s="241"/>
      <c r="J68" s="241"/>
      <c r="K68" s="242"/>
      <c r="L68" s="242"/>
      <c r="M68" s="241"/>
      <c r="N68" s="241"/>
      <c r="O68" s="241"/>
      <c r="P68" s="241"/>
      <c r="Q68" s="236"/>
      <c r="R68" s="241"/>
      <c r="S68" s="241"/>
      <c r="T68" s="241"/>
      <c r="U68" s="241"/>
      <c r="V68" s="244"/>
      <c r="W68" s="241"/>
      <c r="X68" s="241"/>
      <c r="Y68" s="241"/>
      <c r="Z68" s="241"/>
      <c r="AA68" s="241"/>
      <c r="AB68" s="241"/>
      <c r="AC68" s="241"/>
      <c r="AD68" s="241"/>
      <c r="AE68" s="236"/>
      <c r="AF68" s="236"/>
    </row>
    <row r="69" spans="3:32" ht="13.5">
      <c r="C69" s="241"/>
      <c r="D69" s="242"/>
      <c r="E69" s="242"/>
      <c r="F69" s="242"/>
      <c r="G69" s="242"/>
      <c r="H69" s="242"/>
      <c r="I69" s="241"/>
      <c r="J69" s="241"/>
      <c r="K69" s="242"/>
      <c r="L69" s="242"/>
      <c r="M69" s="241"/>
      <c r="N69" s="241"/>
      <c r="O69" s="241"/>
      <c r="P69" s="241"/>
      <c r="Q69" s="236"/>
      <c r="R69" s="241"/>
      <c r="S69" s="241"/>
      <c r="T69" s="241"/>
      <c r="U69" s="241"/>
      <c r="V69" s="244"/>
      <c r="W69" s="241"/>
      <c r="X69" s="241"/>
      <c r="Y69" s="241"/>
      <c r="Z69" s="241"/>
      <c r="AA69" s="241"/>
      <c r="AB69" s="241"/>
      <c r="AC69" s="241"/>
      <c r="AD69" s="241"/>
      <c r="AE69" s="236"/>
      <c r="AF69" s="236"/>
    </row>
    <row r="70" spans="3:32" ht="13.5">
      <c r="C70" s="241"/>
      <c r="D70" s="242"/>
      <c r="E70" s="242"/>
      <c r="F70" s="242"/>
      <c r="G70" s="242"/>
      <c r="H70" s="242"/>
      <c r="I70" s="241"/>
      <c r="J70" s="241"/>
      <c r="K70" s="242"/>
      <c r="L70" s="242"/>
      <c r="M70" s="241"/>
      <c r="N70" s="241"/>
      <c r="O70" s="241"/>
      <c r="P70" s="241"/>
      <c r="Q70" s="236"/>
      <c r="R70" s="241"/>
      <c r="S70" s="241"/>
      <c r="T70" s="241"/>
      <c r="U70" s="241"/>
      <c r="V70" s="244"/>
      <c r="W70" s="241"/>
      <c r="X70" s="241"/>
      <c r="Y70" s="241"/>
      <c r="Z70" s="241"/>
      <c r="AA70" s="241"/>
      <c r="AB70" s="241"/>
      <c r="AC70" s="241"/>
      <c r="AD70" s="241"/>
      <c r="AE70" s="236"/>
      <c r="AF70" s="236"/>
    </row>
    <row r="71" spans="3:32" ht="13.5">
      <c r="C71" s="241"/>
      <c r="D71" s="242"/>
      <c r="E71" s="242"/>
      <c r="F71" s="242"/>
      <c r="G71" s="242"/>
      <c r="H71" s="242"/>
      <c r="I71" s="241"/>
      <c r="J71" s="241"/>
      <c r="K71" s="242"/>
      <c r="L71" s="242"/>
      <c r="M71" s="241"/>
      <c r="N71" s="241"/>
      <c r="O71" s="241"/>
      <c r="P71" s="241"/>
      <c r="Q71" s="236"/>
      <c r="R71" s="241"/>
      <c r="S71" s="241"/>
      <c r="T71" s="241"/>
      <c r="U71" s="241"/>
      <c r="V71" s="244"/>
      <c r="W71" s="241"/>
      <c r="X71" s="241"/>
      <c r="Y71" s="241"/>
      <c r="Z71" s="241"/>
      <c r="AA71" s="241"/>
      <c r="AB71" s="241"/>
      <c r="AC71" s="241"/>
      <c r="AD71" s="241"/>
      <c r="AE71" s="236"/>
      <c r="AF71" s="236"/>
    </row>
    <row r="72" spans="3:32" ht="13.5">
      <c r="C72" s="241"/>
      <c r="D72" s="242"/>
      <c r="E72" s="242"/>
      <c r="F72" s="242"/>
      <c r="G72" s="242"/>
      <c r="H72" s="242"/>
      <c r="I72" s="241"/>
      <c r="J72" s="241"/>
      <c r="K72" s="242"/>
      <c r="L72" s="242"/>
      <c r="M72" s="241"/>
      <c r="N72" s="241"/>
      <c r="O72" s="241"/>
      <c r="P72" s="241"/>
      <c r="Q72" s="236"/>
      <c r="R72" s="241"/>
      <c r="S72" s="241"/>
      <c r="T72" s="241"/>
      <c r="U72" s="241"/>
      <c r="V72" s="244"/>
      <c r="W72" s="241"/>
      <c r="X72" s="241"/>
      <c r="Y72" s="241"/>
      <c r="Z72" s="241"/>
      <c r="AA72" s="241"/>
      <c r="AB72" s="241"/>
      <c r="AC72" s="241"/>
      <c r="AD72" s="241"/>
      <c r="AE72" s="236"/>
      <c r="AF72" s="236"/>
    </row>
    <row r="73" spans="3:32" ht="13.5">
      <c r="C73" s="241"/>
      <c r="D73" s="242"/>
      <c r="E73" s="242"/>
      <c r="F73" s="242"/>
      <c r="G73" s="242"/>
      <c r="H73" s="242"/>
      <c r="I73" s="241"/>
      <c r="J73" s="241"/>
      <c r="K73" s="242"/>
      <c r="L73" s="242"/>
      <c r="M73" s="241"/>
      <c r="N73" s="241"/>
      <c r="O73" s="241"/>
      <c r="P73" s="241"/>
      <c r="Q73" s="236"/>
      <c r="R73" s="241"/>
      <c r="S73" s="241"/>
      <c r="T73" s="241"/>
      <c r="U73" s="241"/>
      <c r="V73" s="244"/>
      <c r="W73" s="241"/>
      <c r="X73" s="241"/>
      <c r="Y73" s="241"/>
      <c r="Z73" s="241"/>
      <c r="AA73" s="241"/>
      <c r="AB73" s="241"/>
      <c r="AC73" s="241"/>
      <c r="AD73" s="241"/>
      <c r="AE73" s="236"/>
      <c r="AF73" s="236"/>
    </row>
    <row r="74" spans="3:32" ht="13.5">
      <c r="C74" s="241"/>
      <c r="D74" s="242"/>
      <c r="E74" s="242"/>
      <c r="F74" s="242"/>
      <c r="G74" s="242"/>
      <c r="H74" s="242"/>
      <c r="I74" s="241"/>
      <c r="J74" s="241"/>
      <c r="K74" s="242"/>
      <c r="L74" s="242"/>
      <c r="M74" s="241"/>
      <c r="N74" s="241"/>
      <c r="O74" s="241"/>
      <c r="P74" s="241"/>
      <c r="Q74" s="236"/>
      <c r="R74" s="241"/>
      <c r="S74" s="241"/>
      <c r="T74" s="241"/>
      <c r="U74" s="241"/>
      <c r="V74" s="244"/>
      <c r="W74" s="241"/>
      <c r="X74" s="241"/>
      <c r="Y74" s="241"/>
      <c r="Z74" s="241"/>
      <c r="AA74" s="241"/>
      <c r="AB74" s="241"/>
      <c r="AC74" s="241"/>
      <c r="AD74" s="241"/>
      <c r="AE74" s="236"/>
      <c r="AF74" s="236"/>
    </row>
    <row r="75" spans="3:32" ht="13.5">
      <c r="C75" s="241"/>
      <c r="D75" s="242"/>
      <c r="E75" s="242"/>
      <c r="F75" s="242"/>
      <c r="G75" s="242"/>
      <c r="H75" s="242"/>
      <c r="I75" s="241"/>
      <c r="J75" s="241"/>
      <c r="K75" s="242"/>
      <c r="L75" s="242"/>
      <c r="M75" s="241"/>
      <c r="N75" s="241"/>
      <c r="O75" s="241"/>
      <c r="P75" s="241"/>
      <c r="Q75" s="236"/>
      <c r="R75" s="241"/>
      <c r="S75" s="241"/>
      <c r="T75" s="241"/>
      <c r="U75" s="241"/>
      <c r="V75" s="244"/>
      <c r="W75" s="241"/>
      <c r="X75" s="241"/>
      <c r="Y75" s="241"/>
      <c r="Z75" s="241"/>
      <c r="AA75" s="241"/>
      <c r="AB75" s="241"/>
      <c r="AC75" s="241"/>
      <c r="AD75" s="241"/>
      <c r="AE75" s="236"/>
      <c r="AF75" s="236"/>
    </row>
    <row r="76" spans="3:32" ht="13.5">
      <c r="C76" s="241"/>
      <c r="D76" s="242"/>
      <c r="E76" s="242"/>
      <c r="F76" s="242"/>
      <c r="G76" s="242"/>
      <c r="H76" s="242"/>
      <c r="I76" s="241"/>
      <c r="J76" s="241"/>
      <c r="K76" s="242"/>
      <c r="L76" s="242"/>
      <c r="M76" s="241"/>
      <c r="N76" s="241"/>
      <c r="O76" s="241"/>
      <c r="P76" s="241"/>
      <c r="Q76" s="236"/>
      <c r="R76" s="241"/>
      <c r="S76" s="241"/>
      <c r="T76" s="241"/>
      <c r="U76" s="241"/>
      <c r="V76" s="244"/>
      <c r="W76" s="241"/>
      <c r="X76" s="241"/>
      <c r="Y76" s="241"/>
      <c r="Z76" s="241"/>
      <c r="AA76" s="241"/>
      <c r="AB76" s="241"/>
      <c r="AC76" s="241"/>
      <c r="AD76" s="241"/>
      <c r="AE76" s="236"/>
      <c r="AF76" s="236"/>
    </row>
    <row r="77" spans="3:32" ht="13.5">
      <c r="C77" s="241"/>
      <c r="D77" s="242"/>
      <c r="E77" s="242"/>
      <c r="F77" s="242"/>
      <c r="G77" s="242"/>
      <c r="H77" s="242"/>
      <c r="I77" s="241"/>
      <c r="J77" s="241"/>
      <c r="K77" s="242"/>
      <c r="L77" s="242"/>
      <c r="M77" s="241"/>
      <c r="N77" s="241"/>
      <c r="O77" s="241"/>
      <c r="P77" s="241"/>
      <c r="Q77" s="236"/>
      <c r="R77" s="241"/>
      <c r="S77" s="241"/>
      <c r="T77" s="241"/>
      <c r="U77" s="241"/>
      <c r="V77" s="244"/>
      <c r="W77" s="241"/>
      <c r="X77" s="241"/>
      <c r="Y77" s="241"/>
      <c r="Z77" s="241"/>
      <c r="AA77" s="241"/>
      <c r="AB77" s="241"/>
      <c r="AC77" s="241"/>
      <c r="AD77" s="241"/>
      <c r="AE77" s="236"/>
      <c r="AF77" s="236"/>
    </row>
    <row r="78" spans="3:32" ht="13.5">
      <c r="C78" s="241"/>
      <c r="D78" s="242"/>
      <c r="E78" s="242"/>
      <c r="F78" s="242"/>
      <c r="G78" s="242"/>
      <c r="H78" s="242"/>
      <c r="I78" s="241"/>
      <c r="J78" s="241"/>
      <c r="K78" s="242"/>
      <c r="L78" s="242"/>
      <c r="M78" s="241"/>
      <c r="N78" s="241"/>
      <c r="O78" s="241"/>
      <c r="P78" s="241"/>
      <c r="Q78" s="236"/>
      <c r="R78" s="241"/>
      <c r="S78" s="241"/>
      <c r="T78" s="241"/>
      <c r="U78" s="241"/>
      <c r="V78" s="244"/>
      <c r="W78" s="241"/>
      <c r="X78" s="241"/>
      <c r="Y78" s="241"/>
      <c r="Z78" s="241"/>
      <c r="AA78" s="241"/>
      <c r="AB78" s="241"/>
      <c r="AC78" s="241"/>
      <c r="AD78" s="241"/>
      <c r="AE78" s="236"/>
      <c r="AF78" s="236"/>
    </row>
    <row r="79" spans="3:32" ht="13.5">
      <c r="C79" s="241"/>
      <c r="D79" s="242"/>
      <c r="E79" s="242"/>
      <c r="F79" s="242"/>
      <c r="G79" s="242"/>
      <c r="H79" s="242"/>
      <c r="I79" s="241"/>
      <c r="J79" s="241"/>
      <c r="K79" s="242"/>
      <c r="L79" s="242"/>
      <c r="M79" s="241"/>
      <c r="N79" s="241"/>
      <c r="O79" s="241"/>
      <c r="P79" s="241"/>
      <c r="Q79" s="236"/>
      <c r="R79" s="241"/>
      <c r="S79" s="241"/>
      <c r="T79" s="241"/>
      <c r="U79" s="241"/>
      <c r="V79" s="244"/>
      <c r="W79" s="241"/>
      <c r="X79" s="241"/>
      <c r="Y79" s="241"/>
      <c r="Z79" s="241"/>
      <c r="AA79" s="241"/>
      <c r="AB79" s="241"/>
      <c r="AC79" s="241"/>
      <c r="AD79" s="241"/>
      <c r="AE79" s="236"/>
      <c r="AF79" s="236"/>
    </row>
    <row r="80" spans="3:32" ht="13.5">
      <c r="C80" s="241"/>
      <c r="D80" s="242"/>
      <c r="E80" s="242"/>
      <c r="F80" s="242"/>
      <c r="G80" s="242"/>
      <c r="H80" s="242"/>
      <c r="I80" s="241"/>
      <c r="J80" s="241"/>
      <c r="K80" s="242"/>
      <c r="L80" s="242"/>
      <c r="M80" s="241"/>
      <c r="N80" s="241"/>
      <c r="O80" s="241"/>
      <c r="P80" s="241"/>
      <c r="Q80" s="236"/>
      <c r="R80" s="241"/>
      <c r="S80" s="241"/>
      <c r="T80" s="241"/>
      <c r="U80" s="241"/>
      <c r="V80" s="244"/>
      <c r="W80" s="241"/>
      <c r="X80" s="241"/>
      <c r="Y80" s="241"/>
      <c r="Z80" s="241"/>
      <c r="AA80" s="241"/>
      <c r="AB80" s="241"/>
      <c r="AC80" s="241"/>
      <c r="AD80" s="241"/>
      <c r="AE80" s="236"/>
      <c r="AF80" s="236"/>
    </row>
    <row r="81" spans="3:32" ht="13.5">
      <c r="C81" s="241"/>
      <c r="D81" s="242"/>
      <c r="E81" s="242"/>
      <c r="F81" s="242"/>
      <c r="G81" s="242"/>
      <c r="H81" s="242"/>
      <c r="I81" s="241"/>
      <c r="J81" s="241"/>
      <c r="K81" s="242"/>
      <c r="L81" s="242"/>
      <c r="M81" s="241"/>
      <c r="N81" s="241"/>
      <c r="O81" s="241"/>
      <c r="P81" s="241"/>
      <c r="Q81" s="236"/>
      <c r="R81" s="241"/>
      <c r="S81" s="241"/>
      <c r="T81" s="241"/>
      <c r="U81" s="241"/>
      <c r="V81" s="244"/>
      <c r="W81" s="241"/>
      <c r="X81" s="241"/>
      <c r="Y81" s="241"/>
      <c r="Z81" s="241"/>
      <c r="AA81" s="241"/>
      <c r="AB81" s="241"/>
      <c r="AC81" s="241"/>
      <c r="AD81" s="241"/>
      <c r="AE81" s="236"/>
      <c r="AF81" s="236"/>
    </row>
    <row r="82" spans="3:32" ht="13.5">
      <c r="C82" s="241"/>
      <c r="D82" s="242"/>
      <c r="E82" s="242"/>
      <c r="F82" s="242"/>
      <c r="G82" s="242"/>
      <c r="H82" s="242"/>
      <c r="I82" s="241"/>
      <c r="J82" s="241"/>
      <c r="K82" s="241"/>
      <c r="L82" s="241"/>
      <c r="M82" s="241"/>
      <c r="N82" s="241"/>
      <c r="O82" s="241"/>
      <c r="P82" s="241"/>
      <c r="Q82" s="236"/>
      <c r="R82" s="241"/>
      <c r="S82" s="241"/>
      <c r="T82" s="241"/>
      <c r="U82" s="241"/>
      <c r="V82" s="244"/>
      <c r="W82" s="241"/>
      <c r="X82" s="241"/>
      <c r="Y82" s="241"/>
      <c r="Z82" s="241"/>
      <c r="AA82" s="241"/>
      <c r="AB82" s="241"/>
      <c r="AC82" s="241"/>
      <c r="AD82" s="241"/>
      <c r="AE82" s="236"/>
      <c r="AF82" s="236"/>
    </row>
    <row r="83" spans="3:32" ht="13.5">
      <c r="C83" s="241"/>
      <c r="D83" s="242"/>
      <c r="E83" s="242"/>
      <c r="F83" s="242"/>
      <c r="G83" s="242"/>
      <c r="H83" s="242"/>
      <c r="I83" s="241"/>
      <c r="J83" s="241"/>
      <c r="K83" s="241"/>
      <c r="L83" s="241"/>
      <c r="M83" s="241"/>
      <c r="N83" s="241"/>
      <c r="O83" s="241"/>
      <c r="P83" s="241"/>
      <c r="Q83" s="236"/>
      <c r="R83" s="241"/>
      <c r="S83" s="241"/>
      <c r="T83" s="241"/>
      <c r="U83" s="241"/>
      <c r="V83" s="244"/>
      <c r="W83" s="241"/>
      <c r="X83" s="241"/>
      <c r="Y83" s="241"/>
      <c r="Z83" s="241"/>
      <c r="AA83" s="241"/>
      <c r="AB83" s="241"/>
      <c r="AC83" s="241"/>
      <c r="AD83" s="241"/>
      <c r="AE83" s="236"/>
      <c r="AF83" s="236"/>
    </row>
    <row r="84" spans="3:32" ht="13.5">
      <c r="C84" s="241"/>
      <c r="D84" s="242"/>
      <c r="E84" s="242"/>
      <c r="F84" s="242"/>
      <c r="G84" s="242"/>
      <c r="H84" s="242"/>
      <c r="I84" s="241"/>
      <c r="J84" s="241"/>
      <c r="K84" s="241"/>
      <c r="L84" s="241"/>
      <c r="M84" s="241"/>
      <c r="N84" s="241"/>
      <c r="O84" s="241"/>
      <c r="P84" s="241"/>
      <c r="Q84" s="236"/>
      <c r="R84" s="241"/>
      <c r="S84" s="241"/>
      <c r="T84" s="241"/>
      <c r="U84" s="241"/>
      <c r="V84" s="244"/>
      <c r="W84" s="241"/>
      <c r="X84" s="241"/>
      <c r="Y84" s="241"/>
      <c r="Z84" s="241"/>
      <c r="AA84" s="241"/>
      <c r="AB84" s="241"/>
      <c r="AC84" s="241"/>
      <c r="AD84" s="241"/>
      <c r="AE84" s="236"/>
      <c r="AF84" s="236"/>
    </row>
    <row r="85" spans="3:32" ht="13.5">
      <c r="C85" s="241"/>
      <c r="D85" s="242"/>
      <c r="E85" s="242"/>
      <c r="F85" s="242"/>
      <c r="G85" s="242"/>
      <c r="H85" s="242"/>
      <c r="I85" s="241"/>
      <c r="J85" s="241"/>
      <c r="K85" s="241"/>
      <c r="L85" s="241"/>
      <c r="M85" s="241"/>
      <c r="N85" s="241"/>
      <c r="O85" s="241"/>
      <c r="P85" s="241"/>
      <c r="Q85" s="236"/>
      <c r="R85" s="241"/>
      <c r="S85" s="241"/>
      <c r="T85" s="241"/>
      <c r="U85" s="241"/>
      <c r="V85" s="244"/>
      <c r="W85" s="241"/>
      <c r="X85" s="241"/>
      <c r="Y85" s="241"/>
      <c r="Z85" s="241"/>
      <c r="AA85" s="241"/>
      <c r="AB85" s="241"/>
      <c r="AC85" s="241"/>
      <c r="AD85" s="241"/>
      <c r="AE85" s="236"/>
      <c r="AF85" s="236"/>
    </row>
    <row r="86" spans="3:32" ht="13.5">
      <c r="C86" s="241"/>
      <c r="D86" s="242"/>
      <c r="E86" s="242"/>
      <c r="F86" s="242"/>
      <c r="G86" s="242"/>
      <c r="H86" s="242"/>
      <c r="I86" s="241"/>
      <c r="J86" s="241"/>
      <c r="K86" s="241"/>
      <c r="L86" s="241"/>
      <c r="M86" s="241"/>
      <c r="N86" s="241"/>
      <c r="O86" s="241"/>
      <c r="P86" s="241"/>
      <c r="Q86" s="236"/>
      <c r="R86" s="241"/>
      <c r="S86" s="241"/>
      <c r="T86" s="241"/>
      <c r="U86" s="241"/>
      <c r="V86" s="244"/>
      <c r="W86" s="241"/>
      <c r="X86" s="241"/>
      <c r="Y86" s="241"/>
      <c r="Z86" s="241"/>
      <c r="AA86" s="241"/>
      <c r="AB86" s="241"/>
      <c r="AC86" s="241"/>
      <c r="AD86" s="241"/>
      <c r="AE86" s="236"/>
      <c r="AF86" s="236"/>
    </row>
    <row r="87" spans="3:32" ht="13.5">
      <c r="C87" s="241"/>
      <c r="D87" s="242"/>
      <c r="E87" s="242"/>
      <c r="F87" s="242"/>
      <c r="G87" s="242"/>
      <c r="H87" s="242"/>
      <c r="I87" s="241"/>
      <c r="J87" s="241"/>
      <c r="K87" s="241"/>
      <c r="L87" s="241"/>
      <c r="M87" s="241"/>
      <c r="N87" s="241"/>
      <c r="O87" s="241"/>
      <c r="P87" s="241"/>
      <c r="Q87" s="236"/>
      <c r="R87" s="241"/>
      <c r="S87" s="241"/>
      <c r="T87" s="241"/>
      <c r="U87" s="241"/>
      <c r="V87" s="244"/>
      <c r="W87" s="241"/>
      <c r="X87" s="241"/>
      <c r="Y87" s="241"/>
      <c r="Z87" s="241"/>
      <c r="AA87" s="241"/>
      <c r="AB87" s="241"/>
      <c r="AC87" s="241"/>
      <c r="AD87" s="241"/>
      <c r="AE87" s="236"/>
      <c r="AF87" s="236"/>
    </row>
    <row r="88" spans="3:32" ht="13.5">
      <c r="C88" s="241"/>
      <c r="D88" s="242"/>
      <c r="E88" s="242"/>
      <c r="F88" s="242"/>
      <c r="G88" s="242"/>
      <c r="H88" s="242"/>
      <c r="I88" s="241"/>
      <c r="J88" s="241"/>
      <c r="K88" s="241"/>
      <c r="L88" s="241"/>
      <c r="M88" s="241"/>
      <c r="N88" s="241"/>
      <c r="O88" s="241"/>
      <c r="P88" s="241"/>
      <c r="Q88" s="236"/>
      <c r="R88" s="241"/>
      <c r="S88" s="241"/>
      <c r="T88" s="241"/>
      <c r="U88" s="241"/>
      <c r="V88" s="244"/>
      <c r="W88" s="241"/>
      <c r="X88" s="241"/>
      <c r="Y88" s="241"/>
      <c r="Z88" s="241"/>
      <c r="AA88" s="241"/>
      <c r="AB88" s="241"/>
      <c r="AC88" s="241"/>
      <c r="AD88" s="241"/>
      <c r="AE88" s="236"/>
      <c r="AF88" s="236"/>
    </row>
    <row r="89" spans="3:32" ht="13.5">
      <c r="C89" s="241"/>
      <c r="D89" s="242"/>
      <c r="E89" s="242"/>
      <c r="F89" s="242"/>
      <c r="G89" s="242"/>
      <c r="H89" s="242"/>
      <c r="I89" s="241"/>
      <c r="J89" s="241"/>
      <c r="K89" s="241"/>
      <c r="L89" s="241"/>
      <c r="M89" s="241"/>
      <c r="N89" s="241"/>
      <c r="O89" s="241"/>
      <c r="P89" s="241"/>
      <c r="Q89" s="236"/>
      <c r="R89" s="241"/>
      <c r="S89" s="241"/>
      <c r="T89" s="241"/>
      <c r="U89" s="241"/>
      <c r="V89" s="244"/>
      <c r="W89" s="241"/>
      <c r="X89" s="241"/>
      <c r="Y89" s="241"/>
      <c r="Z89" s="241"/>
      <c r="AA89" s="241"/>
      <c r="AB89" s="241"/>
      <c r="AC89" s="241"/>
      <c r="AD89" s="241"/>
      <c r="AE89" s="236"/>
      <c r="AF89" s="236"/>
    </row>
    <row r="90" spans="3:32" ht="13.5">
      <c r="C90" s="241"/>
      <c r="D90" s="242"/>
      <c r="E90" s="242"/>
      <c r="F90" s="242"/>
      <c r="G90" s="242"/>
      <c r="H90" s="242"/>
      <c r="I90" s="241"/>
      <c r="J90" s="241"/>
      <c r="K90" s="241"/>
      <c r="L90" s="241"/>
      <c r="M90" s="241"/>
      <c r="N90" s="241"/>
      <c r="O90" s="241"/>
      <c r="P90" s="241"/>
      <c r="Q90" s="236"/>
      <c r="R90" s="241"/>
      <c r="S90" s="241"/>
      <c r="T90" s="241"/>
      <c r="U90" s="241"/>
      <c r="V90" s="244"/>
      <c r="W90" s="241"/>
      <c r="X90" s="241"/>
      <c r="Y90" s="241"/>
      <c r="Z90" s="241"/>
      <c r="AA90" s="241"/>
      <c r="AB90" s="241"/>
      <c r="AC90" s="241"/>
      <c r="AD90" s="241"/>
      <c r="AE90" s="236"/>
      <c r="AF90" s="236"/>
    </row>
    <row r="91" spans="3:32" ht="13.5">
      <c r="C91" s="241"/>
      <c r="D91" s="242"/>
      <c r="E91" s="242"/>
      <c r="F91" s="242"/>
      <c r="G91" s="242"/>
      <c r="H91" s="242"/>
      <c r="I91" s="241"/>
      <c r="J91" s="241"/>
      <c r="K91" s="241"/>
      <c r="L91" s="241"/>
      <c r="M91" s="241"/>
      <c r="N91" s="241"/>
      <c r="O91" s="241"/>
      <c r="P91" s="241"/>
      <c r="Q91" s="236"/>
      <c r="R91" s="241"/>
      <c r="S91" s="241"/>
      <c r="T91" s="241"/>
      <c r="U91" s="241"/>
      <c r="V91" s="244"/>
      <c r="W91" s="241"/>
      <c r="X91" s="241"/>
      <c r="Y91" s="241"/>
      <c r="Z91" s="241"/>
      <c r="AA91" s="241"/>
      <c r="AB91" s="241"/>
      <c r="AC91" s="241"/>
      <c r="AD91" s="241"/>
      <c r="AE91" s="236"/>
      <c r="AF91" s="236"/>
    </row>
    <row r="92" spans="3:32" ht="13.5">
      <c r="C92" s="241"/>
      <c r="D92" s="242"/>
      <c r="E92" s="242"/>
      <c r="F92" s="242"/>
      <c r="G92" s="242"/>
      <c r="H92" s="242"/>
      <c r="I92" s="241"/>
      <c r="J92" s="241"/>
      <c r="K92" s="241"/>
      <c r="L92" s="241"/>
      <c r="M92" s="241"/>
      <c r="N92" s="241"/>
      <c r="O92" s="241"/>
      <c r="P92" s="241"/>
      <c r="Q92" s="236"/>
      <c r="R92" s="241"/>
      <c r="S92" s="241"/>
      <c r="T92" s="241"/>
      <c r="U92" s="241"/>
      <c r="V92" s="244"/>
      <c r="W92" s="241"/>
      <c r="X92" s="241"/>
      <c r="Y92" s="241"/>
      <c r="Z92" s="241"/>
      <c r="AA92" s="241"/>
      <c r="AB92" s="241"/>
      <c r="AC92" s="241"/>
      <c r="AD92" s="241"/>
      <c r="AE92" s="236"/>
      <c r="AF92" s="236"/>
    </row>
    <row r="93" spans="3:32" ht="13.5">
      <c r="C93" s="241"/>
      <c r="D93" s="242"/>
      <c r="E93" s="242"/>
      <c r="F93" s="242"/>
      <c r="G93" s="242"/>
      <c r="H93" s="242"/>
      <c r="I93" s="241"/>
      <c r="J93" s="241"/>
      <c r="K93" s="241"/>
      <c r="L93" s="241"/>
      <c r="M93" s="241"/>
      <c r="N93" s="241"/>
      <c r="O93" s="241"/>
      <c r="P93" s="241"/>
      <c r="Q93" s="236"/>
      <c r="R93" s="241"/>
      <c r="S93" s="241"/>
      <c r="T93" s="241"/>
      <c r="U93" s="241"/>
      <c r="V93" s="244"/>
      <c r="W93" s="241"/>
      <c r="X93" s="241"/>
      <c r="Y93" s="241"/>
      <c r="Z93" s="241"/>
      <c r="AA93" s="241"/>
      <c r="AB93" s="241"/>
      <c r="AC93" s="241"/>
      <c r="AD93" s="241"/>
      <c r="AE93" s="236"/>
      <c r="AF93" s="236"/>
    </row>
    <row r="94" spans="3:32" ht="13.5">
      <c r="C94" s="241"/>
      <c r="D94" s="242"/>
      <c r="E94" s="242"/>
      <c r="F94" s="242"/>
      <c r="G94" s="242"/>
      <c r="H94" s="242"/>
      <c r="I94" s="241"/>
      <c r="J94" s="241"/>
      <c r="K94" s="241"/>
      <c r="L94" s="241"/>
      <c r="M94" s="241"/>
      <c r="N94" s="241"/>
      <c r="O94" s="241"/>
      <c r="P94" s="241"/>
      <c r="Q94" s="236"/>
      <c r="R94" s="241"/>
      <c r="S94" s="241"/>
      <c r="T94" s="241"/>
      <c r="U94" s="241"/>
      <c r="V94" s="244"/>
      <c r="W94" s="241"/>
      <c r="X94" s="241"/>
      <c r="Y94" s="241"/>
      <c r="Z94" s="241"/>
      <c r="AA94" s="241"/>
      <c r="AB94" s="241"/>
      <c r="AC94" s="241"/>
      <c r="AD94" s="241"/>
      <c r="AE94" s="236"/>
      <c r="AF94" s="236"/>
    </row>
    <row r="95" spans="3:32" ht="13.5">
      <c r="C95" s="241"/>
      <c r="D95" s="242"/>
      <c r="E95" s="242"/>
      <c r="F95" s="242"/>
      <c r="G95" s="242"/>
      <c r="H95" s="242"/>
      <c r="I95" s="241"/>
      <c r="J95" s="241"/>
      <c r="K95" s="241"/>
      <c r="L95" s="241"/>
      <c r="M95" s="241"/>
      <c r="N95" s="241"/>
      <c r="O95" s="241"/>
      <c r="P95" s="241"/>
      <c r="Q95" s="236"/>
      <c r="R95" s="241"/>
      <c r="S95" s="241"/>
      <c r="T95" s="241"/>
      <c r="U95" s="241"/>
      <c r="V95" s="244"/>
      <c r="W95" s="241"/>
      <c r="X95" s="241"/>
      <c r="Y95" s="241"/>
      <c r="Z95" s="241"/>
      <c r="AA95" s="241"/>
      <c r="AB95" s="241"/>
      <c r="AC95" s="241"/>
      <c r="AD95" s="241"/>
      <c r="AE95" s="236"/>
      <c r="AF95" s="236"/>
    </row>
    <row r="96" spans="3:32" ht="13.5">
      <c r="C96" s="241"/>
      <c r="D96" s="242"/>
      <c r="E96" s="242"/>
      <c r="F96" s="242"/>
      <c r="G96" s="242"/>
      <c r="H96" s="242"/>
      <c r="I96" s="241"/>
      <c r="J96" s="241"/>
      <c r="K96" s="241"/>
      <c r="L96" s="241"/>
      <c r="M96" s="241"/>
      <c r="N96" s="241"/>
      <c r="O96" s="241"/>
      <c r="P96" s="241"/>
      <c r="Q96" s="236"/>
      <c r="R96" s="241"/>
      <c r="S96" s="241"/>
      <c r="T96" s="241"/>
      <c r="U96" s="241"/>
      <c r="V96" s="244"/>
      <c r="W96" s="241"/>
      <c r="X96" s="241"/>
      <c r="Y96" s="241"/>
      <c r="Z96" s="241"/>
      <c r="AA96" s="241"/>
      <c r="AB96" s="241"/>
      <c r="AC96" s="241"/>
      <c r="AD96" s="241"/>
      <c r="AE96" s="236"/>
      <c r="AF96" s="236"/>
    </row>
    <row r="97" spans="3:32" ht="13.5">
      <c r="C97" s="241"/>
      <c r="D97" s="242"/>
      <c r="E97" s="242"/>
      <c r="F97" s="242"/>
      <c r="G97" s="242"/>
      <c r="H97" s="242"/>
      <c r="I97" s="241"/>
      <c r="J97" s="241"/>
      <c r="K97" s="241"/>
      <c r="L97" s="241"/>
      <c r="M97" s="241"/>
      <c r="N97" s="241"/>
      <c r="O97" s="241"/>
      <c r="P97" s="241"/>
      <c r="Q97" s="236"/>
      <c r="R97" s="241"/>
      <c r="S97" s="241"/>
      <c r="T97" s="241"/>
      <c r="U97" s="241"/>
      <c r="V97" s="244"/>
      <c r="W97" s="241"/>
      <c r="X97" s="241"/>
      <c r="Y97" s="241"/>
      <c r="Z97" s="241"/>
      <c r="AA97" s="241"/>
      <c r="AB97" s="241"/>
      <c r="AC97" s="241"/>
      <c r="AD97" s="241"/>
      <c r="AE97" s="236"/>
      <c r="AF97" s="236"/>
    </row>
    <row r="98" spans="3:32" ht="13.5">
      <c r="C98" s="241"/>
      <c r="D98" s="242"/>
      <c r="E98" s="242"/>
      <c r="F98" s="242"/>
      <c r="G98" s="242"/>
      <c r="H98" s="242"/>
      <c r="I98" s="241"/>
      <c r="J98" s="241"/>
      <c r="K98" s="241"/>
      <c r="L98" s="241"/>
      <c r="M98" s="241"/>
      <c r="N98" s="241"/>
      <c r="O98" s="241"/>
      <c r="P98" s="241"/>
      <c r="Q98" s="236"/>
      <c r="R98" s="241"/>
      <c r="S98" s="241"/>
      <c r="T98" s="241"/>
      <c r="U98" s="241"/>
      <c r="V98" s="244"/>
      <c r="W98" s="241"/>
      <c r="X98" s="241"/>
      <c r="Y98" s="241"/>
      <c r="Z98" s="241"/>
      <c r="AA98" s="241"/>
      <c r="AB98" s="241"/>
      <c r="AC98" s="241"/>
      <c r="AD98" s="241"/>
      <c r="AE98" s="236"/>
      <c r="AF98" s="236"/>
    </row>
    <row r="99" spans="3:32" ht="13.5">
      <c r="C99" s="241"/>
      <c r="D99" s="242"/>
      <c r="E99" s="242"/>
      <c r="F99" s="242"/>
      <c r="G99" s="242"/>
      <c r="H99" s="242"/>
      <c r="I99" s="241"/>
      <c r="J99" s="241"/>
      <c r="K99" s="241"/>
      <c r="L99" s="241"/>
      <c r="M99" s="241"/>
      <c r="N99" s="241"/>
      <c r="O99" s="241"/>
      <c r="P99" s="241"/>
      <c r="Q99" s="236"/>
      <c r="R99" s="241"/>
      <c r="S99" s="241"/>
      <c r="T99" s="241"/>
      <c r="U99" s="241"/>
      <c r="V99" s="244"/>
      <c r="W99" s="241"/>
      <c r="X99" s="241"/>
      <c r="Y99" s="241"/>
      <c r="Z99" s="241"/>
      <c r="AA99" s="241"/>
      <c r="AB99" s="241"/>
      <c r="AC99" s="241"/>
      <c r="AD99" s="241"/>
      <c r="AE99" s="236"/>
      <c r="AF99" s="236"/>
    </row>
    <row r="100" spans="3:32" ht="13.5">
      <c r="C100" s="241"/>
      <c r="D100" s="242"/>
      <c r="E100" s="242"/>
      <c r="F100" s="242"/>
      <c r="G100" s="242"/>
      <c r="H100" s="242"/>
      <c r="I100" s="241"/>
      <c r="J100" s="241"/>
      <c r="K100" s="241"/>
      <c r="L100" s="241"/>
      <c r="M100" s="241"/>
      <c r="N100" s="241"/>
      <c r="O100" s="241"/>
      <c r="P100" s="241"/>
      <c r="Q100" s="236"/>
      <c r="R100" s="241"/>
      <c r="S100" s="241"/>
      <c r="T100" s="241"/>
      <c r="U100" s="241"/>
      <c r="V100" s="244"/>
      <c r="W100" s="241"/>
      <c r="X100" s="241"/>
      <c r="Y100" s="241"/>
      <c r="Z100" s="241"/>
      <c r="AA100" s="241"/>
      <c r="AB100" s="241"/>
      <c r="AC100" s="241"/>
      <c r="AD100" s="241"/>
      <c r="AE100" s="236"/>
      <c r="AF100" s="236"/>
    </row>
    <row r="101" spans="3:32" ht="13.5">
      <c r="C101" s="241"/>
      <c r="D101" s="242"/>
      <c r="E101" s="242"/>
      <c r="F101" s="242"/>
      <c r="G101" s="242"/>
      <c r="H101" s="242"/>
      <c r="I101" s="241"/>
      <c r="J101" s="241"/>
      <c r="K101" s="241"/>
      <c r="L101" s="241"/>
      <c r="M101" s="241"/>
      <c r="N101" s="241"/>
      <c r="O101" s="241"/>
      <c r="P101" s="241"/>
      <c r="Q101" s="236"/>
      <c r="R101" s="241"/>
      <c r="S101" s="241"/>
      <c r="T101" s="241"/>
      <c r="U101" s="241"/>
      <c r="V101" s="244"/>
      <c r="W101" s="241"/>
      <c r="X101" s="241"/>
      <c r="Y101" s="241"/>
      <c r="Z101" s="241"/>
      <c r="AA101" s="241"/>
      <c r="AB101" s="241"/>
      <c r="AC101" s="241"/>
      <c r="AD101" s="241"/>
      <c r="AE101" s="236"/>
      <c r="AF101" s="236"/>
    </row>
    <row r="102" spans="3:32" ht="13.5">
      <c r="C102" s="241"/>
      <c r="D102" s="242"/>
      <c r="E102" s="242"/>
      <c r="F102" s="242"/>
      <c r="G102" s="242"/>
      <c r="H102" s="242"/>
      <c r="I102" s="241"/>
      <c r="J102" s="241"/>
      <c r="K102" s="241"/>
      <c r="L102" s="241"/>
      <c r="M102" s="241"/>
      <c r="N102" s="241"/>
      <c r="O102" s="241"/>
      <c r="P102" s="241"/>
      <c r="Q102" s="236"/>
      <c r="R102" s="241"/>
      <c r="S102" s="241"/>
      <c r="T102" s="241"/>
      <c r="U102" s="241"/>
      <c r="V102" s="244"/>
      <c r="W102" s="241"/>
      <c r="X102" s="241"/>
      <c r="Y102" s="241"/>
      <c r="Z102" s="241"/>
      <c r="AA102" s="241"/>
      <c r="AB102" s="241"/>
      <c r="AC102" s="241"/>
      <c r="AD102" s="241"/>
      <c r="AE102" s="236"/>
      <c r="AF102" s="236"/>
    </row>
    <row r="103" spans="3:32" ht="13.5">
      <c r="C103" s="241"/>
      <c r="D103" s="242"/>
      <c r="E103" s="242"/>
      <c r="F103" s="242"/>
      <c r="G103" s="242"/>
      <c r="H103" s="242"/>
      <c r="I103" s="241"/>
      <c r="J103" s="241"/>
      <c r="K103" s="241"/>
      <c r="L103" s="241"/>
      <c r="M103" s="241"/>
      <c r="N103" s="241"/>
      <c r="O103" s="241"/>
      <c r="P103" s="241"/>
      <c r="Q103" s="236"/>
      <c r="R103" s="241"/>
      <c r="S103" s="241"/>
      <c r="T103" s="241"/>
      <c r="U103" s="241"/>
      <c r="V103" s="244"/>
      <c r="W103" s="241"/>
      <c r="X103" s="241"/>
      <c r="Y103" s="241"/>
      <c r="Z103" s="241"/>
      <c r="AA103" s="241"/>
      <c r="AB103" s="241"/>
      <c r="AC103" s="241"/>
      <c r="AD103" s="241"/>
      <c r="AE103" s="236"/>
      <c r="AF103" s="236"/>
    </row>
    <row r="104" spans="3:32" ht="13.5">
      <c r="C104" s="241"/>
      <c r="D104" s="242"/>
      <c r="E104" s="242"/>
      <c r="F104" s="242"/>
      <c r="G104" s="242"/>
      <c r="H104" s="242"/>
      <c r="I104" s="241"/>
      <c r="J104" s="241"/>
      <c r="K104" s="241"/>
      <c r="L104" s="241"/>
      <c r="M104" s="241"/>
      <c r="N104" s="241"/>
      <c r="O104" s="241"/>
      <c r="P104" s="241"/>
      <c r="Q104" s="236"/>
      <c r="R104" s="241"/>
      <c r="S104" s="241"/>
      <c r="T104" s="241"/>
      <c r="U104" s="241"/>
      <c r="V104" s="244"/>
      <c r="W104" s="241"/>
      <c r="X104" s="241"/>
      <c r="Y104" s="241"/>
      <c r="Z104" s="241"/>
      <c r="AA104" s="241"/>
      <c r="AB104" s="241"/>
      <c r="AC104" s="241"/>
      <c r="AD104" s="241"/>
      <c r="AE104" s="236"/>
      <c r="AF104" s="236"/>
    </row>
    <row r="105" spans="3:32" ht="13.5">
      <c r="C105" s="241"/>
      <c r="D105" s="242"/>
      <c r="E105" s="242"/>
      <c r="F105" s="242"/>
      <c r="G105" s="242"/>
      <c r="H105" s="242"/>
      <c r="I105" s="241"/>
      <c r="J105" s="241"/>
      <c r="K105" s="241"/>
      <c r="L105" s="241"/>
      <c r="M105" s="241"/>
      <c r="N105" s="241"/>
      <c r="O105" s="241"/>
      <c r="P105" s="241"/>
      <c r="Q105" s="236"/>
      <c r="R105" s="241"/>
      <c r="S105" s="241"/>
      <c r="T105" s="241"/>
      <c r="U105" s="241"/>
      <c r="V105" s="244"/>
      <c r="W105" s="241"/>
      <c r="X105" s="241"/>
      <c r="Y105" s="241"/>
      <c r="Z105" s="241"/>
      <c r="AA105" s="241"/>
      <c r="AB105" s="241"/>
      <c r="AC105" s="241"/>
      <c r="AD105" s="241"/>
      <c r="AE105" s="236"/>
      <c r="AF105" s="236"/>
    </row>
    <row r="106" spans="3:32" ht="13.5">
      <c r="C106" s="241"/>
      <c r="D106" s="242"/>
      <c r="E106" s="242"/>
      <c r="F106" s="242"/>
      <c r="G106" s="242"/>
      <c r="H106" s="242"/>
      <c r="I106" s="241"/>
      <c r="J106" s="241"/>
      <c r="K106" s="241"/>
      <c r="L106" s="241"/>
      <c r="M106" s="241"/>
      <c r="N106" s="241"/>
      <c r="O106" s="241"/>
      <c r="P106" s="241"/>
      <c r="Q106" s="236"/>
      <c r="R106" s="241"/>
      <c r="S106" s="241"/>
      <c r="T106" s="241"/>
      <c r="U106" s="241"/>
      <c r="V106" s="244"/>
      <c r="W106" s="241"/>
      <c r="X106" s="241"/>
      <c r="Y106" s="241"/>
      <c r="Z106" s="241"/>
      <c r="AA106" s="241"/>
      <c r="AB106" s="241"/>
      <c r="AC106" s="241"/>
      <c r="AD106" s="241"/>
      <c r="AE106" s="236"/>
      <c r="AF106" s="236"/>
    </row>
    <row r="107" spans="3:32" ht="13.5">
      <c r="C107" s="241"/>
      <c r="D107" s="242"/>
      <c r="E107" s="242"/>
      <c r="F107" s="242"/>
      <c r="G107" s="242"/>
      <c r="H107" s="242"/>
      <c r="I107" s="241"/>
      <c r="J107" s="241"/>
      <c r="K107" s="241"/>
      <c r="L107" s="241"/>
      <c r="M107" s="241"/>
      <c r="N107" s="241"/>
      <c r="O107" s="241"/>
      <c r="P107" s="241"/>
      <c r="Q107" s="236"/>
      <c r="R107" s="241"/>
      <c r="S107" s="241"/>
      <c r="T107" s="241"/>
      <c r="U107" s="241"/>
      <c r="V107" s="244"/>
      <c r="W107" s="241"/>
      <c r="X107" s="241"/>
      <c r="Y107" s="241"/>
      <c r="Z107" s="241"/>
      <c r="AA107" s="241"/>
      <c r="AB107" s="241"/>
      <c r="AC107" s="241"/>
      <c r="AD107" s="241"/>
      <c r="AE107" s="236"/>
      <c r="AF107" s="236"/>
    </row>
    <row r="108" spans="3:32" ht="13.5">
      <c r="C108" s="241"/>
      <c r="D108" s="242"/>
      <c r="E108" s="242"/>
      <c r="F108" s="242"/>
      <c r="G108" s="242"/>
      <c r="H108" s="242"/>
      <c r="I108" s="241"/>
      <c r="J108" s="241"/>
      <c r="K108" s="241"/>
      <c r="L108" s="241"/>
      <c r="M108" s="241"/>
      <c r="N108" s="241"/>
      <c r="O108" s="241"/>
      <c r="P108" s="241"/>
      <c r="Q108" s="236"/>
      <c r="R108" s="241"/>
      <c r="S108" s="241"/>
      <c r="T108" s="241"/>
      <c r="U108" s="241"/>
      <c r="V108" s="244"/>
      <c r="W108" s="241"/>
      <c r="X108" s="241"/>
      <c r="Y108" s="241"/>
      <c r="Z108" s="241"/>
      <c r="AA108" s="241"/>
      <c r="AB108" s="241"/>
      <c r="AC108" s="241"/>
      <c r="AD108" s="241"/>
      <c r="AE108" s="236"/>
      <c r="AF108" s="236"/>
    </row>
    <row r="109" spans="3:32" ht="13.5">
      <c r="C109" s="241"/>
      <c r="D109" s="242"/>
      <c r="E109" s="242"/>
      <c r="F109" s="242"/>
      <c r="G109" s="242"/>
      <c r="H109" s="242"/>
      <c r="I109" s="241"/>
      <c r="J109" s="241"/>
      <c r="K109" s="241"/>
      <c r="L109" s="241"/>
      <c r="M109" s="241"/>
      <c r="N109" s="241"/>
      <c r="O109" s="241"/>
      <c r="P109" s="241"/>
      <c r="Q109" s="236"/>
      <c r="R109" s="241"/>
      <c r="S109" s="241"/>
      <c r="T109" s="241"/>
      <c r="U109" s="241"/>
      <c r="V109" s="244"/>
      <c r="W109" s="241"/>
      <c r="X109" s="241"/>
      <c r="Y109" s="241"/>
      <c r="Z109" s="241"/>
      <c r="AA109" s="241"/>
      <c r="AB109" s="241"/>
      <c r="AC109" s="241"/>
      <c r="AD109" s="241"/>
      <c r="AE109" s="236"/>
      <c r="AF109" s="236"/>
    </row>
    <row r="110" spans="3:32" ht="13.5">
      <c r="C110" s="241"/>
      <c r="D110" s="242"/>
      <c r="E110" s="242"/>
      <c r="F110" s="242"/>
      <c r="G110" s="242"/>
      <c r="H110" s="242"/>
      <c r="I110" s="241"/>
      <c r="J110" s="241"/>
      <c r="K110" s="241"/>
      <c r="L110" s="241"/>
      <c r="M110" s="241"/>
      <c r="N110" s="241"/>
      <c r="O110" s="241"/>
      <c r="P110" s="241"/>
      <c r="Q110" s="236"/>
      <c r="R110" s="241"/>
      <c r="S110" s="241"/>
      <c r="T110" s="241"/>
      <c r="U110" s="241"/>
      <c r="V110" s="244"/>
      <c r="W110" s="241"/>
      <c r="X110" s="241"/>
      <c r="Y110" s="241"/>
      <c r="Z110" s="241"/>
      <c r="AA110" s="241"/>
      <c r="AB110" s="241"/>
      <c r="AC110" s="241"/>
      <c r="AD110" s="241"/>
      <c r="AE110" s="236"/>
      <c r="AF110" s="236"/>
    </row>
    <row r="111" spans="3:32" ht="13.5">
      <c r="C111" s="241"/>
      <c r="D111" s="242"/>
      <c r="E111" s="242"/>
      <c r="F111" s="242"/>
      <c r="G111" s="242"/>
      <c r="H111" s="242"/>
      <c r="I111" s="241"/>
      <c r="J111" s="241"/>
      <c r="K111" s="241"/>
      <c r="L111" s="241"/>
      <c r="M111" s="241"/>
      <c r="N111" s="241"/>
      <c r="O111" s="241"/>
      <c r="P111" s="241"/>
      <c r="Q111" s="236"/>
      <c r="R111" s="241"/>
      <c r="S111" s="241"/>
      <c r="T111" s="241"/>
      <c r="U111" s="241"/>
      <c r="V111" s="244"/>
      <c r="W111" s="241"/>
      <c r="X111" s="241"/>
      <c r="Y111" s="241"/>
      <c r="Z111" s="241"/>
      <c r="AA111" s="241"/>
      <c r="AB111" s="241"/>
      <c r="AC111" s="241"/>
      <c r="AD111" s="241"/>
      <c r="AE111" s="236"/>
      <c r="AF111" s="236"/>
    </row>
    <row r="112" spans="3:32" ht="13.5">
      <c r="C112" s="241"/>
      <c r="D112" s="242"/>
      <c r="E112" s="242"/>
      <c r="F112" s="242"/>
      <c r="G112" s="242"/>
      <c r="H112" s="242"/>
      <c r="I112" s="241"/>
      <c r="J112" s="241"/>
      <c r="K112" s="241"/>
      <c r="L112" s="241"/>
      <c r="M112" s="241"/>
      <c r="N112" s="241"/>
      <c r="O112" s="241"/>
      <c r="P112" s="241"/>
      <c r="Q112" s="236"/>
      <c r="R112" s="241"/>
      <c r="S112" s="241"/>
      <c r="T112" s="241"/>
      <c r="U112" s="241"/>
      <c r="V112" s="244"/>
      <c r="W112" s="241"/>
      <c r="X112" s="241"/>
      <c r="Y112" s="241"/>
      <c r="Z112" s="241"/>
      <c r="AA112" s="241"/>
      <c r="AB112" s="241"/>
      <c r="AC112" s="241"/>
      <c r="AD112" s="241"/>
      <c r="AE112" s="236"/>
      <c r="AF112" s="236"/>
    </row>
    <row r="113" spans="3:32" ht="13.5">
      <c r="C113" s="241"/>
      <c r="D113" s="242"/>
      <c r="E113" s="242"/>
      <c r="F113" s="242"/>
      <c r="G113" s="242"/>
      <c r="H113" s="242"/>
      <c r="I113" s="241"/>
      <c r="J113" s="241"/>
      <c r="K113" s="241"/>
      <c r="L113" s="241"/>
      <c r="M113" s="241"/>
      <c r="N113" s="241"/>
      <c r="O113" s="241"/>
      <c r="P113" s="241"/>
      <c r="Q113" s="236"/>
      <c r="R113" s="241"/>
      <c r="S113" s="241"/>
      <c r="T113" s="241"/>
      <c r="U113" s="241"/>
      <c r="V113" s="244"/>
      <c r="W113" s="241"/>
      <c r="X113" s="241"/>
      <c r="Y113" s="241"/>
      <c r="Z113" s="241"/>
      <c r="AA113" s="241"/>
      <c r="AB113" s="241"/>
      <c r="AC113" s="241"/>
      <c r="AD113" s="241"/>
      <c r="AE113" s="236"/>
      <c r="AF113" s="236"/>
    </row>
    <row r="114" spans="3:32" ht="13.5">
      <c r="C114" s="241"/>
      <c r="D114" s="242"/>
      <c r="E114" s="242"/>
      <c r="F114" s="242"/>
      <c r="G114" s="242"/>
      <c r="H114" s="242"/>
      <c r="I114" s="241"/>
      <c r="J114" s="241"/>
      <c r="K114" s="241"/>
      <c r="L114" s="241"/>
      <c r="M114" s="241"/>
      <c r="N114" s="241"/>
      <c r="O114" s="241"/>
      <c r="P114" s="241"/>
      <c r="Q114" s="236"/>
      <c r="R114" s="241"/>
      <c r="S114" s="241"/>
      <c r="T114" s="241"/>
      <c r="U114" s="241"/>
      <c r="V114" s="244"/>
      <c r="W114" s="241"/>
      <c r="X114" s="241"/>
      <c r="Y114" s="241"/>
      <c r="Z114" s="241"/>
      <c r="AA114" s="241"/>
      <c r="AB114" s="241"/>
      <c r="AC114" s="241"/>
      <c r="AD114" s="241"/>
      <c r="AE114" s="236"/>
      <c r="AF114" s="236"/>
    </row>
    <row r="115" spans="3:32" ht="13.5">
      <c r="C115" s="241"/>
      <c r="D115" s="242"/>
      <c r="E115" s="242"/>
      <c r="F115" s="242"/>
      <c r="G115" s="242"/>
      <c r="H115" s="242"/>
      <c r="I115" s="241"/>
      <c r="J115" s="241"/>
      <c r="K115" s="241"/>
      <c r="L115" s="241"/>
      <c r="M115" s="241"/>
      <c r="N115" s="241"/>
      <c r="O115" s="241"/>
      <c r="P115" s="241"/>
      <c r="Q115" s="236"/>
      <c r="R115" s="241"/>
      <c r="S115" s="241"/>
      <c r="T115" s="241"/>
      <c r="U115" s="241"/>
      <c r="V115" s="244"/>
      <c r="W115" s="241"/>
      <c r="X115" s="241"/>
      <c r="Y115" s="241"/>
      <c r="Z115" s="241"/>
      <c r="AA115" s="241"/>
      <c r="AB115" s="241"/>
      <c r="AC115" s="241"/>
      <c r="AD115" s="241"/>
      <c r="AE115" s="236"/>
      <c r="AF115" s="236"/>
    </row>
    <row r="116" spans="3:32" ht="13.5">
      <c r="C116" s="241"/>
      <c r="D116" s="242"/>
      <c r="E116" s="242"/>
      <c r="F116" s="242"/>
      <c r="G116" s="242"/>
      <c r="H116" s="242"/>
      <c r="I116" s="241"/>
      <c r="J116" s="241"/>
      <c r="K116" s="241"/>
      <c r="L116" s="241"/>
      <c r="M116" s="241"/>
      <c r="N116" s="241"/>
      <c r="O116" s="241"/>
      <c r="P116" s="241"/>
      <c r="Q116" s="236"/>
      <c r="R116" s="241"/>
      <c r="S116" s="241"/>
      <c r="T116" s="241"/>
      <c r="U116" s="241"/>
      <c r="V116" s="244"/>
      <c r="W116" s="241"/>
      <c r="X116" s="241"/>
      <c r="Y116" s="241"/>
      <c r="Z116" s="241"/>
      <c r="AA116" s="241"/>
      <c r="AB116" s="241"/>
      <c r="AC116" s="241"/>
      <c r="AD116" s="241"/>
      <c r="AE116" s="236"/>
      <c r="AF116" s="236"/>
    </row>
    <row r="117" spans="3:32" ht="13.5">
      <c r="C117" s="241"/>
      <c r="D117" s="242"/>
      <c r="E117" s="242"/>
      <c r="F117" s="242"/>
      <c r="G117" s="242"/>
      <c r="H117" s="242"/>
      <c r="I117" s="241"/>
      <c r="J117" s="241"/>
      <c r="K117" s="241"/>
      <c r="L117" s="241"/>
      <c r="M117" s="241"/>
      <c r="N117" s="241"/>
      <c r="O117" s="241"/>
      <c r="P117" s="241"/>
      <c r="Q117" s="236"/>
      <c r="R117" s="241"/>
      <c r="S117" s="241"/>
      <c r="T117" s="241"/>
      <c r="U117" s="241"/>
      <c r="V117" s="244"/>
      <c r="W117" s="241"/>
      <c r="X117" s="241"/>
      <c r="Y117" s="241"/>
      <c r="Z117" s="241"/>
      <c r="AA117" s="241"/>
      <c r="AB117" s="241"/>
      <c r="AC117" s="241"/>
      <c r="AD117" s="241"/>
      <c r="AE117" s="236"/>
      <c r="AF117" s="236"/>
    </row>
    <row r="118" spans="3:32" ht="13.5">
      <c r="C118" s="241"/>
      <c r="D118" s="242"/>
      <c r="E118" s="242"/>
      <c r="F118" s="242"/>
      <c r="G118" s="242"/>
      <c r="H118" s="242"/>
      <c r="I118" s="241"/>
      <c r="J118" s="241"/>
      <c r="K118" s="241"/>
      <c r="L118" s="241"/>
      <c r="M118" s="241"/>
      <c r="N118" s="241"/>
      <c r="O118" s="241"/>
      <c r="P118" s="241"/>
      <c r="Q118" s="236"/>
      <c r="R118" s="241"/>
      <c r="S118" s="241"/>
      <c r="T118" s="241"/>
      <c r="U118" s="241"/>
      <c r="V118" s="244"/>
      <c r="W118" s="241"/>
      <c r="X118" s="241"/>
      <c r="Y118" s="241"/>
      <c r="Z118" s="241"/>
      <c r="AA118" s="241"/>
      <c r="AB118" s="241"/>
      <c r="AC118" s="241"/>
      <c r="AD118" s="241"/>
      <c r="AE118" s="236"/>
      <c r="AF118" s="236"/>
    </row>
    <row r="119" spans="3:32" ht="13.5">
      <c r="C119" s="241"/>
      <c r="D119" s="242"/>
      <c r="E119" s="242"/>
      <c r="F119" s="242"/>
      <c r="G119" s="242"/>
      <c r="H119" s="242"/>
      <c r="I119" s="241"/>
      <c r="J119" s="241"/>
      <c r="K119" s="241"/>
      <c r="L119" s="241"/>
      <c r="M119" s="241"/>
      <c r="N119" s="241"/>
      <c r="O119" s="241"/>
      <c r="P119" s="241"/>
      <c r="Q119" s="236"/>
      <c r="R119" s="241"/>
      <c r="S119" s="241"/>
      <c r="T119" s="241"/>
      <c r="U119" s="241"/>
      <c r="V119" s="244"/>
      <c r="W119" s="241"/>
      <c r="X119" s="241"/>
      <c r="Y119" s="241"/>
      <c r="Z119" s="241"/>
      <c r="AA119" s="241"/>
      <c r="AB119" s="241"/>
      <c r="AC119" s="241"/>
      <c r="AD119" s="241"/>
      <c r="AE119" s="236"/>
      <c r="AF119" s="236"/>
    </row>
    <row r="120" spans="3:32" ht="13.5">
      <c r="C120" s="241"/>
      <c r="D120" s="242"/>
      <c r="E120" s="242"/>
      <c r="F120" s="242"/>
      <c r="G120" s="242"/>
      <c r="H120" s="242"/>
      <c r="I120" s="241"/>
      <c r="J120" s="241"/>
      <c r="K120" s="241"/>
      <c r="L120" s="241"/>
      <c r="M120" s="241"/>
      <c r="N120" s="241"/>
      <c r="O120" s="241"/>
      <c r="P120" s="241"/>
      <c r="Q120" s="236"/>
      <c r="R120" s="241"/>
      <c r="S120" s="241"/>
      <c r="T120" s="241"/>
      <c r="U120" s="241"/>
      <c r="V120" s="244"/>
      <c r="W120" s="241"/>
      <c r="X120" s="241"/>
      <c r="Y120" s="241"/>
      <c r="Z120" s="241"/>
      <c r="AA120" s="241"/>
      <c r="AB120" s="241"/>
      <c r="AC120" s="241"/>
      <c r="AD120" s="241"/>
      <c r="AE120" s="236"/>
      <c r="AF120" s="236"/>
    </row>
    <row r="121" spans="3:32" ht="13.5">
      <c r="C121" s="241"/>
      <c r="D121" s="242"/>
      <c r="E121" s="242"/>
      <c r="F121" s="242"/>
      <c r="G121" s="242"/>
      <c r="H121" s="242"/>
      <c r="I121" s="241"/>
      <c r="J121" s="241"/>
      <c r="K121" s="241"/>
      <c r="L121" s="241"/>
      <c r="M121" s="241"/>
      <c r="N121" s="241"/>
      <c r="O121" s="241"/>
      <c r="P121" s="241"/>
      <c r="Q121" s="236"/>
      <c r="R121" s="241"/>
      <c r="S121" s="241"/>
      <c r="T121" s="241"/>
      <c r="U121" s="241"/>
      <c r="V121" s="244"/>
      <c r="W121" s="241"/>
      <c r="X121" s="241"/>
      <c r="Y121" s="241"/>
      <c r="Z121" s="241"/>
      <c r="AA121" s="241"/>
      <c r="AB121" s="241"/>
      <c r="AC121" s="241"/>
      <c r="AD121" s="241"/>
      <c r="AE121" s="236"/>
      <c r="AF121" s="236"/>
    </row>
    <row r="122" spans="3:32" ht="13.5">
      <c r="C122" s="241"/>
      <c r="D122" s="242"/>
      <c r="E122" s="242"/>
      <c r="F122" s="242"/>
      <c r="G122" s="242"/>
      <c r="H122" s="242"/>
      <c r="I122" s="241"/>
      <c r="J122" s="241"/>
      <c r="K122" s="241"/>
      <c r="L122" s="241"/>
      <c r="M122" s="241"/>
      <c r="N122" s="241"/>
      <c r="O122" s="241"/>
      <c r="P122" s="241"/>
      <c r="Q122" s="236"/>
      <c r="R122" s="241"/>
      <c r="S122" s="241"/>
      <c r="T122" s="241"/>
      <c r="U122" s="241"/>
      <c r="V122" s="244"/>
      <c r="W122" s="241"/>
      <c r="X122" s="241"/>
      <c r="Y122" s="241"/>
      <c r="Z122" s="241"/>
      <c r="AA122" s="241"/>
      <c r="AB122" s="241"/>
      <c r="AC122" s="241"/>
      <c r="AD122" s="241"/>
      <c r="AE122" s="236"/>
      <c r="AF122" s="236"/>
    </row>
    <row r="123" spans="3:32" ht="13.5">
      <c r="C123" s="241"/>
      <c r="D123" s="242"/>
      <c r="E123" s="242"/>
      <c r="F123" s="242"/>
      <c r="G123" s="242"/>
      <c r="H123" s="242"/>
      <c r="I123" s="241"/>
      <c r="J123" s="241"/>
      <c r="K123" s="241"/>
      <c r="L123" s="241"/>
      <c r="M123" s="241"/>
      <c r="N123" s="241"/>
      <c r="O123" s="241"/>
      <c r="P123" s="241"/>
      <c r="Q123" s="236"/>
      <c r="R123" s="241"/>
      <c r="S123" s="241"/>
      <c r="T123" s="241"/>
      <c r="U123" s="241"/>
      <c r="V123" s="244"/>
      <c r="W123" s="241"/>
      <c r="X123" s="241"/>
      <c r="Y123" s="241"/>
      <c r="Z123" s="241"/>
      <c r="AA123" s="241"/>
      <c r="AB123" s="241"/>
      <c r="AC123" s="241"/>
      <c r="AD123" s="241"/>
      <c r="AE123" s="236"/>
      <c r="AF123" s="236"/>
    </row>
    <row r="124" spans="3:32" ht="13.5">
      <c r="C124" s="241"/>
      <c r="D124" s="242"/>
      <c r="E124" s="242"/>
      <c r="F124" s="242"/>
      <c r="G124" s="242"/>
      <c r="H124" s="242"/>
      <c r="I124" s="241"/>
      <c r="J124" s="241"/>
      <c r="K124" s="241"/>
      <c r="L124" s="241"/>
      <c r="M124" s="241"/>
      <c r="N124" s="241"/>
      <c r="O124" s="241"/>
      <c r="P124" s="241"/>
      <c r="Q124" s="236"/>
      <c r="R124" s="241"/>
      <c r="S124" s="241"/>
      <c r="T124" s="241"/>
      <c r="U124" s="241"/>
      <c r="V124" s="244"/>
      <c r="W124" s="241"/>
      <c r="X124" s="241"/>
      <c r="Y124" s="241"/>
      <c r="Z124" s="241"/>
      <c r="AA124" s="241"/>
      <c r="AB124" s="241"/>
      <c r="AC124" s="241"/>
      <c r="AD124" s="241"/>
      <c r="AE124" s="236"/>
      <c r="AF124" s="236"/>
    </row>
    <row r="125" spans="3:32" ht="13.5">
      <c r="C125" s="241"/>
      <c r="D125" s="242"/>
      <c r="E125" s="242"/>
      <c r="F125" s="242"/>
      <c r="G125" s="242"/>
      <c r="H125" s="242"/>
      <c r="I125" s="241"/>
      <c r="J125" s="241"/>
      <c r="K125" s="241"/>
      <c r="L125" s="241"/>
      <c r="M125" s="241"/>
      <c r="N125" s="241"/>
      <c r="O125" s="241"/>
      <c r="P125" s="241"/>
      <c r="Q125" s="236"/>
      <c r="R125" s="241"/>
      <c r="S125" s="241"/>
      <c r="T125" s="241"/>
      <c r="U125" s="241"/>
      <c r="V125" s="244"/>
      <c r="W125" s="241"/>
      <c r="X125" s="241"/>
      <c r="Y125" s="241"/>
      <c r="Z125" s="241"/>
      <c r="AA125" s="241"/>
      <c r="AB125" s="241"/>
      <c r="AC125" s="241"/>
      <c r="AD125" s="241"/>
      <c r="AE125" s="236"/>
      <c r="AF125" s="236"/>
    </row>
    <row r="126" spans="3:32" ht="13.5">
      <c r="C126" s="241"/>
      <c r="D126" s="242"/>
      <c r="E126" s="242"/>
      <c r="F126" s="242"/>
      <c r="G126" s="242"/>
      <c r="H126" s="242"/>
      <c r="I126" s="241"/>
      <c r="J126" s="241"/>
      <c r="K126" s="241"/>
      <c r="L126" s="241"/>
      <c r="M126" s="241"/>
      <c r="N126" s="241"/>
      <c r="O126" s="241"/>
      <c r="P126" s="241"/>
      <c r="Q126" s="236"/>
      <c r="R126" s="241"/>
      <c r="S126" s="241"/>
      <c r="T126" s="241"/>
      <c r="U126" s="241"/>
      <c r="V126" s="244"/>
      <c r="W126" s="241"/>
      <c r="X126" s="241"/>
      <c r="Y126" s="241"/>
      <c r="Z126" s="241"/>
      <c r="AA126" s="241"/>
      <c r="AB126" s="241"/>
      <c r="AC126" s="241"/>
      <c r="AD126" s="241"/>
      <c r="AE126" s="236"/>
      <c r="AF126" s="236"/>
    </row>
    <row r="127" spans="3:32" ht="13.5">
      <c r="C127" s="241"/>
      <c r="D127" s="242"/>
      <c r="E127" s="242"/>
      <c r="F127" s="242"/>
      <c r="G127" s="242"/>
      <c r="H127" s="242"/>
      <c r="I127" s="241"/>
      <c r="J127" s="241"/>
      <c r="K127" s="241"/>
      <c r="L127" s="241"/>
      <c r="M127" s="241"/>
      <c r="N127" s="241"/>
      <c r="O127" s="241"/>
      <c r="P127" s="241"/>
      <c r="Q127" s="236"/>
      <c r="R127" s="241"/>
      <c r="S127" s="241"/>
      <c r="T127" s="241"/>
      <c r="U127" s="241"/>
      <c r="V127" s="244"/>
      <c r="W127" s="241"/>
      <c r="X127" s="241"/>
      <c r="Y127" s="241"/>
      <c r="Z127" s="241"/>
      <c r="AA127" s="241"/>
      <c r="AB127" s="241"/>
      <c r="AC127" s="241"/>
      <c r="AD127" s="241"/>
      <c r="AE127" s="236"/>
      <c r="AF127" s="236"/>
    </row>
    <row r="128" spans="3:32" ht="13.5">
      <c r="C128" s="241"/>
      <c r="D128" s="242"/>
      <c r="E128" s="242"/>
      <c r="F128" s="242"/>
      <c r="G128" s="242"/>
      <c r="H128" s="242"/>
      <c r="I128" s="241"/>
      <c r="J128" s="241"/>
      <c r="K128" s="241"/>
      <c r="L128" s="241"/>
      <c r="M128" s="241"/>
      <c r="N128" s="241"/>
      <c r="O128" s="241"/>
      <c r="P128" s="241"/>
      <c r="Q128" s="236"/>
      <c r="R128" s="241"/>
      <c r="S128" s="241"/>
      <c r="T128" s="241"/>
      <c r="U128" s="241"/>
      <c r="V128" s="244"/>
      <c r="W128" s="241"/>
      <c r="X128" s="241"/>
      <c r="Y128" s="241"/>
      <c r="Z128" s="241"/>
      <c r="AA128" s="241"/>
      <c r="AB128" s="241"/>
      <c r="AC128" s="241"/>
      <c r="AD128" s="241"/>
      <c r="AE128" s="236"/>
      <c r="AF128" s="236"/>
    </row>
    <row r="129" spans="3:32" ht="13.5">
      <c r="C129" s="241"/>
      <c r="D129" s="242"/>
      <c r="E129" s="242"/>
      <c r="F129" s="242"/>
      <c r="G129" s="242"/>
      <c r="H129" s="242"/>
      <c r="I129" s="241"/>
      <c r="J129" s="241"/>
      <c r="K129" s="241"/>
      <c r="L129" s="241"/>
      <c r="M129" s="241"/>
      <c r="N129" s="241"/>
      <c r="O129" s="241"/>
      <c r="P129" s="241"/>
      <c r="Q129" s="236"/>
      <c r="R129" s="241"/>
      <c r="S129" s="241"/>
      <c r="T129" s="241"/>
      <c r="U129" s="241"/>
      <c r="V129" s="244"/>
      <c r="W129" s="241"/>
      <c r="X129" s="241"/>
      <c r="Y129" s="241"/>
      <c r="Z129" s="241"/>
      <c r="AA129" s="241"/>
      <c r="AB129" s="241"/>
      <c r="AC129" s="241"/>
      <c r="AD129" s="241"/>
      <c r="AE129" s="236"/>
      <c r="AF129" s="236"/>
    </row>
    <row r="130" spans="3:32" ht="13.5">
      <c r="C130" s="241"/>
      <c r="D130" s="242"/>
      <c r="E130" s="242"/>
      <c r="F130" s="242"/>
      <c r="G130" s="242"/>
      <c r="H130" s="242"/>
      <c r="I130" s="241"/>
      <c r="J130" s="241"/>
      <c r="K130" s="241"/>
      <c r="L130" s="241"/>
      <c r="M130" s="241"/>
      <c r="N130" s="241"/>
      <c r="O130" s="241"/>
      <c r="P130" s="241"/>
      <c r="Q130" s="236"/>
      <c r="R130" s="241"/>
      <c r="S130" s="241"/>
      <c r="T130" s="241"/>
      <c r="U130" s="241"/>
      <c r="V130" s="244"/>
      <c r="W130" s="241"/>
      <c r="X130" s="241"/>
      <c r="Y130" s="241"/>
      <c r="Z130" s="241"/>
      <c r="AA130" s="241"/>
      <c r="AB130" s="241"/>
      <c r="AC130" s="241"/>
      <c r="AD130" s="241"/>
      <c r="AE130" s="236"/>
      <c r="AF130" s="236"/>
    </row>
    <row r="131" spans="3:32" ht="13.5">
      <c r="C131" s="241"/>
      <c r="D131" s="242"/>
      <c r="E131" s="242"/>
      <c r="F131" s="242"/>
      <c r="G131" s="242"/>
      <c r="H131" s="242"/>
      <c r="I131" s="241"/>
      <c r="J131" s="241"/>
      <c r="K131" s="241"/>
      <c r="L131" s="241"/>
      <c r="M131" s="241"/>
      <c r="N131" s="241"/>
      <c r="O131" s="241"/>
      <c r="P131" s="241"/>
      <c r="Q131" s="236"/>
      <c r="R131" s="241"/>
      <c r="S131" s="241"/>
      <c r="T131" s="241"/>
      <c r="U131" s="241"/>
      <c r="V131" s="244"/>
      <c r="W131" s="241"/>
      <c r="X131" s="241"/>
      <c r="Y131" s="241"/>
      <c r="Z131" s="241"/>
      <c r="AA131" s="241"/>
      <c r="AB131" s="241"/>
      <c r="AC131" s="241"/>
      <c r="AD131" s="241"/>
      <c r="AE131" s="236"/>
      <c r="AF131" s="236"/>
    </row>
    <row r="132" spans="3:32" ht="13.5">
      <c r="C132" s="241"/>
      <c r="D132" s="242"/>
      <c r="E132" s="242"/>
      <c r="F132" s="242"/>
      <c r="G132" s="242"/>
      <c r="H132" s="242"/>
      <c r="I132" s="241"/>
      <c r="J132" s="241"/>
      <c r="K132" s="241"/>
      <c r="L132" s="241"/>
      <c r="M132" s="241"/>
      <c r="N132" s="241"/>
      <c r="O132" s="241"/>
      <c r="P132" s="241"/>
      <c r="Q132" s="236"/>
      <c r="R132" s="241"/>
      <c r="S132" s="241"/>
      <c r="T132" s="241"/>
      <c r="U132" s="241"/>
      <c r="V132" s="244"/>
      <c r="W132" s="241"/>
      <c r="X132" s="241"/>
      <c r="Y132" s="241"/>
      <c r="Z132" s="241"/>
      <c r="AA132" s="241"/>
      <c r="AB132" s="241"/>
      <c r="AC132" s="241"/>
      <c r="AD132" s="241"/>
      <c r="AE132" s="236"/>
      <c r="AF132" s="236"/>
    </row>
    <row r="133" spans="3:32" ht="13.5">
      <c r="C133" s="241"/>
      <c r="D133" s="242"/>
      <c r="E133" s="242"/>
      <c r="F133" s="242"/>
      <c r="G133" s="242"/>
      <c r="H133" s="242"/>
      <c r="I133" s="241"/>
      <c r="J133" s="241"/>
      <c r="K133" s="241"/>
      <c r="L133" s="241"/>
      <c r="M133" s="241"/>
      <c r="N133" s="241"/>
      <c r="O133" s="241"/>
      <c r="P133" s="241"/>
      <c r="Q133" s="236"/>
      <c r="R133" s="241"/>
      <c r="S133" s="241"/>
      <c r="T133" s="241"/>
      <c r="U133" s="241"/>
      <c r="V133" s="244"/>
      <c r="W133" s="241"/>
      <c r="X133" s="241"/>
      <c r="Y133" s="241"/>
      <c r="Z133" s="241"/>
      <c r="AA133" s="241"/>
      <c r="AB133" s="241"/>
      <c r="AC133" s="241"/>
      <c r="AD133" s="241"/>
      <c r="AE133" s="236"/>
      <c r="AF133" s="236"/>
    </row>
    <row r="134" spans="3:32" ht="13.5">
      <c r="C134" s="241"/>
      <c r="D134" s="242"/>
      <c r="E134" s="242"/>
      <c r="F134" s="242"/>
      <c r="G134" s="242"/>
      <c r="H134" s="242"/>
      <c r="I134" s="241"/>
      <c r="J134" s="241"/>
      <c r="K134" s="241"/>
      <c r="L134" s="241"/>
      <c r="M134" s="241"/>
      <c r="N134" s="241"/>
      <c r="O134" s="241"/>
      <c r="P134" s="241"/>
      <c r="Q134" s="236"/>
      <c r="R134" s="241"/>
      <c r="S134" s="241"/>
      <c r="T134" s="241"/>
      <c r="U134" s="241"/>
      <c r="V134" s="244"/>
      <c r="W134" s="241"/>
      <c r="X134" s="241"/>
      <c r="Y134" s="241"/>
      <c r="Z134" s="241"/>
      <c r="AA134" s="241"/>
      <c r="AB134" s="241"/>
      <c r="AC134" s="241"/>
      <c r="AD134" s="241"/>
      <c r="AE134" s="236"/>
      <c r="AF134" s="236"/>
    </row>
    <row r="135" spans="3:32" ht="13.5">
      <c r="C135" s="241"/>
      <c r="D135" s="242"/>
      <c r="E135" s="242"/>
      <c r="F135" s="242"/>
      <c r="G135" s="242"/>
      <c r="H135" s="242"/>
      <c r="I135" s="241"/>
      <c r="J135" s="241"/>
      <c r="K135" s="241"/>
      <c r="L135" s="241"/>
      <c r="M135" s="241"/>
      <c r="N135" s="241"/>
      <c r="O135" s="241"/>
      <c r="P135" s="241"/>
      <c r="Q135" s="236"/>
      <c r="R135" s="241"/>
      <c r="S135" s="241"/>
      <c r="T135" s="241"/>
      <c r="U135" s="241"/>
      <c r="V135" s="244"/>
      <c r="W135" s="241"/>
      <c r="X135" s="241"/>
      <c r="Y135" s="241"/>
      <c r="Z135" s="241"/>
      <c r="AA135" s="241"/>
      <c r="AB135" s="241"/>
      <c r="AC135" s="241"/>
      <c r="AD135" s="241"/>
      <c r="AE135" s="236"/>
      <c r="AF135" s="236"/>
    </row>
    <row r="136" spans="3:32" ht="13.5">
      <c r="C136" s="241"/>
      <c r="D136" s="242"/>
      <c r="E136" s="242"/>
      <c r="F136" s="242"/>
      <c r="G136" s="242"/>
      <c r="H136" s="242"/>
      <c r="I136" s="241"/>
      <c r="J136" s="241"/>
      <c r="K136" s="241"/>
      <c r="L136" s="241"/>
      <c r="M136" s="241"/>
      <c r="N136" s="241"/>
      <c r="O136" s="241"/>
      <c r="P136" s="241"/>
      <c r="Q136" s="236"/>
      <c r="R136" s="241"/>
      <c r="S136" s="241"/>
      <c r="T136" s="241"/>
      <c r="U136" s="241"/>
      <c r="V136" s="244"/>
      <c r="W136" s="241"/>
      <c r="X136" s="241"/>
      <c r="Y136" s="241"/>
      <c r="Z136" s="241"/>
      <c r="AA136" s="241"/>
      <c r="AB136" s="241"/>
      <c r="AC136" s="241"/>
      <c r="AD136" s="241"/>
      <c r="AE136" s="236"/>
      <c r="AF136" s="236"/>
    </row>
    <row r="137" spans="3:32" ht="13.5">
      <c r="C137" s="241"/>
      <c r="D137" s="242"/>
      <c r="E137" s="242"/>
      <c r="F137" s="242"/>
      <c r="G137" s="242"/>
      <c r="H137" s="242"/>
      <c r="I137" s="241"/>
      <c r="J137" s="241"/>
      <c r="K137" s="241"/>
      <c r="L137" s="241"/>
      <c r="M137" s="241"/>
      <c r="N137" s="241"/>
      <c r="O137" s="241"/>
      <c r="P137" s="241"/>
      <c r="Q137" s="236"/>
      <c r="R137" s="241"/>
      <c r="S137" s="241"/>
      <c r="T137" s="241"/>
      <c r="U137" s="241"/>
      <c r="V137" s="244"/>
      <c r="W137" s="241"/>
      <c r="X137" s="241"/>
      <c r="Y137" s="241"/>
      <c r="Z137" s="241"/>
      <c r="AA137" s="241"/>
      <c r="AB137" s="241"/>
      <c r="AC137" s="241"/>
      <c r="AD137" s="241"/>
      <c r="AE137" s="236"/>
      <c r="AF137" s="236"/>
    </row>
    <row r="138" spans="3:32" ht="13.5">
      <c r="C138" s="241"/>
      <c r="D138" s="242"/>
      <c r="E138" s="242"/>
      <c r="F138" s="242"/>
      <c r="G138" s="242"/>
      <c r="H138" s="242"/>
      <c r="I138" s="241"/>
      <c r="J138" s="241"/>
      <c r="K138" s="241"/>
      <c r="L138" s="241"/>
      <c r="M138" s="241"/>
      <c r="N138" s="241"/>
      <c r="O138" s="241"/>
      <c r="P138" s="241"/>
      <c r="Q138" s="236"/>
      <c r="R138" s="241"/>
      <c r="S138" s="241"/>
      <c r="T138" s="241"/>
      <c r="U138" s="241"/>
      <c r="V138" s="244"/>
      <c r="W138" s="241"/>
      <c r="X138" s="241"/>
      <c r="Y138" s="241"/>
      <c r="Z138" s="241"/>
      <c r="AA138" s="241"/>
      <c r="AB138" s="241"/>
      <c r="AC138" s="241"/>
      <c r="AD138" s="241"/>
      <c r="AE138" s="236"/>
      <c r="AF138" s="236"/>
    </row>
    <row r="139" spans="3:32" ht="13.5">
      <c r="C139" s="241"/>
      <c r="D139" s="242"/>
      <c r="E139" s="242"/>
      <c r="F139" s="242"/>
      <c r="G139" s="242"/>
      <c r="H139" s="242"/>
      <c r="I139" s="241"/>
      <c r="J139" s="241"/>
      <c r="K139" s="241"/>
      <c r="L139" s="241"/>
      <c r="M139" s="241"/>
      <c r="N139" s="241"/>
      <c r="O139" s="241"/>
      <c r="P139" s="241"/>
      <c r="Q139" s="236"/>
      <c r="R139" s="241"/>
      <c r="S139" s="241"/>
      <c r="T139" s="241"/>
      <c r="U139" s="241"/>
      <c r="V139" s="244"/>
      <c r="W139" s="241"/>
      <c r="X139" s="241"/>
      <c r="Y139" s="241"/>
      <c r="Z139" s="241"/>
      <c r="AA139" s="241"/>
      <c r="AB139" s="241"/>
      <c r="AC139" s="241"/>
      <c r="AD139" s="241"/>
      <c r="AE139" s="236"/>
      <c r="AF139" s="236"/>
    </row>
    <row r="140" spans="3:32" ht="13.5">
      <c r="C140" s="241"/>
      <c r="D140" s="242"/>
      <c r="E140" s="242"/>
      <c r="F140" s="242"/>
      <c r="G140" s="242"/>
      <c r="H140" s="242"/>
      <c r="I140" s="241"/>
      <c r="J140" s="241"/>
      <c r="K140" s="241"/>
      <c r="L140" s="241"/>
      <c r="M140" s="241"/>
      <c r="N140" s="241"/>
      <c r="O140" s="241"/>
      <c r="P140" s="241"/>
      <c r="Q140" s="236"/>
      <c r="R140" s="241"/>
      <c r="S140" s="241"/>
      <c r="T140" s="241"/>
      <c r="U140" s="241"/>
      <c r="V140" s="244"/>
      <c r="W140" s="241"/>
      <c r="X140" s="241"/>
      <c r="Y140" s="241"/>
      <c r="Z140" s="241"/>
      <c r="AA140" s="241"/>
      <c r="AB140" s="241"/>
      <c r="AC140" s="241"/>
      <c r="AD140" s="241"/>
      <c r="AE140" s="236"/>
      <c r="AF140" s="236"/>
    </row>
    <row r="141" spans="3:32" ht="13.5">
      <c r="C141" s="241"/>
      <c r="D141" s="242"/>
      <c r="E141" s="242"/>
      <c r="F141" s="242"/>
      <c r="G141" s="242"/>
      <c r="H141" s="242"/>
      <c r="I141" s="241"/>
      <c r="J141" s="241"/>
      <c r="K141" s="241"/>
      <c r="L141" s="241"/>
      <c r="M141" s="241"/>
      <c r="N141" s="241"/>
      <c r="O141" s="241"/>
      <c r="P141" s="241"/>
      <c r="Q141" s="236"/>
      <c r="R141" s="241"/>
      <c r="S141" s="241"/>
      <c r="T141" s="241"/>
      <c r="U141" s="241"/>
      <c r="V141" s="244"/>
      <c r="W141" s="241"/>
      <c r="X141" s="241"/>
      <c r="Y141" s="241"/>
      <c r="Z141" s="241"/>
      <c r="AA141" s="241"/>
      <c r="AB141" s="241"/>
      <c r="AC141" s="241"/>
      <c r="AD141" s="241"/>
      <c r="AE141" s="236"/>
      <c r="AF141" s="236"/>
    </row>
    <row r="142" spans="3:32" ht="13.5">
      <c r="C142" s="241"/>
      <c r="D142" s="242"/>
      <c r="E142" s="242"/>
      <c r="F142" s="242"/>
      <c r="G142" s="242"/>
      <c r="H142" s="242"/>
      <c r="I142" s="241"/>
      <c r="J142" s="241"/>
      <c r="K142" s="241"/>
      <c r="L142" s="241"/>
      <c r="M142" s="241"/>
      <c r="N142" s="241"/>
      <c r="O142" s="241"/>
      <c r="P142" s="241"/>
      <c r="Q142" s="236"/>
      <c r="R142" s="241"/>
      <c r="S142" s="241"/>
      <c r="T142" s="241"/>
      <c r="U142" s="241"/>
      <c r="V142" s="244"/>
      <c r="W142" s="241"/>
      <c r="X142" s="241"/>
      <c r="Y142" s="241"/>
      <c r="Z142" s="241"/>
      <c r="AA142" s="241"/>
      <c r="AB142" s="241"/>
      <c r="AC142" s="241"/>
      <c r="AD142" s="241"/>
      <c r="AE142" s="236"/>
      <c r="AF142" s="236"/>
    </row>
    <row r="143" spans="3:32" ht="13.5">
      <c r="C143" s="241"/>
      <c r="D143" s="242"/>
      <c r="E143" s="242"/>
      <c r="F143" s="242"/>
      <c r="G143" s="242"/>
      <c r="H143" s="242"/>
      <c r="I143" s="241"/>
      <c r="J143" s="241"/>
      <c r="K143" s="241"/>
      <c r="L143" s="241"/>
      <c r="M143" s="241"/>
      <c r="N143" s="241"/>
      <c r="O143" s="241"/>
      <c r="P143" s="241"/>
      <c r="Q143" s="236"/>
      <c r="R143" s="241"/>
      <c r="S143" s="241"/>
      <c r="T143" s="241"/>
      <c r="U143" s="241"/>
      <c r="V143" s="244"/>
      <c r="W143" s="241"/>
      <c r="X143" s="241"/>
      <c r="Y143" s="241"/>
      <c r="Z143" s="241"/>
      <c r="AA143" s="241"/>
      <c r="AB143" s="241"/>
      <c r="AC143" s="241"/>
      <c r="AD143" s="241"/>
      <c r="AE143" s="236"/>
      <c r="AF143" s="236"/>
    </row>
    <row r="144" spans="3:32" ht="13.5">
      <c r="C144" s="241"/>
      <c r="D144" s="242"/>
      <c r="E144" s="242"/>
      <c r="F144" s="242"/>
      <c r="G144" s="242"/>
      <c r="H144" s="242"/>
      <c r="I144" s="241"/>
      <c r="J144" s="241"/>
      <c r="K144" s="241"/>
      <c r="L144" s="241"/>
      <c r="M144" s="241"/>
      <c r="N144" s="241"/>
      <c r="O144" s="241"/>
      <c r="P144" s="241"/>
      <c r="Q144" s="236"/>
      <c r="R144" s="241"/>
      <c r="S144" s="241"/>
      <c r="T144" s="241"/>
      <c r="U144" s="241"/>
      <c r="V144" s="244"/>
      <c r="W144" s="241"/>
      <c r="X144" s="241"/>
      <c r="Y144" s="241"/>
      <c r="Z144" s="241"/>
      <c r="AA144" s="241"/>
      <c r="AB144" s="241"/>
      <c r="AC144" s="241"/>
      <c r="AD144" s="241"/>
      <c r="AE144" s="236"/>
      <c r="AF144" s="236"/>
    </row>
    <row r="145" spans="3:32" ht="13.5">
      <c r="C145" s="241"/>
      <c r="D145" s="242"/>
      <c r="E145" s="242"/>
      <c r="F145" s="242"/>
      <c r="G145" s="242"/>
      <c r="H145" s="242"/>
      <c r="I145" s="241"/>
      <c r="J145" s="241"/>
      <c r="K145" s="241"/>
      <c r="L145" s="241"/>
      <c r="M145" s="241"/>
      <c r="N145" s="241"/>
      <c r="O145" s="241"/>
      <c r="P145" s="241"/>
      <c r="Q145" s="236"/>
      <c r="R145" s="241"/>
      <c r="S145" s="241"/>
      <c r="T145" s="241"/>
      <c r="U145" s="241"/>
      <c r="V145" s="244"/>
      <c r="W145" s="241"/>
      <c r="X145" s="241"/>
      <c r="Y145" s="241"/>
      <c r="Z145" s="241"/>
      <c r="AA145" s="241"/>
      <c r="AB145" s="241"/>
      <c r="AC145" s="241"/>
      <c r="AD145" s="241"/>
      <c r="AE145" s="236"/>
      <c r="AF145" s="236"/>
    </row>
    <row r="146" spans="3:32" ht="13.5">
      <c r="C146" s="241"/>
      <c r="D146" s="242"/>
      <c r="E146" s="242"/>
      <c r="F146" s="242"/>
      <c r="G146" s="242"/>
      <c r="H146" s="242"/>
      <c r="I146" s="241"/>
      <c r="J146" s="241"/>
      <c r="K146" s="241"/>
      <c r="L146" s="241"/>
      <c r="M146" s="241"/>
      <c r="N146" s="241"/>
      <c r="O146" s="241"/>
      <c r="P146" s="241"/>
      <c r="Q146" s="236"/>
      <c r="R146" s="241"/>
      <c r="S146" s="241"/>
      <c r="T146" s="241"/>
      <c r="U146" s="241"/>
      <c r="V146" s="244"/>
      <c r="W146" s="241"/>
      <c r="X146" s="241"/>
      <c r="Y146" s="241"/>
      <c r="Z146" s="241"/>
      <c r="AA146" s="241"/>
      <c r="AB146" s="241"/>
      <c r="AC146" s="241"/>
      <c r="AD146" s="241"/>
      <c r="AE146" s="236"/>
      <c r="AF146" s="236"/>
    </row>
    <row r="147" spans="3:32" ht="13.5">
      <c r="C147" s="241"/>
      <c r="D147" s="242"/>
      <c r="E147" s="242"/>
      <c r="F147" s="242"/>
      <c r="G147" s="242"/>
      <c r="H147" s="242"/>
      <c r="I147" s="241"/>
      <c r="J147" s="241"/>
      <c r="K147" s="241"/>
      <c r="L147" s="241"/>
      <c r="M147" s="241"/>
      <c r="N147" s="241"/>
      <c r="O147" s="241"/>
      <c r="P147" s="241"/>
      <c r="Q147" s="236"/>
      <c r="R147" s="241"/>
      <c r="S147" s="241"/>
      <c r="T147" s="241"/>
      <c r="U147" s="241"/>
      <c r="V147" s="244"/>
      <c r="W147" s="241"/>
      <c r="X147" s="241"/>
      <c r="Y147" s="241"/>
      <c r="Z147" s="241"/>
      <c r="AA147" s="241"/>
      <c r="AB147" s="241"/>
      <c r="AC147" s="241"/>
      <c r="AD147" s="241"/>
      <c r="AE147" s="236"/>
      <c r="AF147" s="236"/>
    </row>
    <row r="148" spans="3:32" ht="13.5">
      <c r="C148" s="241"/>
      <c r="D148" s="242"/>
      <c r="E148" s="242"/>
      <c r="F148" s="242"/>
      <c r="G148" s="242"/>
      <c r="H148" s="242"/>
      <c r="I148" s="241"/>
      <c r="J148" s="241"/>
      <c r="K148" s="241"/>
      <c r="L148" s="241"/>
      <c r="M148" s="241"/>
      <c r="N148" s="241"/>
      <c r="O148" s="241"/>
      <c r="P148" s="241"/>
      <c r="Q148" s="236"/>
      <c r="R148" s="241"/>
      <c r="S148" s="241"/>
      <c r="T148" s="241"/>
      <c r="U148" s="241"/>
      <c r="V148" s="244"/>
      <c r="W148" s="241"/>
      <c r="X148" s="241"/>
      <c r="Y148" s="241"/>
      <c r="Z148" s="241"/>
      <c r="AA148" s="241"/>
      <c r="AB148" s="241"/>
      <c r="AC148" s="241"/>
      <c r="AD148" s="241"/>
      <c r="AE148" s="236"/>
      <c r="AF148" s="236"/>
    </row>
    <row r="149" spans="3:32" ht="13.5">
      <c r="C149" s="241"/>
      <c r="D149" s="242"/>
      <c r="E149" s="242"/>
      <c r="F149" s="242"/>
      <c r="G149" s="242"/>
      <c r="H149" s="242"/>
      <c r="I149" s="241"/>
      <c r="J149" s="241"/>
      <c r="K149" s="241"/>
      <c r="L149" s="241"/>
      <c r="M149" s="241"/>
      <c r="N149" s="241"/>
      <c r="O149" s="241"/>
      <c r="P149" s="241"/>
      <c r="Q149" s="236"/>
      <c r="R149" s="241"/>
      <c r="S149" s="241"/>
      <c r="T149" s="241"/>
      <c r="U149" s="241"/>
      <c r="V149" s="244"/>
      <c r="W149" s="241"/>
      <c r="X149" s="241"/>
      <c r="Y149" s="241"/>
      <c r="Z149" s="241"/>
      <c r="AA149" s="241"/>
      <c r="AB149" s="241"/>
      <c r="AC149" s="241"/>
      <c r="AD149" s="241"/>
      <c r="AE149" s="236"/>
      <c r="AF149" s="236"/>
    </row>
    <row r="150" spans="3:32" ht="13.5">
      <c r="C150" s="241"/>
      <c r="D150" s="242"/>
      <c r="E150" s="242"/>
      <c r="F150" s="242"/>
      <c r="G150" s="242"/>
      <c r="H150" s="242"/>
      <c r="I150" s="241"/>
      <c r="J150" s="241"/>
      <c r="K150" s="241"/>
      <c r="L150" s="241"/>
      <c r="M150" s="241"/>
      <c r="N150" s="241"/>
      <c r="O150" s="241"/>
      <c r="P150" s="241"/>
      <c r="Q150" s="236"/>
      <c r="R150" s="241"/>
      <c r="S150" s="241"/>
      <c r="T150" s="241"/>
      <c r="U150" s="241"/>
      <c r="V150" s="244"/>
      <c r="W150" s="241"/>
      <c r="X150" s="241"/>
      <c r="Y150" s="241"/>
      <c r="Z150" s="241"/>
      <c r="AA150" s="241"/>
      <c r="AB150" s="241"/>
      <c r="AC150" s="241"/>
      <c r="AD150" s="241"/>
      <c r="AE150" s="236"/>
      <c r="AF150" s="236"/>
    </row>
    <row r="151" spans="3:32" ht="13.5">
      <c r="C151" s="241"/>
      <c r="D151" s="242"/>
      <c r="E151" s="242"/>
      <c r="F151" s="242"/>
      <c r="G151" s="242"/>
      <c r="H151" s="242"/>
      <c r="I151" s="241"/>
      <c r="J151" s="241"/>
      <c r="K151" s="241"/>
      <c r="L151" s="241"/>
      <c r="M151" s="241"/>
      <c r="N151" s="241"/>
      <c r="O151" s="241"/>
      <c r="P151" s="241"/>
      <c r="Q151" s="236"/>
      <c r="R151" s="241"/>
      <c r="S151" s="241"/>
      <c r="T151" s="241"/>
      <c r="U151" s="241"/>
      <c r="V151" s="244"/>
      <c r="W151" s="241"/>
      <c r="X151" s="241"/>
      <c r="Y151" s="241"/>
      <c r="Z151" s="241"/>
      <c r="AA151" s="241"/>
      <c r="AB151" s="241"/>
      <c r="AC151" s="241"/>
      <c r="AD151" s="241"/>
      <c r="AE151" s="236"/>
      <c r="AF151" s="236"/>
    </row>
    <row r="152" spans="3:32" ht="13.5">
      <c r="C152" s="241"/>
      <c r="D152" s="242"/>
      <c r="E152" s="242"/>
      <c r="F152" s="242"/>
      <c r="G152" s="242"/>
      <c r="H152" s="242"/>
      <c r="I152" s="241"/>
      <c r="J152" s="241"/>
      <c r="K152" s="241"/>
      <c r="L152" s="241"/>
      <c r="M152" s="241"/>
      <c r="N152" s="241"/>
      <c r="O152" s="241"/>
      <c r="P152" s="241"/>
      <c r="Q152" s="236"/>
      <c r="R152" s="241"/>
      <c r="S152" s="241"/>
      <c r="T152" s="241"/>
      <c r="U152" s="241"/>
      <c r="V152" s="244"/>
      <c r="W152" s="241"/>
      <c r="X152" s="241"/>
      <c r="Y152" s="241"/>
      <c r="Z152" s="241"/>
      <c r="AA152" s="241"/>
      <c r="AB152" s="241"/>
      <c r="AC152" s="241"/>
      <c r="AD152" s="241"/>
      <c r="AE152" s="236"/>
      <c r="AF152" s="236"/>
    </row>
    <row r="153" spans="3:32" ht="13.5">
      <c r="C153" s="241"/>
      <c r="D153" s="242"/>
      <c r="E153" s="242"/>
      <c r="F153" s="242"/>
      <c r="G153" s="242"/>
      <c r="H153" s="242"/>
      <c r="I153" s="241"/>
      <c r="J153" s="241"/>
      <c r="K153" s="241"/>
      <c r="L153" s="241"/>
      <c r="M153" s="241"/>
      <c r="N153" s="241"/>
      <c r="O153" s="241"/>
      <c r="P153" s="241"/>
      <c r="Q153" s="236"/>
      <c r="R153" s="241"/>
      <c r="S153" s="241"/>
      <c r="T153" s="241"/>
      <c r="U153" s="241"/>
      <c r="V153" s="244"/>
      <c r="W153" s="241"/>
      <c r="X153" s="241"/>
      <c r="Y153" s="241"/>
      <c r="Z153" s="241"/>
      <c r="AA153" s="241"/>
      <c r="AB153" s="241"/>
      <c r="AC153" s="241"/>
      <c r="AD153" s="241"/>
      <c r="AE153" s="236"/>
      <c r="AF153" s="236"/>
    </row>
    <row r="154" spans="3:32" ht="13.5">
      <c r="C154" s="241"/>
      <c r="D154" s="242"/>
      <c r="E154" s="242"/>
      <c r="F154" s="242"/>
      <c r="G154" s="242"/>
      <c r="H154" s="242"/>
      <c r="I154" s="241"/>
      <c r="J154" s="241"/>
      <c r="K154" s="241"/>
      <c r="L154" s="241"/>
      <c r="M154" s="241"/>
      <c r="N154" s="241"/>
      <c r="O154" s="241"/>
      <c r="P154" s="241"/>
      <c r="Q154" s="236"/>
      <c r="R154" s="241"/>
      <c r="S154" s="241"/>
      <c r="T154" s="241"/>
      <c r="U154" s="241"/>
      <c r="V154" s="244"/>
      <c r="W154" s="241"/>
      <c r="X154" s="241"/>
      <c r="Y154" s="241"/>
      <c r="Z154" s="241"/>
      <c r="AA154" s="241"/>
      <c r="AB154" s="241"/>
      <c r="AC154" s="241"/>
      <c r="AD154" s="241"/>
      <c r="AE154" s="236"/>
      <c r="AF154" s="236"/>
    </row>
    <row r="155" spans="3:32" ht="13.5">
      <c r="C155" s="241"/>
      <c r="D155" s="242"/>
      <c r="E155" s="242"/>
      <c r="F155" s="242"/>
      <c r="G155" s="242"/>
      <c r="H155" s="242"/>
      <c r="I155" s="241"/>
      <c r="J155" s="241"/>
      <c r="K155" s="241"/>
      <c r="L155" s="241"/>
      <c r="M155" s="241"/>
      <c r="N155" s="241"/>
      <c r="O155" s="241"/>
      <c r="P155" s="241"/>
      <c r="Q155" s="236"/>
      <c r="R155" s="241"/>
      <c r="S155" s="241"/>
      <c r="T155" s="241"/>
      <c r="U155" s="241"/>
      <c r="V155" s="244"/>
      <c r="W155" s="241"/>
      <c r="X155" s="241"/>
      <c r="Y155" s="241"/>
      <c r="Z155" s="241"/>
      <c r="AA155" s="241"/>
      <c r="AB155" s="241"/>
      <c r="AC155" s="241"/>
      <c r="AD155" s="241"/>
      <c r="AE155" s="236"/>
      <c r="AF155" s="236"/>
    </row>
    <row r="156" spans="3:32" ht="13.5">
      <c r="C156" s="241"/>
      <c r="D156" s="242"/>
      <c r="E156" s="242"/>
      <c r="F156" s="242"/>
      <c r="G156" s="242"/>
      <c r="H156" s="242"/>
      <c r="I156" s="241"/>
      <c r="J156" s="241"/>
      <c r="K156" s="241"/>
      <c r="L156" s="241"/>
      <c r="M156" s="241"/>
      <c r="N156" s="241"/>
      <c r="O156" s="241"/>
      <c r="P156" s="241"/>
      <c r="Q156" s="236"/>
      <c r="R156" s="241"/>
      <c r="S156" s="241"/>
      <c r="T156" s="241"/>
      <c r="U156" s="241"/>
      <c r="V156" s="244"/>
      <c r="W156" s="241"/>
      <c r="X156" s="241"/>
      <c r="Y156" s="241"/>
      <c r="Z156" s="241"/>
      <c r="AA156" s="241"/>
      <c r="AB156" s="241"/>
      <c r="AC156" s="241"/>
      <c r="AD156" s="241"/>
      <c r="AE156" s="236"/>
      <c r="AF156" s="236"/>
    </row>
    <row r="157" spans="3:32" ht="13.5">
      <c r="C157" s="241"/>
      <c r="D157" s="242"/>
      <c r="E157" s="242"/>
      <c r="F157" s="242"/>
      <c r="G157" s="242"/>
      <c r="H157" s="242"/>
      <c r="I157" s="241"/>
      <c r="J157" s="241"/>
      <c r="K157" s="241"/>
      <c r="L157" s="241"/>
      <c r="M157" s="241"/>
      <c r="N157" s="241"/>
      <c r="O157" s="241"/>
      <c r="P157" s="241"/>
      <c r="Q157" s="236"/>
      <c r="R157" s="241"/>
      <c r="S157" s="241"/>
      <c r="T157" s="241"/>
      <c r="U157" s="241"/>
      <c r="V157" s="244"/>
      <c r="W157" s="241"/>
      <c r="X157" s="241"/>
      <c r="Y157" s="241"/>
      <c r="Z157" s="241"/>
      <c r="AA157" s="241"/>
      <c r="AB157" s="241"/>
      <c r="AC157" s="241"/>
      <c r="AD157" s="241"/>
      <c r="AE157" s="236"/>
      <c r="AF157" s="236"/>
    </row>
    <row r="158" spans="3:32" ht="13.5">
      <c r="C158" s="241"/>
      <c r="D158" s="242"/>
      <c r="E158" s="242"/>
      <c r="F158" s="242"/>
      <c r="G158" s="242"/>
      <c r="H158" s="242"/>
      <c r="I158" s="241"/>
      <c r="J158" s="241"/>
      <c r="K158" s="241"/>
      <c r="L158" s="241"/>
      <c r="M158" s="241"/>
      <c r="N158" s="241"/>
      <c r="O158" s="241"/>
      <c r="P158" s="241"/>
      <c r="Q158" s="236"/>
      <c r="R158" s="241"/>
      <c r="S158" s="241"/>
      <c r="T158" s="241"/>
      <c r="U158" s="241"/>
      <c r="V158" s="244"/>
      <c r="W158" s="241"/>
      <c r="X158" s="241"/>
      <c r="Y158" s="241"/>
      <c r="Z158" s="241"/>
      <c r="AA158" s="241"/>
      <c r="AB158" s="241"/>
      <c r="AC158" s="241"/>
      <c r="AD158" s="241"/>
      <c r="AE158" s="236"/>
      <c r="AF158" s="236"/>
    </row>
    <row r="159" spans="3:32" ht="13.5">
      <c r="C159" s="241"/>
      <c r="D159" s="242"/>
      <c r="E159" s="242"/>
      <c r="F159" s="242"/>
      <c r="G159" s="242"/>
      <c r="H159" s="242"/>
      <c r="I159" s="241"/>
      <c r="J159" s="241"/>
      <c r="K159" s="241"/>
      <c r="L159" s="241"/>
      <c r="M159" s="241"/>
      <c r="N159" s="241"/>
      <c r="O159" s="241"/>
      <c r="P159" s="241"/>
      <c r="Q159" s="236"/>
      <c r="R159" s="241"/>
      <c r="S159" s="241"/>
      <c r="T159" s="241"/>
      <c r="U159" s="241"/>
      <c r="V159" s="244"/>
      <c r="W159" s="241"/>
      <c r="X159" s="241"/>
      <c r="Y159" s="241"/>
      <c r="Z159" s="241"/>
      <c r="AA159" s="241"/>
      <c r="AB159" s="241"/>
      <c r="AC159" s="241"/>
      <c r="AD159" s="241"/>
      <c r="AE159" s="236"/>
      <c r="AF159" s="236"/>
    </row>
    <row r="160" spans="3:32" ht="13.5">
      <c r="C160" s="241"/>
      <c r="D160" s="242"/>
      <c r="E160" s="242"/>
      <c r="F160" s="242"/>
      <c r="G160" s="242"/>
      <c r="H160" s="242"/>
      <c r="I160" s="241"/>
      <c r="J160" s="241"/>
      <c r="K160" s="241"/>
      <c r="L160" s="241"/>
      <c r="M160" s="241"/>
      <c r="N160" s="241"/>
      <c r="O160" s="241"/>
      <c r="P160" s="241"/>
      <c r="Q160" s="236"/>
      <c r="R160" s="241"/>
      <c r="S160" s="241"/>
      <c r="T160" s="241"/>
      <c r="U160" s="241"/>
      <c r="V160" s="244"/>
      <c r="W160" s="241"/>
      <c r="X160" s="241"/>
      <c r="Y160" s="241"/>
      <c r="Z160" s="241"/>
      <c r="AA160" s="241"/>
      <c r="AB160" s="241"/>
      <c r="AC160" s="241"/>
      <c r="AD160" s="241"/>
      <c r="AE160" s="236"/>
      <c r="AF160" s="236"/>
    </row>
    <row r="161" spans="3:32" ht="13.5">
      <c r="C161" s="241"/>
      <c r="D161" s="242"/>
      <c r="E161" s="242"/>
      <c r="F161" s="242"/>
      <c r="G161" s="242"/>
      <c r="H161" s="242"/>
      <c r="I161" s="241"/>
      <c r="J161" s="241"/>
      <c r="K161" s="241"/>
      <c r="L161" s="241"/>
      <c r="M161" s="241"/>
      <c r="N161" s="241"/>
      <c r="O161" s="241"/>
      <c r="P161" s="241"/>
      <c r="Q161" s="236"/>
      <c r="R161" s="241"/>
      <c r="S161" s="241"/>
      <c r="T161" s="241"/>
      <c r="U161" s="241"/>
      <c r="V161" s="244"/>
      <c r="W161" s="241"/>
      <c r="X161" s="241"/>
      <c r="Y161" s="241"/>
      <c r="Z161" s="241"/>
      <c r="AA161" s="241"/>
      <c r="AB161" s="241"/>
      <c r="AC161" s="241"/>
      <c r="AD161" s="241"/>
      <c r="AE161" s="236"/>
      <c r="AF161" s="236"/>
    </row>
    <row r="162" spans="3:32" ht="13.5">
      <c r="C162" s="241"/>
      <c r="D162" s="242"/>
      <c r="E162" s="242"/>
      <c r="F162" s="242"/>
      <c r="G162" s="242"/>
      <c r="H162" s="242"/>
      <c r="I162" s="241"/>
      <c r="J162" s="241"/>
      <c r="K162" s="241"/>
      <c r="L162" s="241"/>
      <c r="M162" s="241"/>
      <c r="N162" s="241"/>
      <c r="O162" s="241"/>
      <c r="P162" s="241"/>
      <c r="Q162" s="236"/>
      <c r="R162" s="241"/>
      <c r="S162" s="241"/>
      <c r="T162" s="241"/>
      <c r="U162" s="241"/>
      <c r="V162" s="244"/>
      <c r="W162" s="241"/>
      <c r="X162" s="241"/>
      <c r="Y162" s="241"/>
      <c r="Z162" s="241"/>
      <c r="AA162" s="241"/>
      <c r="AB162" s="241"/>
      <c r="AC162" s="241"/>
      <c r="AD162" s="241"/>
      <c r="AE162" s="236"/>
      <c r="AF162" s="236"/>
    </row>
    <row r="163" spans="3:32" ht="13.5">
      <c r="C163" s="241"/>
      <c r="D163" s="242"/>
      <c r="E163" s="242"/>
      <c r="F163" s="242"/>
      <c r="G163" s="242"/>
      <c r="H163" s="242"/>
      <c r="I163" s="241"/>
      <c r="J163" s="241"/>
      <c r="K163" s="241"/>
      <c r="L163" s="241"/>
      <c r="M163" s="241"/>
      <c r="N163" s="241"/>
      <c r="O163" s="241"/>
      <c r="P163" s="241"/>
      <c r="Q163" s="236"/>
      <c r="R163" s="241"/>
      <c r="S163" s="241"/>
      <c r="T163" s="241"/>
      <c r="U163" s="241"/>
      <c r="V163" s="244"/>
      <c r="W163" s="241"/>
      <c r="X163" s="241"/>
      <c r="Y163" s="241"/>
      <c r="Z163" s="241"/>
      <c r="AA163" s="241"/>
      <c r="AB163" s="241"/>
      <c r="AC163" s="241"/>
      <c r="AD163" s="241"/>
      <c r="AE163" s="236"/>
      <c r="AF163" s="236"/>
    </row>
    <row r="164" spans="3:32" ht="13.5">
      <c r="C164" s="241"/>
      <c r="D164" s="242"/>
      <c r="E164" s="242"/>
      <c r="F164" s="242"/>
      <c r="G164" s="242"/>
      <c r="H164" s="242"/>
      <c r="I164" s="241"/>
      <c r="J164" s="241"/>
      <c r="K164" s="241"/>
      <c r="L164" s="241"/>
      <c r="M164" s="241"/>
      <c r="N164" s="241"/>
      <c r="O164" s="241"/>
      <c r="P164" s="241"/>
      <c r="Q164" s="236"/>
      <c r="R164" s="241"/>
      <c r="S164" s="241"/>
      <c r="T164" s="241"/>
      <c r="U164" s="241"/>
      <c r="V164" s="244"/>
      <c r="W164" s="241"/>
      <c r="X164" s="241"/>
      <c r="Y164" s="241"/>
      <c r="Z164" s="241"/>
      <c r="AA164" s="241"/>
      <c r="AB164" s="241"/>
      <c r="AC164" s="241"/>
      <c r="AD164" s="241"/>
      <c r="AE164" s="236"/>
      <c r="AF164" s="236"/>
    </row>
    <row r="165" spans="3:32" ht="13.5">
      <c r="C165" s="241"/>
      <c r="D165" s="242"/>
      <c r="E165" s="242"/>
      <c r="F165" s="242"/>
      <c r="G165" s="242"/>
      <c r="H165" s="242"/>
      <c r="I165" s="241"/>
      <c r="J165" s="241"/>
      <c r="K165" s="241"/>
      <c r="L165" s="241"/>
      <c r="M165" s="241"/>
      <c r="N165" s="241"/>
      <c r="O165" s="241"/>
      <c r="P165" s="241"/>
      <c r="Q165" s="236"/>
      <c r="R165" s="241"/>
      <c r="S165" s="241"/>
      <c r="T165" s="241"/>
      <c r="U165" s="241"/>
      <c r="V165" s="244"/>
      <c r="W165" s="241"/>
      <c r="X165" s="241"/>
      <c r="Y165" s="241"/>
      <c r="Z165" s="241"/>
      <c r="AA165" s="241"/>
      <c r="AB165" s="241"/>
      <c r="AC165" s="241"/>
      <c r="AD165" s="241"/>
      <c r="AE165" s="236"/>
      <c r="AF165" s="236"/>
    </row>
    <row r="166" spans="3:32" ht="13.5">
      <c r="C166" s="241"/>
      <c r="D166" s="242"/>
      <c r="E166" s="242"/>
      <c r="F166" s="242"/>
      <c r="G166" s="242"/>
      <c r="H166" s="242"/>
      <c r="I166" s="241"/>
      <c r="J166" s="241"/>
      <c r="K166" s="241"/>
      <c r="L166" s="241"/>
      <c r="M166" s="241"/>
      <c r="N166" s="241"/>
      <c r="O166" s="241"/>
      <c r="P166" s="241"/>
      <c r="Q166" s="236"/>
      <c r="R166" s="241"/>
      <c r="S166" s="241"/>
      <c r="T166" s="241"/>
      <c r="U166" s="241"/>
      <c r="V166" s="244"/>
      <c r="W166" s="241"/>
      <c r="X166" s="241"/>
      <c r="Y166" s="241"/>
      <c r="Z166" s="241"/>
      <c r="AA166" s="241"/>
      <c r="AB166" s="241"/>
      <c r="AC166" s="241"/>
      <c r="AD166" s="241"/>
      <c r="AE166" s="236"/>
      <c r="AF166" s="236"/>
    </row>
    <row r="167" spans="3:32" ht="13.5">
      <c r="C167" s="241"/>
      <c r="D167" s="242"/>
      <c r="E167" s="242"/>
      <c r="F167" s="242"/>
      <c r="G167" s="242"/>
      <c r="H167" s="242"/>
      <c r="I167" s="241"/>
      <c r="J167" s="241"/>
      <c r="K167" s="241"/>
      <c r="L167" s="241"/>
      <c r="M167" s="241"/>
      <c r="N167" s="241"/>
      <c r="O167" s="241"/>
      <c r="P167" s="241"/>
      <c r="Q167" s="236"/>
      <c r="R167" s="241"/>
      <c r="S167" s="241"/>
      <c r="T167" s="241"/>
      <c r="U167" s="241"/>
      <c r="V167" s="244"/>
      <c r="W167" s="241"/>
      <c r="X167" s="241"/>
      <c r="Y167" s="241"/>
      <c r="Z167" s="241"/>
      <c r="AA167" s="241"/>
      <c r="AB167" s="241"/>
      <c r="AC167" s="241"/>
      <c r="AD167" s="241"/>
      <c r="AE167" s="236"/>
      <c r="AF167" s="236"/>
    </row>
    <row r="168" spans="3:32" ht="13.5">
      <c r="C168" s="241"/>
      <c r="D168" s="242"/>
      <c r="E168" s="242"/>
      <c r="F168" s="242"/>
      <c r="G168" s="242"/>
      <c r="H168" s="242"/>
      <c r="I168" s="241"/>
      <c r="J168" s="241"/>
      <c r="K168" s="241"/>
      <c r="L168" s="241"/>
      <c r="M168" s="241"/>
      <c r="N168" s="241"/>
      <c r="O168" s="241"/>
      <c r="P168" s="241"/>
      <c r="Q168" s="236"/>
      <c r="R168" s="241"/>
      <c r="S168" s="241"/>
      <c r="T168" s="241"/>
      <c r="U168" s="241"/>
      <c r="V168" s="244"/>
      <c r="W168" s="241"/>
      <c r="X168" s="241"/>
      <c r="Y168" s="241"/>
      <c r="Z168" s="241"/>
      <c r="AA168" s="241"/>
      <c r="AB168" s="241"/>
      <c r="AC168" s="241"/>
      <c r="AD168" s="241"/>
      <c r="AE168" s="236"/>
      <c r="AF168" s="236"/>
    </row>
    <row r="169" spans="3:32" ht="13.5">
      <c r="C169" s="241"/>
      <c r="D169" s="242"/>
      <c r="E169" s="242"/>
      <c r="F169" s="242"/>
      <c r="G169" s="242"/>
      <c r="H169" s="242"/>
      <c r="I169" s="241"/>
      <c r="J169" s="241"/>
      <c r="K169" s="241"/>
      <c r="L169" s="241"/>
      <c r="M169" s="241"/>
      <c r="N169" s="241"/>
      <c r="O169" s="241"/>
      <c r="P169" s="241"/>
      <c r="Q169" s="236"/>
      <c r="R169" s="241"/>
      <c r="S169" s="241"/>
      <c r="T169" s="241"/>
      <c r="U169" s="241"/>
      <c r="V169" s="244"/>
      <c r="W169" s="241"/>
      <c r="X169" s="241"/>
      <c r="Y169" s="241"/>
      <c r="Z169" s="241"/>
      <c r="AA169" s="241"/>
      <c r="AB169" s="241"/>
      <c r="AC169" s="241"/>
      <c r="AD169" s="241"/>
      <c r="AE169" s="236"/>
      <c r="AF169" s="236"/>
    </row>
    <row r="170" spans="3:32" ht="13.5">
      <c r="C170" s="241"/>
      <c r="D170" s="242"/>
      <c r="E170" s="242"/>
      <c r="F170" s="242"/>
      <c r="G170" s="242"/>
      <c r="H170" s="242"/>
      <c r="I170" s="241"/>
      <c r="J170" s="241"/>
      <c r="K170" s="241"/>
      <c r="L170" s="241"/>
      <c r="M170" s="241"/>
      <c r="N170" s="241"/>
      <c r="O170" s="241"/>
      <c r="P170" s="241"/>
      <c r="Q170" s="236"/>
      <c r="R170" s="241"/>
      <c r="S170" s="241"/>
      <c r="T170" s="241"/>
      <c r="U170" s="241"/>
      <c r="V170" s="244"/>
      <c r="W170" s="241"/>
      <c r="X170" s="241"/>
      <c r="Y170" s="241"/>
      <c r="Z170" s="241"/>
      <c r="AA170" s="241"/>
      <c r="AB170" s="241"/>
      <c r="AC170" s="241"/>
      <c r="AD170" s="241"/>
      <c r="AE170" s="236"/>
      <c r="AF170" s="236"/>
    </row>
    <row r="171" spans="3:32" ht="13.5">
      <c r="C171" s="241"/>
      <c r="D171" s="242"/>
      <c r="E171" s="242"/>
      <c r="F171" s="242"/>
      <c r="G171" s="242"/>
      <c r="H171" s="242"/>
      <c r="I171" s="241"/>
      <c r="J171" s="241"/>
      <c r="K171" s="241"/>
      <c r="L171" s="241"/>
      <c r="M171" s="241"/>
      <c r="N171" s="241"/>
      <c r="O171" s="241"/>
      <c r="P171" s="241"/>
      <c r="Q171" s="236"/>
      <c r="R171" s="241"/>
      <c r="S171" s="241"/>
      <c r="T171" s="241"/>
      <c r="U171" s="241"/>
      <c r="V171" s="244"/>
      <c r="W171" s="241"/>
      <c r="X171" s="241"/>
      <c r="Y171" s="241"/>
      <c r="Z171" s="241"/>
      <c r="AA171" s="241"/>
      <c r="AB171" s="241"/>
      <c r="AC171" s="241"/>
      <c r="AD171" s="241"/>
      <c r="AE171" s="236"/>
      <c r="AF171" s="236"/>
    </row>
    <row r="172" spans="3:32" ht="13.5">
      <c r="C172" s="241"/>
      <c r="D172" s="242"/>
      <c r="E172" s="242"/>
      <c r="F172" s="242"/>
      <c r="G172" s="242"/>
      <c r="H172" s="242"/>
      <c r="I172" s="241"/>
      <c r="J172" s="241"/>
      <c r="K172" s="241"/>
      <c r="L172" s="241"/>
      <c r="M172" s="241"/>
      <c r="N172" s="241"/>
      <c r="O172" s="241"/>
      <c r="P172" s="241"/>
      <c r="Q172" s="236"/>
      <c r="R172" s="241"/>
      <c r="S172" s="241"/>
      <c r="T172" s="241"/>
      <c r="U172" s="241"/>
      <c r="V172" s="244"/>
      <c r="W172" s="241"/>
      <c r="X172" s="241"/>
      <c r="Y172" s="241"/>
      <c r="Z172" s="241"/>
      <c r="AA172" s="241"/>
      <c r="AB172" s="241"/>
      <c r="AC172" s="241"/>
      <c r="AD172" s="241"/>
      <c r="AE172" s="236"/>
      <c r="AF172" s="236"/>
    </row>
    <row r="173" spans="3:32" ht="13.5">
      <c r="C173" s="241"/>
      <c r="D173" s="242"/>
      <c r="E173" s="242"/>
      <c r="F173" s="242"/>
      <c r="G173" s="242"/>
      <c r="H173" s="242"/>
      <c r="I173" s="241"/>
      <c r="J173" s="241"/>
      <c r="K173" s="241"/>
      <c r="L173" s="241"/>
      <c r="M173" s="241"/>
      <c r="N173" s="241"/>
      <c r="O173" s="241"/>
      <c r="P173" s="241"/>
      <c r="Q173" s="236"/>
      <c r="R173" s="241"/>
      <c r="S173" s="241"/>
      <c r="T173" s="241"/>
      <c r="U173" s="241"/>
      <c r="V173" s="244"/>
      <c r="W173" s="241"/>
      <c r="X173" s="241"/>
      <c r="Y173" s="241"/>
      <c r="Z173" s="241"/>
      <c r="AA173" s="241"/>
      <c r="AB173" s="241"/>
      <c r="AC173" s="241"/>
      <c r="AD173" s="241"/>
      <c r="AE173" s="236"/>
      <c r="AF173" s="236"/>
    </row>
    <row r="174" spans="3:32" ht="13.5">
      <c r="C174" s="241"/>
      <c r="D174" s="242"/>
      <c r="E174" s="242"/>
      <c r="F174" s="242"/>
      <c r="G174" s="242"/>
      <c r="H174" s="242"/>
      <c r="I174" s="241"/>
      <c r="J174" s="241"/>
      <c r="K174" s="241"/>
      <c r="L174" s="241"/>
      <c r="M174" s="241"/>
      <c r="N174" s="241"/>
      <c r="O174" s="241"/>
      <c r="P174" s="241"/>
      <c r="Q174" s="236"/>
      <c r="R174" s="241"/>
      <c r="S174" s="241"/>
      <c r="T174" s="241"/>
      <c r="U174" s="241"/>
      <c r="V174" s="244"/>
      <c r="W174" s="241"/>
      <c r="X174" s="241"/>
      <c r="Y174" s="241"/>
      <c r="Z174" s="241"/>
      <c r="AA174" s="241"/>
      <c r="AB174" s="241"/>
      <c r="AC174" s="241"/>
      <c r="AD174" s="241"/>
      <c r="AE174" s="236"/>
      <c r="AF174" s="236"/>
    </row>
    <row r="175" spans="3:32" ht="13.5">
      <c r="C175" s="241"/>
      <c r="D175" s="242"/>
      <c r="E175" s="242"/>
      <c r="F175" s="242"/>
      <c r="G175" s="242"/>
      <c r="H175" s="242"/>
      <c r="I175" s="241"/>
      <c r="J175" s="241"/>
      <c r="K175" s="241"/>
      <c r="L175" s="241"/>
      <c r="M175" s="241"/>
      <c r="N175" s="241"/>
      <c r="O175" s="241"/>
      <c r="P175" s="241"/>
      <c r="Q175" s="236"/>
      <c r="R175" s="241"/>
      <c r="S175" s="241"/>
      <c r="T175" s="241"/>
      <c r="U175" s="241"/>
      <c r="V175" s="244"/>
      <c r="W175" s="241"/>
      <c r="X175" s="241"/>
      <c r="Y175" s="241"/>
      <c r="Z175" s="241"/>
      <c r="AA175" s="241"/>
      <c r="AB175" s="241"/>
      <c r="AC175" s="241"/>
      <c r="AD175" s="241"/>
      <c r="AE175" s="236"/>
      <c r="AF175" s="236"/>
    </row>
    <row r="176" spans="3:32" ht="13.5">
      <c r="C176" s="241"/>
      <c r="D176" s="242"/>
      <c r="E176" s="242"/>
      <c r="F176" s="242"/>
      <c r="G176" s="242"/>
      <c r="H176" s="242"/>
      <c r="I176" s="241"/>
      <c r="J176" s="241"/>
      <c r="K176" s="241"/>
      <c r="L176" s="241"/>
      <c r="M176" s="241"/>
      <c r="N176" s="241"/>
      <c r="O176" s="241"/>
      <c r="P176" s="241"/>
      <c r="Q176" s="236"/>
      <c r="R176" s="241"/>
      <c r="S176" s="241"/>
      <c r="T176" s="241"/>
      <c r="U176" s="241"/>
      <c r="V176" s="244"/>
      <c r="W176" s="241"/>
      <c r="X176" s="241"/>
      <c r="Y176" s="241"/>
      <c r="Z176" s="241"/>
      <c r="AA176" s="241"/>
      <c r="AB176" s="241"/>
      <c r="AC176" s="241"/>
      <c r="AD176" s="241"/>
      <c r="AE176" s="236"/>
      <c r="AF176" s="236"/>
    </row>
    <row r="177" spans="3:32" ht="13.5">
      <c r="C177" s="241"/>
      <c r="D177" s="242"/>
      <c r="E177" s="242"/>
      <c r="F177" s="242"/>
      <c r="G177" s="242"/>
      <c r="H177" s="242"/>
      <c r="I177" s="241"/>
      <c r="J177" s="241"/>
      <c r="K177" s="241"/>
      <c r="L177" s="241"/>
      <c r="M177" s="241"/>
      <c r="N177" s="241"/>
      <c r="O177" s="241"/>
      <c r="P177" s="241"/>
      <c r="Q177" s="236"/>
      <c r="R177" s="241"/>
      <c r="S177" s="241"/>
      <c r="T177" s="241"/>
      <c r="U177" s="241"/>
      <c r="V177" s="244"/>
      <c r="W177" s="241"/>
      <c r="X177" s="241"/>
      <c r="Y177" s="241"/>
      <c r="Z177" s="241"/>
      <c r="AA177" s="241"/>
      <c r="AB177" s="241"/>
      <c r="AC177" s="241"/>
      <c r="AD177" s="241"/>
      <c r="AE177" s="236"/>
      <c r="AF177" s="236"/>
    </row>
  </sheetData>
  <mergeCells count="5">
    <mergeCell ref="C5:C7"/>
    <mergeCell ref="D5:AD5"/>
    <mergeCell ref="D6:P6"/>
    <mergeCell ref="Q6:Q7"/>
    <mergeCell ref="R6:AD6"/>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F178"/>
  <sheetViews>
    <sheetView workbookViewId="0"/>
  </sheetViews>
  <sheetFormatPr defaultRowHeight="10.5"/>
  <cols>
    <col min="1" max="1" width="39" customWidth="1"/>
    <col min="2" max="2" width="19.83203125" customWidth="1"/>
    <col min="3" max="3" width="21.1640625" customWidth="1"/>
    <col min="4" max="5" width="21.6640625" customWidth="1"/>
    <col min="6" max="6" width="21.5" customWidth="1"/>
    <col min="7" max="7" width="21.6640625" customWidth="1"/>
    <col min="8" max="8" width="21.33203125" customWidth="1"/>
    <col min="9" max="9" width="21.83203125" customWidth="1"/>
    <col min="10" max="11" width="21.33203125" customWidth="1"/>
    <col min="12" max="12" width="21" customWidth="1"/>
    <col min="13" max="13" width="24" customWidth="1"/>
    <col min="14" max="14" width="24.1640625" customWidth="1"/>
    <col min="15" max="15" width="25.1640625" customWidth="1"/>
    <col min="16" max="24" width="15.5" customWidth="1"/>
    <col min="25" max="27" width="17" customWidth="1"/>
    <col min="28" max="28" width="22.5" customWidth="1"/>
    <col min="29" max="29" width="21.6640625" style="261" customWidth="1"/>
    <col min="30" max="30" width="30.83203125" style="261" customWidth="1"/>
    <col min="31" max="31" width="19.5" bestFit="1" customWidth="1"/>
    <col min="32" max="32" width="16.83203125" customWidth="1"/>
  </cols>
  <sheetData>
    <row r="1" spans="1:32" ht="15.4">
      <c r="A1" s="21" t="s">
        <v>16</v>
      </c>
      <c r="B1" s="6"/>
      <c r="C1" s="6"/>
      <c r="D1" s="6"/>
      <c r="E1" s="6"/>
      <c r="F1" s="6"/>
      <c r="G1" s="5"/>
      <c r="H1" s="5"/>
      <c r="I1" s="5"/>
      <c r="J1" s="5"/>
      <c r="K1" s="5"/>
      <c r="L1" s="5"/>
      <c r="M1" s="5"/>
      <c r="N1" s="5"/>
      <c r="O1" s="5"/>
      <c r="P1" s="5"/>
      <c r="Q1" s="5"/>
      <c r="R1" s="5"/>
      <c r="S1" s="5"/>
      <c r="T1" s="41"/>
      <c r="U1" s="5"/>
      <c r="V1" s="5"/>
      <c r="W1" s="5"/>
      <c r="X1" s="5"/>
      <c r="Y1" s="5"/>
      <c r="Z1" s="5"/>
      <c r="AA1" s="5"/>
      <c r="AB1" s="287">
        <f>+N12+N16</f>
        <v>22351800000</v>
      </c>
      <c r="AC1" s="46">
        <f>+N9+N10+N13+N15+N17+N18+N21+N23</f>
        <v>103317341378</v>
      </c>
      <c r="AD1" s="38">
        <f>+N11+N14+N24+N22+N25</f>
        <v>247575015918.70746</v>
      </c>
      <c r="AE1" s="270">
        <f>+AC1-N9-N10-N15-N23-N13</f>
        <v>54283646000</v>
      </c>
      <c r="AF1" s="290">
        <f>+AE1-AC1</f>
        <v>-49033695378</v>
      </c>
    </row>
    <row r="2" spans="1:32" ht="31.9">
      <c r="A2" s="153" t="s">
        <v>128</v>
      </c>
      <c r="B2" s="153"/>
      <c r="C2" s="153"/>
      <c r="D2" s="153"/>
      <c r="E2" s="153"/>
      <c r="F2" s="153"/>
      <c r="G2" s="153"/>
      <c r="H2" s="153"/>
      <c r="I2" s="264"/>
      <c r="J2" s="153"/>
      <c r="K2" s="153"/>
      <c r="L2" s="153"/>
      <c r="M2" s="264"/>
      <c r="N2" s="153"/>
      <c r="O2" s="153"/>
      <c r="P2" s="153"/>
      <c r="Q2" s="153"/>
      <c r="R2" s="153"/>
      <c r="S2" s="153"/>
      <c r="T2" s="153"/>
      <c r="U2" s="153"/>
      <c r="V2" s="153"/>
      <c r="W2" s="153"/>
      <c r="X2" s="153"/>
      <c r="Y2" s="153"/>
      <c r="Z2" s="153"/>
      <c r="AA2" s="153"/>
      <c r="AB2" s="289">
        <f>+N30+N34</f>
        <v>10255746877</v>
      </c>
      <c r="AC2" s="46">
        <f>+N27+N28+N31+N33+N41+N39+N35+N36</f>
        <v>74390748272</v>
      </c>
      <c r="AD2" s="38">
        <f>+N29+N32+N42+N43+N40</f>
        <v>210666702959</v>
      </c>
    </row>
    <row r="3" spans="1:32" ht="12.4">
      <c r="A3" s="5"/>
      <c r="B3" s="87"/>
      <c r="C3" s="87"/>
      <c r="D3" s="87"/>
      <c r="E3" s="87"/>
      <c r="F3" s="87"/>
      <c r="G3" s="35"/>
      <c r="H3" s="35"/>
      <c r="I3" s="35"/>
      <c r="J3" s="35"/>
      <c r="K3" s="35"/>
      <c r="L3" s="35"/>
      <c r="M3" s="85"/>
      <c r="N3" s="35"/>
      <c r="O3" s="35"/>
      <c r="P3" s="35"/>
      <c r="Q3" s="35"/>
      <c r="R3" s="35"/>
      <c r="S3" s="35"/>
      <c r="T3" s="86"/>
      <c r="U3" s="35"/>
      <c r="V3" s="35"/>
      <c r="W3" s="35"/>
      <c r="X3" s="35"/>
      <c r="Y3" s="35"/>
      <c r="Z3" s="35"/>
      <c r="AA3" s="85"/>
      <c r="AB3" s="288"/>
      <c r="AC3" s="46"/>
      <c r="AD3" s="38"/>
    </row>
    <row r="4" spans="1:32" ht="12.4">
      <c r="A4" s="5"/>
      <c r="B4" s="87"/>
      <c r="C4" s="87"/>
      <c r="D4" s="87"/>
      <c r="E4" s="87"/>
      <c r="F4" s="87"/>
      <c r="G4" s="35"/>
      <c r="H4" s="35"/>
      <c r="I4" s="35"/>
      <c r="J4" s="35"/>
      <c r="K4" s="35"/>
      <c r="L4" s="35"/>
      <c r="M4" s="277"/>
      <c r="N4" s="35"/>
      <c r="O4" s="35"/>
      <c r="P4" s="35"/>
      <c r="Q4" s="35"/>
      <c r="R4" s="35"/>
      <c r="S4" s="35"/>
      <c r="T4" s="86"/>
      <c r="U4" s="35"/>
      <c r="V4" s="35"/>
      <c r="W4" s="35"/>
      <c r="X4" s="35"/>
      <c r="Y4" s="35"/>
      <c r="Z4" s="35"/>
      <c r="AA4" s="85"/>
      <c r="AB4" s="35"/>
      <c r="AC4" s="46"/>
      <c r="AD4" s="38"/>
    </row>
    <row r="5" spans="1:32" ht="13.5">
      <c r="A5" s="414" t="s">
        <v>2</v>
      </c>
      <c r="B5" s="417">
        <v>2023</v>
      </c>
      <c r="C5" s="417"/>
      <c r="D5" s="417"/>
      <c r="E5" s="417"/>
      <c r="F5" s="418"/>
      <c r="G5" s="417"/>
      <c r="H5" s="417"/>
      <c r="I5" s="417"/>
      <c r="J5" s="417"/>
      <c r="K5" s="417"/>
      <c r="L5" s="417"/>
      <c r="M5" s="417"/>
      <c r="N5" s="417"/>
      <c r="O5" s="418"/>
      <c r="P5" s="417"/>
      <c r="Q5" s="417"/>
      <c r="R5" s="417"/>
      <c r="S5" s="417"/>
      <c r="T5" s="417"/>
      <c r="U5" s="417"/>
      <c r="V5" s="417"/>
      <c r="W5" s="417"/>
      <c r="X5" s="417"/>
      <c r="Y5" s="417"/>
      <c r="Z5" s="417"/>
      <c r="AA5" s="417"/>
      <c r="AB5" s="417"/>
      <c r="AC5" s="257"/>
      <c r="AD5" s="257"/>
    </row>
    <row r="6" spans="1:32" ht="13.5">
      <c r="A6" s="415"/>
      <c r="B6" s="419" t="s">
        <v>5</v>
      </c>
      <c r="C6" s="420"/>
      <c r="D6" s="420"/>
      <c r="E6" s="420"/>
      <c r="F6" s="421"/>
      <c r="G6" s="420"/>
      <c r="H6" s="420"/>
      <c r="I6" s="420"/>
      <c r="J6" s="420"/>
      <c r="K6" s="420"/>
      <c r="L6" s="420"/>
      <c r="M6" s="420"/>
      <c r="N6" s="422"/>
      <c r="O6" s="425" t="s">
        <v>129</v>
      </c>
      <c r="P6" s="419" t="s">
        <v>144</v>
      </c>
      <c r="Q6" s="420"/>
      <c r="R6" s="420"/>
      <c r="S6" s="420"/>
      <c r="T6" s="420"/>
      <c r="U6" s="420"/>
      <c r="V6" s="420"/>
      <c r="W6" s="420"/>
      <c r="X6" s="420"/>
      <c r="Y6" s="420"/>
      <c r="Z6" s="420"/>
      <c r="AA6" s="420"/>
      <c r="AB6" s="422"/>
      <c r="AC6" s="258"/>
      <c r="AD6" s="258"/>
    </row>
    <row r="7" spans="1:32" ht="13.5">
      <c r="A7" s="416"/>
      <c r="B7" s="220">
        <v>44927</v>
      </c>
      <c r="C7" s="220">
        <v>44958</v>
      </c>
      <c r="D7" s="220">
        <v>44986</v>
      </c>
      <c r="E7" s="220">
        <v>45017</v>
      </c>
      <c r="F7" s="221">
        <v>45047</v>
      </c>
      <c r="G7" s="220">
        <v>45078</v>
      </c>
      <c r="H7" s="220">
        <v>45108</v>
      </c>
      <c r="I7" s="220">
        <v>45139</v>
      </c>
      <c r="J7" s="220">
        <v>45170</v>
      </c>
      <c r="K7" s="220">
        <v>45200</v>
      </c>
      <c r="L7" s="220">
        <v>45231</v>
      </c>
      <c r="M7" s="220">
        <v>45261</v>
      </c>
      <c r="N7" s="222" t="s">
        <v>8</v>
      </c>
      <c r="O7" s="426"/>
      <c r="P7" s="220">
        <v>44927</v>
      </c>
      <c r="Q7" s="220">
        <v>44958</v>
      </c>
      <c r="R7" s="220">
        <v>44986</v>
      </c>
      <c r="S7" s="220">
        <v>45017</v>
      </c>
      <c r="T7" s="221">
        <v>45047</v>
      </c>
      <c r="U7" s="220">
        <v>45078</v>
      </c>
      <c r="V7" s="220">
        <v>45108</v>
      </c>
      <c r="W7" s="220">
        <v>45139</v>
      </c>
      <c r="X7" s="220">
        <v>45170</v>
      </c>
      <c r="Y7" s="220">
        <v>45200</v>
      </c>
      <c r="Z7" s="220">
        <v>45231</v>
      </c>
      <c r="AA7" s="220">
        <v>45261</v>
      </c>
      <c r="AB7" s="222" t="s">
        <v>145</v>
      </c>
      <c r="AC7" s="258"/>
      <c r="AD7" s="258"/>
    </row>
    <row r="8" spans="1:32" ht="13.5">
      <c r="A8" s="223" t="s">
        <v>3</v>
      </c>
      <c r="B8" s="224">
        <f t="shared" ref="B8:G8" si="0">SUM(B9:B23)</f>
        <v>2850861806</v>
      </c>
      <c r="C8" s="224">
        <f t="shared" si="0"/>
        <v>23560715020</v>
      </c>
      <c r="D8" s="224">
        <f t="shared" si="0"/>
        <v>35551684762</v>
      </c>
      <c r="E8" s="224">
        <f t="shared" si="0"/>
        <v>21509467395</v>
      </c>
      <c r="F8" s="224">
        <f t="shared" si="0"/>
        <v>55291797906</v>
      </c>
      <c r="G8" s="224">
        <f t="shared" si="0"/>
        <v>21565077850</v>
      </c>
      <c r="H8" s="224">
        <f>SUM(H9:H23)</f>
        <v>25431099141</v>
      </c>
      <c r="I8" s="224">
        <f t="shared" ref="I8:Y8" si="1">SUM(I9:I23)</f>
        <v>14476850915</v>
      </c>
      <c r="J8" s="224">
        <f t="shared" si="1"/>
        <v>18123380714</v>
      </c>
      <c r="K8" s="224">
        <f t="shared" si="1"/>
        <v>28515172871</v>
      </c>
      <c r="L8" s="224">
        <f>SUM(L9:L25)</f>
        <v>22412421081.707451</v>
      </c>
      <c r="M8" s="224">
        <f>SUM(M9:M25)</f>
        <v>103955627835</v>
      </c>
      <c r="N8" s="224">
        <f>SUM(N9:N25)</f>
        <v>373244157296.70746</v>
      </c>
      <c r="O8" s="224" t="e">
        <f>SUM(O9:O25)</f>
        <v>#REF!</v>
      </c>
      <c r="P8" s="224">
        <f t="shared" si="1"/>
        <v>122.56499595872742</v>
      </c>
      <c r="Q8" s="224">
        <f t="shared" si="1"/>
        <v>999.18214673452098</v>
      </c>
      <c r="R8" s="224">
        <f t="shared" si="1"/>
        <v>1527.1342251718213</v>
      </c>
      <c r="S8" s="224">
        <f t="shared" si="1"/>
        <v>924.34324860335198</v>
      </c>
      <c r="T8" s="224">
        <f t="shared" si="1"/>
        <v>2373.0385367381973</v>
      </c>
      <c r="U8" s="224">
        <f t="shared" si="1"/>
        <v>921.79</v>
      </c>
      <c r="V8" s="224">
        <f>SUM(V9:V23)</f>
        <v>1082.4047304107257</v>
      </c>
      <c r="W8" s="224">
        <f>SUM(W9:W23)</f>
        <v>606.24</v>
      </c>
      <c r="X8" s="224">
        <f t="shared" si="1"/>
        <v>752.01</v>
      </c>
      <c r="Y8" s="224">
        <f t="shared" si="1"/>
        <v>1170.0999999999999</v>
      </c>
      <c r="Z8" s="224">
        <f>SUM(Z9:Z25)</f>
        <v>931.12999999999988</v>
      </c>
      <c r="AA8" s="224">
        <f>SUM(AA9:AA25)</f>
        <v>4322.4900000000007</v>
      </c>
      <c r="AB8" s="224">
        <f>SUM(AB9:AB25)</f>
        <v>15732.427883617349</v>
      </c>
      <c r="AC8" s="257">
        <f>+M8-'[5]IS (01)'!$K$6</f>
        <v>0</v>
      </c>
      <c r="AD8" s="257">
        <f>+N8-'[5]IS (01)'!$L$6</f>
        <v>-0.29254150390625</v>
      </c>
      <c r="AE8" s="261">
        <f>+AA8-'[5]IS (01)'!$F$6</f>
        <v>1.0000000001127773E-2</v>
      </c>
      <c r="AF8" s="270">
        <f>+AB8-'[5]IS (01)'!$G$6</f>
        <v>4.0733617350269924E-2</v>
      </c>
    </row>
    <row r="9" spans="1:32" ht="13.5">
      <c r="A9" s="262" t="s">
        <v>142</v>
      </c>
      <c r="B9" s="225"/>
      <c r="C9" s="225">
        <v>1760794668</v>
      </c>
      <c r="D9" s="225">
        <v>1692524720</v>
      </c>
      <c r="E9" s="225">
        <v>1787345480</v>
      </c>
      <c r="F9" s="226">
        <v>1745931702</v>
      </c>
      <c r="G9" s="225">
        <v>1875039019</v>
      </c>
      <c r="H9" s="227">
        <v>1799716415</v>
      </c>
      <c r="I9" s="227"/>
      <c r="J9" s="227"/>
      <c r="K9" s="227"/>
      <c r="L9" s="227"/>
      <c r="M9" s="228"/>
      <c r="N9" s="229">
        <f>SUM(B9:M9)</f>
        <v>10661352004</v>
      </c>
      <c r="O9" s="230" t="e">
        <f>'Summary 2020'!P11+'Summary 2019'!N11+'Summary 2018'!N11+'Summary 2017'!J11+N9+'Summary 2021'!O11+'Summary 2022'!N11</f>
        <v>#REF!</v>
      </c>
      <c r="P9" s="231">
        <f t="shared" ref="P9:P15" si="2">B9/$P$44</f>
        <v>0</v>
      </c>
      <c r="Q9" s="231">
        <f t="shared" ref="Q9:Q15" si="3">C9/$Q$44</f>
        <v>74.673225954198472</v>
      </c>
      <c r="R9" s="231">
        <f t="shared" ref="R9:R15" si="4">D9/$R$44</f>
        <v>72.70295189003437</v>
      </c>
      <c r="S9" s="231">
        <f t="shared" ref="S9:S15" si="5">E9/$S$44</f>
        <v>76.809002148689302</v>
      </c>
      <c r="T9" s="231">
        <f t="shared" ref="T9:T19" si="6">F9/$T$44</f>
        <v>74.932691072961376</v>
      </c>
      <c r="U9" s="231">
        <f t="shared" ref="U9:U15" si="7">ROUND(G9/$U$44,2)</f>
        <v>80.150000000000006</v>
      </c>
      <c r="V9" s="231">
        <f t="shared" ref="V9:V23" si="8">H9/$V$44</f>
        <v>76.599975101085334</v>
      </c>
      <c r="W9" s="231">
        <f t="shared" ref="W9:W23" si="9">ROUND(I9/$W$44,2)</f>
        <v>0</v>
      </c>
      <c r="X9" s="231">
        <f t="shared" ref="X9:X23" si="10">ROUND(J9/$X$44,2)</f>
        <v>0</v>
      </c>
      <c r="Y9" s="231">
        <f t="shared" ref="Y9:Y23" si="11">ROUND(K9/$Y$44,2)</f>
        <v>0</v>
      </c>
      <c r="Z9" s="231">
        <f t="shared" ref="Z9:Z24" si="12">ROUND(L9/$Z$44,2)</f>
        <v>0</v>
      </c>
      <c r="AA9" s="231">
        <f t="shared" ref="AA9:AA25" si="13">ROUND(M9/$AA$44,2)</f>
        <v>0</v>
      </c>
      <c r="AB9" s="232">
        <f t="shared" ref="AB9:AB25" si="14">SUM(P9:AA9)</f>
        <v>455.86784616696877</v>
      </c>
      <c r="AC9" s="257"/>
      <c r="AD9" s="259"/>
    </row>
    <row r="10" spans="1:32" ht="13.5">
      <c r="A10" s="262" t="s">
        <v>133</v>
      </c>
      <c r="B10" s="233"/>
      <c r="C10" s="228">
        <v>1449625785</v>
      </c>
      <c r="D10" s="228">
        <v>1476031521</v>
      </c>
      <c r="E10" s="228">
        <v>1457181898</v>
      </c>
      <c r="F10" s="226">
        <v>1541141622</v>
      </c>
      <c r="G10" s="228">
        <v>1458177516</v>
      </c>
      <c r="H10" s="227">
        <v>1458865645</v>
      </c>
      <c r="I10" s="227">
        <v>1483665631</v>
      </c>
      <c r="J10" s="227">
        <v>1531018616</v>
      </c>
      <c r="K10" s="228">
        <v>1477350754</v>
      </c>
      <c r="L10" s="228">
        <v>1427171611</v>
      </c>
      <c r="M10" s="228">
        <v>3091164117</v>
      </c>
      <c r="N10" s="229">
        <f t="shared" ref="N10:N22" si="15">SUM(B10:M10)</f>
        <v>17851394716</v>
      </c>
      <c r="O10" s="230">
        <f>N10+'Summary 2021'!P14+'Summary 2022'!N13</f>
        <v>80212323977</v>
      </c>
      <c r="P10" s="231">
        <f t="shared" si="2"/>
        <v>0</v>
      </c>
      <c r="Q10" s="231">
        <f t="shared" si="3"/>
        <v>61.47692048346056</v>
      </c>
      <c r="R10" s="231">
        <f t="shared" si="4"/>
        <v>63.403415850515465</v>
      </c>
      <c r="S10" s="231">
        <f t="shared" si="5"/>
        <v>62.620623033949293</v>
      </c>
      <c r="T10" s="231">
        <f t="shared" si="6"/>
        <v>66.143417253218885</v>
      </c>
      <c r="U10" s="231">
        <f t="shared" si="7"/>
        <v>62.33</v>
      </c>
      <c r="V10" s="231">
        <f t="shared" si="8"/>
        <v>62.092600340497981</v>
      </c>
      <c r="W10" s="231">
        <f t="shared" si="9"/>
        <v>62.13</v>
      </c>
      <c r="X10" s="231">
        <f t="shared" si="10"/>
        <v>63.53</v>
      </c>
      <c r="Y10" s="231">
        <f t="shared" si="11"/>
        <v>60.62</v>
      </c>
      <c r="Z10" s="231">
        <f t="shared" si="12"/>
        <v>59.29</v>
      </c>
      <c r="AA10" s="231">
        <f t="shared" si="13"/>
        <v>128.53</v>
      </c>
      <c r="AB10" s="232">
        <f t="shared" si="14"/>
        <v>752.16697696164215</v>
      </c>
      <c r="AC10" s="257"/>
      <c r="AD10" s="259"/>
    </row>
    <row r="11" spans="1:32" ht="13.5">
      <c r="A11" s="262" t="s">
        <v>141</v>
      </c>
      <c r="B11" s="228">
        <v>1756951098</v>
      </c>
      <c r="C11" s="228">
        <v>12211360681</v>
      </c>
      <c r="D11" s="228">
        <v>15134300270</v>
      </c>
      <c r="E11" s="228">
        <v>14213538242</v>
      </c>
      <c r="F11" s="233">
        <v>12958534727</v>
      </c>
      <c r="G11" s="228">
        <v>17203239354</v>
      </c>
      <c r="H11" s="228">
        <v>18768301397</v>
      </c>
      <c r="I11" s="228">
        <v>8970923781</v>
      </c>
      <c r="J11" s="227">
        <v>10926526922</v>
      </c>
      <c r="K11" s="228">
        <v>11832675844</v>
      </c>
      <c r="L11" s="228">
        <v>18588318563.707451</v>
      </c>
      <c r="M11" s="228">
        <v>36620402527</v>
      </c>
      <c r="N11" s="229">
        <f t="shared" si="15"/>
        <v>179185073406.70746</v>
      </c>
      <c r="O11" s="230">
        <f>N11+'Summary 2021'!P15+'Summary 2022'!N14</f>
        <v>751907521024.60254</v>
      </c>
      <c r="P11" s="231">
        <f t="shared" si="2"/>
        <v>75.535300859845222</v>
      </c>
      <c r="Q11" s="231">
        <f t="shared" si="3"/>
        <v>517.86940971162005</v>
      </c>
      <c r="R11" s="231">
        <f t="shared" si="4"/>
        <v>650.09880884879726</v>
      </c>
      <c r="S11" s="231">
        <f t="shared" si="5"/>
        <v>610.80955058014615</v>
      </c>
      <c r="T11" s="231">
        <f t="shared" si="6"/>
        <v>556.16028871244635</v>
      </c>
      <c r="U11" s="231">
        <f t="shared" si="7"/>
        <v>735.34</v>
      </c>
      <c r="V11" s="231">
        <f t="shared" si="8"/>
        <v>798.82108520961901</v>
      </c>
      <c r="W11" s="231">
        <f t="shared" si="9"/>
        <v>375.67</v>
      </c>
      <c r="X11" s="231">
        <f t="shared" si="10"/>
        <v>453.38</v>
      </c>
      <c r="Y11" s="231">
        <f t="shared" si="11"/>
        <v>485.54</v>
      </c>
      <c r="Z11" s="231">
        <f t="shared" si="12"/>
        <v>772.26</v>
      </c>
      <c r="AA11" s="231">
        <f t="shared" si="13"/>
        <v>1522.68</v>
      </c>
      <c r="AB11" s="232">
        <f t="shared" si="14"/>
        <v>7554.1644439224747</v>
      </c>
      <c r="AC11" s="257">
        <f>+N14+N24</f>
        <v>57481252703</v>
      </c>
      <c r="AD11" s="259">
        <f>+N9+N10+N12+N13+N15+N16+N17+N18+N19+N20+N21+N22+N23+N25</f>
        <v>136577831187</v>
      </c>
    </row>
    <row r="12" spans="1:32" ht="13.5">
      <c r="A12" s="262" t="s">
        <v>134</v>
      </c>
      <c r="B12" s="233"/>
      <c r="C12" s="233"/>
      <c r="D12" s="233"/>
      <c r="E12" s="233"/>
      <c r="F12" s="233">
        <v>3255800000</v>
      </c>
      <c r="G12" s="233"/>
      <c r="H12" s="233"/>
      <c r="I12" s="233"/>
      <c r="J12" s="233"/>
      <c r="K12" s="233"/>
      <c r="L12" s="233"/>
      <c r="M12" s="233"/>
      <c r="N12" s="229">
        <f t="shared" si="15"/>
        <v>3255800000</v>
      </c>
      <c r="O12" s="230">
        <f>N12+'Summary 2021'!P17+'Summary 2022'!N15</f>
        <v>99734300000</v>
      </c>
      <c r="P12" s="234">
        <f t="shared" si="2"/>
        <v>0</v>
      </c>
      <c r="Q12" s="231">
        <f t="shared" si="3"/>
        <v>0</v>
      </c>
      <c r="R12" s="231">
        <f t="shared" si="4"/>
        <v>0</v>
      </c>
      <c r="S12" s="231">
        <f t="shared" si="5"/>
        <v>0</v>
      </c>
      <c r="T12" s="231">
        <f t="shared" si="6"/>
        <v>139.73390557939913</v>
      </c>
      <c r="U12" s="231">
        <f t="shared" si="7"/>
        <v>0</v>
      </c>
      <c r="V12" s="231">
        <f t="shared" si="8"/>
        <v>0</v>
      </c>
      <c r="W12" s="231">
        <f t="shared" si="9"/>
        <v>0</v>
      </c>
      <c r="X12" s="231">
        <f t="shared" si="10"/>
        <v>0</v>
      </c>
      <c r="Y12" s="231">
        <f t="shared" si="11"/>
        <v>0</v>
      </c>
      <c r="Z12" s="231">
        <f t="shared" si="12"/>
        <v>0</v>
      </c>
      <c r="AA12" s="231">
        <f t="shared" si="13"/>
        <v>0</v>
      </c>
      <c r="AB12" s="232">
        <f t="shared" si="14"/>
        <v>139.73390557939913</v>
      </c>
      <c r="AC12" s="257"/>
      <c r="AD12" s="259"/>
    </row>
    <row r="13" spans="1:32" ht="13.5">
      <c r="A13" s="262" t="s">
        <v>135</v>
      </c>
      <c r="B13" s="233"/>
      <c r="C13" s="233">
        <v>61880625</v>
      </c>
      <c r="D13" s="233">
        <v>56051417</v>
      </c>
      <c r="E13" s="233">
        <v>57151417</v>
      </c>
      <c r="F13" s="233">
        <v>45112899</v>
      </c>
      <c r="G13" s="233">
        <v>39198852</v>
      </c>
      <c r="H13" s="233">
        <v>42498852</v>
      </c>
      <c r="I13" s="233">
        <v>39568342</v>
      </c>
      <c r="J13" s="233">
        <v>39198852</v>
      </c>
      <c r="K13" s="233">
        <v>49397949</v>
      </c>
      <c r="L13" s="233">
        <v>58180907</v>
      </c>
      <c r="M13" s="233">
        <v>111585866</v>
      </c>
      <c r="N13" s="229">
        <f t="shared" si="15"/>
        <v>599825978</v>
      </c>
      <c r="O13" s="230">
        <f>N13+'Summary 2021'!P18+'Summary 2022'!N16</f>
        <v>2016729934</v>
      </c>
      <c r="P13" s="234">
        <f t="shared" si="2"/>
        <v>0</v>
      </c>
      <c r="Q13" s="231">
        <f t="shared" si="3"/>
        <v>2.6242843511450382</v>
      </c>
      <c r="R13" s="231">
        <f t="shared" si="4"/>
        <v>2.4077069158075601</v>
      </c>
      <c r="S13" s="231">
        <f t="shared" si="5"/>
        <v>2.4560127632144391</v>
      </c>
      <c r="T13" s="231">
        <f t="shared" si="6"/>
        <v>1.9361759227467812</v>
      </c>
      <c r="U13" s="231">
        <f t="shared" si="7"/>
        <v>1.68</v>
      </c>
      <c r="V13" s="231">
        <f t="shared" si="8"/>
        <v>1.8088466482230261</v>
      </c>
      <c r="W13" s="231">
        <f t="shared" si="9"/>
        <v>1.66</v>
      </c>
      <c r="X13" s="231">
        <f t="shared" si="10"/>
        <v>1.63</v>
      </c>
      <c r="Y13" s="231">
        <f t="shared" si="11"/>
        <v>2.0299999999999998</v>
      </c>
      <c r="Z13" s="231">
        <f t="shared" si="12"/>
        <v>2.42</v>
      </c>
      <c r="AA13" s="231">
        <f t="shared" si="13"/>
        <v>4.6399999999999997</v>
      </c>
      <c r="AB13" s="232">
        <f t="shared" si="14"/>
        <v>25.293026601136845</v>
      </c>
      <c r="AC13" s="257"/>
      <c r="AD13" s="259"/>
    </row>
    <row r="14" spans="1:32" ht="13.5">
      <c r="A14" s="262" t="s">
        <v>136</v>
      </c>
      <c r="B14" s="233">
        <v>1093910708</v>
      </c>
      <c r="C14" s="233">
        <v>7131457520</v>
      </c>
      <c r="D14" s="233">
        <v>16245309292</v>
      </c>
      <c r="E14" s="233">
        <v>2988782129</v>
      </c>
      <c r="F14" s="233">
        <v>4931219729</v>
      </c>
      <c r="G14" s="233"/>
      <c r="H14" s="233"/>
      <c r="I14" s="233"/>
      <c r="J14" s="233"/>
      <c r="K14" s="233"/>
      <c r="L14" s="233"/>
      <c r="M14" s="233"/>
      <c r="N14" s="229">
        <f t="shared" si="15"/>
        <v>32390679378</v>
      </c>
      <c r="O14" s="230">
        <f>N14+'Summary 2021'!P19+'Summary 2022'!N17</f>
        <v>609340091084</v>
      </c>
      <c r="P14" s="234">
        <f t="shared" si="2"/>
        <v>47.0296950988822</v>
      </c>
      <c r="Q14" s="231">
        <f t="shared" si="3"/>
        <v>302.43670568278202</v>
      </c>
      <c r="R14" s="231">
        <f t="shared" si="4"/>
        <v>697.82256408934711</v>
      </c>
      <c r="S14" s="231">
        <f t="shared" si="5"/>
        <v>128.43928358401376</v>
      </c>
      <c r="T14" s="231">
        <f t="shared" si="6"/>
        <v>211.64033171673819</v>
      </c>
      <c r="U14" s="231">
        <f t="shared" si="7"/>
        <v>0</v>
      </c>
      <c r="V14" s="231">
        <f t="shared" si="8"/>
        <v>0</v>
      </c>
      <c r="W14" s="231">
        <f t="shared" si="9"/>
        <v>0</v>
      </c>
      <c r="X14" s="231">
        <f t="shared" si="10"/>
        <v>0</v>
      </c>
      <c r="Y14" s="231">
        <f t="shared" si="11"/>
        <v>0</v>
      </c>
      <c r="Z14" s="231">
        <f t="shared" si="12"/>
        <v>0</v>
      </c>
      <c r="AA14" s="231">
        <f t="shared" si="13"/>
        <v>0</v>
      </c>
      <c r="AB14" s="232">
        <f t="shared" si="14"/>
        <v>1387.3685801717634</v>
      </c>
      <c r="AC14" s="257"/>
      <c r="AD14" s="257"/>
    </row>
    <row r="15" spans="1:32" ht="13.5">
      <c r="A15" s="262" t="s">
        <v>153</v>
      </c>
      <c r="B15" s="233"/>
      <c r="C15" s="233">
        <v>945595741</v>
      </c>
      <c r="D15" s="233">
        <v>947467542</v>
      </c>
      <c r="E15" s="233">
        <v>1005468229</v>
      </c>
      <c r="F15" s="233">
        <v>977701227</v>
      </c>
      <c r="G15" s="233">
        <v>989423109</v>
      </c>
      <c r="H15" s="233">
        <v>1022966832</v>
      </c>
      <c r="I15" s="233"/>
      <c r="J15" s="233"/>
      <c r="K15" s="233"/>
      <c r="L15" s="233"/>
      <c r="M15" s="233"/>
      <c r="N15" s="229">
        <f t="shared" si="15"/>
        <v>5888622680</v>
      </c>
      <c r="O15" s="230">
        <f>N15+'Summary 2021'!P20+'Summary 2022'!N18</f>
        <v>17441999735</v>
      </c>
      <c r="P15" s="234">
        <f t="shared" si="2"/>
        <v>0</v>
      </c>
      <c r="Q15" s="231">
        <f t="shared" si="3"/>
        <v>40.101600551314675</v>
      </c>
      <c r="R15" s="231">
        <f t="shared" si="4"/>
        <v>40.698777577319589</v>
      </c>
      <c r="S15" s="231">
        <f t="shared" si="5"/>
        <v>43.208776493339066</v>
      </c>
      <c r="T15" s="231">
        <f t="shared" si="6"/>
        <v>41.961426051502144</v>
      </c>
      <c r="U15" s="231">
        <f t="shared" si="7"/>
        <v>42.29</v>
      </c>
      <c r="V15" s="231">
        <f t="shared" si="8"/>
        <v>43.539767269631838</v>
      </c>
      <c r="W15" s="231">
        <f t="shared" si="9"/>
        <v>0</v>
      </c>
      <c r="X15" s="231">
        <f t="shared" si="10"/>
        <v>0</v>
      </c>
      <c r="Y15" s="231">
        <f t="shared" si="11"/>
        <v>0</v>
      </c>
      <c r="Z15" s="231">
        <f t="shared" si="12"/>
        <v>0</v>
      </c>
      <c r="AA15" s="231">
        <f t="shared" si="13"/>
        <v>0</v>
      </c>
      <c r="AB15" s="232">
        <f t="shared" si="14"/>
        <v>251.80034794310728</v>
      </c>
      <c r="AC15" s="257"/>
      <c r="AD15" s="257"/>
    </row>
    <row r="16" spans="1:32" ht="13.5">
      <c r="A16" s="262" t="s">
        <v>137</v>
      </c>
      <c r="B16" s="233"/>
      <c r="C16" s="233"/>
      <c r="D16" s="233"/>
      <c r="E16" s="233"/>
      <c r="F16" s="233"/>
      <c r="G16" s="233"/>
      <c r="H16" s="233"/>
      <c r="I16" s="233"/>
      <c r="J16" s="233"/>
      <c r="K16" s="233"/>
      <c r="L16" s="233"/>
      <c r="M16" s="233">
        <v>19096000000</v>
      </c>
      <c r="N16" s="229">
        <f t="shared" si="15"/>
        <v>19096000000</v>
      </c>
      <c r="O16" s="230">
        <f>+N16</f>
        <v>19096000000</v>
      </c>
      <c r="P16" s="234"/>
      <c r="Q16" s="234"/>
      <c r="R16" s="234"/>
      <c r="S16" s="234"/>
      <c r="T16" s="231">
        <f t="shared" si="6"/>
        <v>0</v>
      </c>
      <c r="U16" s="234"/>
      <c r="V16" s="231">
        <f t="shared" si="8"/>
        <v>0</v>
      </c>
      <c r="W16" s="231">
        <f t="shared" si="9"/>
        <v>0</v>
      </c>
      <c r="X16" s="231">
        <f t="shared" si="10"/>
        <v>0</v>
      </c>
      <c r="Y16" s="231">
        <f t="shared" si="11"/>
        <v>0</v>
      </c>
      <c r="Z16" s="231">
        <f t="shared" si="12"/>
        <v>0</v>
      </c>
      <c r="AA16" s="231">
        <f t="shared" si="13"/>
        <v>794.01</v>
      </c>
      <c r="AB16" s="232">
        <f t="shared" si="14"/>
        <v>794.01</v>
      </c>
      <c r="AC16" s="257"/>
      <c r="AD16" s="257"/>
    </row>
    <row r="17" spans="1:32" ht="13.5">
      <c r="A17" s="262" t="s">
        <v>138</v>
      </c>
      <c r="B17" s="233"/>
      <c r="C17" s="233"/>
      <c r="D17" s="233"/>
      <c r="E17" s="233"/>
      <c r="F17" s="233">
        <v>14918178000</v>
      </c>
      <c r="G17" s="233"/>
      <c r="H17" s="233"/>
      <c r="I17" s="233"/>
      <c r="J17" s="233"/>
      <c r="K17" s="233"/>
      <c r="L17" s="233"/>
      <c r="M17" s="233">
        <v>14918178000</v>
      </c>
      <c r="N17" s="229">
        <f t="shared" si="15"/>
        <v>29836356000</v>
      </c>
      <c r="O17" s="230">
        <f>N17+'Summary 2022'!N20</f>
        <v>39781808000</v>
      </c>
      <c r="P17" s="234">
        <f t="shared" ref="P17:S18" si="16">B17/$P$44</f>
        <v>0</v>
      </c>
      <c r="Q17" s="234">
        <f t="shared" si="16"/>
        <v>0</v>
      </c>
      <c r="R17" s="234">
        <f t="shared" si="16"/>
        <v>0</v>
      </c>
      <c r="S17" s="234">
        <f t="shared" si="16"/>
        <v>0</v>
      </c>
      <c r="T17" s="231">
        <f t="shared" si="6"/>
        <v>640.26515021459227</v>
      </c>
      <c r="U17" s="234">
        <f>G17/$P$44</f>
        <v>0</v>
      </c>
      <c r="V17" s="231">
        <f t="shared" si="8"/>
        <v>0</v>
      </c>
      <c r="W17" s="231">
        <f t="shared" si="9"/>
        <v>0</v>
      </c>
      <c r="X17" s="231">
        <f t="shared" si="10"/>
        <v>0</v>
      </c>
      <c r="Y17" s="231">
        <f t="shared" si="11"/>
        <v>0</v>
      </c>
      <c r="Z17" s="231">
        <f t="shared" si="12"/>
        <v>0</v>
      </c>
      <c r="AA17" s="231">
        <f t="shared" si="13"/>
        <v>620.29999999999995</v>
      </c>
      <c r="AB17" s="232">
        <f t="shared" si="14"/>
        <v>1260.5651502145922</v>
      </c>
      <c r="AC17" s="257"/>
      <c r="AD17" s="257"/>
    </row>
    <row r="18" spans="1:32" ht="13.5">
      <c r="A18" s="262" t="s">
        <v>139</v>
      </c>
      <c r="B18" s="233"/>
      <c r="C18" s="233"/>
      <c r="D18" s="233"/>
      <c r="E18" s="233"/>
      <c r="F18" s="233">
        <v>14918178000</v>
      </c>
      <c r="G18" s="233"/>
      <c r="H18" s="233"/>
      <c r="I18" s="233"/>
      <c r="J18" s="233"/>
      <c r="K18" s="233"/>
      <c r="L18" s="233"/>
      <c r="M18" s="233"/>
      <c r="N18" s="229">
        <f t="shared" si="15"/>
        <v>14918178000</v>
      </c>
      <c r="O18" s="230">
        <f>N18+'Summary 2022'!N21</f>
        <v>24863630000</v>
      </c>
      <c r="P18" s="234">
        <f t="shared" si="16"/>
        <v>0</v>
      </c>
      <c r="Q18" s="234">
        <f t="shared" si="16"/>
        <v>0</v>
      </c>
      <c r="R18" s="234">
        <f t="shared" si="16"/>
        <v>0</v>
      </c>
      <c r="S18" s="234">
        <f t="shared" si="16"/>
        <v>0</v>
      </c>
      <c r="T18" s="231">
        <f t="shared" si="6"/>
        <v>640.26515021459227</v>
      </c>
      <c r="U18" s="234">
        <f>G18/$P$44</f>
        <v>0</v>
      </c>
      <c r="V18" s="231">
        <f t="shared" si="8"/>
        <v>0</v>
      </c>
      <c r="W18" s="231">
        <f t="shared" si="9"/>
        <v>0</v>
      </c>
      <c r="X18" s="231">
        <f t="shared" si="10"/>
        <v>0</v>
      </c>
      <c r="Y18" s="231">
        <f t="shared" si="11"/>
        <v>0</v>
      </c>
      <c r="Z18" s="231">
        <f t="shared" si="12"/>
        <v>0</v>
      </c>
      <c r="AA18" s="231">
        <f t="shared" si="13"/>
        <v>0</v>
      </c>
      <c r="AB18" s="232">
        <f t="shared" si="14"/>
        <v>640.26515021459227</v>
      </c>
      <c r="AC18" s="257"/>
      <c r="AD18" s="257"/>
    </row>
    <row r="19" spans="1:32" ht="13.5">
      <c r="A19" s="262" t="s">
        <v>140</v>
      </c>
      <c r="B19" s="233"/>
      <c r="C19" s="233"/>
      <c r="D19" s="233"/>
      <c r="E19" s="233"/>
      <c r="F19" s="233"/>
      <c r="G19" s="233"/>
      <c r="H19" s="233"/>
      <c r="I19" s="233"/>
      <c r="J19" s="233"/>
      <c r="K19" s="233"/>
      <c r="L19" s="233"/>
      <c r="M19" s="233"/>
      <c r="N19" s="229">
        <f t="shared" si="15"/>
        <v>0</v>
      </c>
      <c r="O19" s="230">
        <f>+N19</f>
        <v>0</v>
      </c>
      <c r="P19" s="234">
        <f>B19/$P$44</f>
        <v>0</v>
      </c>
      <c r="Q19" s="234"/>
      <c r="R19" s="234"/>
      <c r="S19" s="234"/>
      <c r="T19" s="231">
        <f t="shared" si="6"/>
        <v>0</v>
      </c>
      <c r="U19" s="234"/>
      <c r="V19" s="231">
        <f t="shared" si="8"/>
        <v>0</v>
      </c>
      <c r="W19" s="231">
        <f t="shared" si="9"/>
        <v>0</v>
      </c>
      <c r="X19" s="231">
        <f t="shared" si="10"/>
        <v>0</v>
      </c>
      <c r="Y19" s="231">
        <f t="shared" si="11"/>
        <v>0</v>
      </c>
      <c r="Z19" s="231">
        <f t="shared" si="12"/>
        <v>0</v>
      </c>
      <c r="AA19" s="231">
        <f t="shared" si="13"/>
        <v>0</v>
      </c>
      <c r="AB19" s="232">
        <f t="shared" si="14"/>
        <v>0</v>
      </c>
      <c r="AC19" s="257"/>
      <c r="AD19" s="257"/>
    </row>
    <row r="20" spans="1:32" ht="13.5">
      <c r="A20" s="263" t="s">
        <v>146</v>
      </c>
      <c r="B20" s="233"/>
      <c r="C20" s="233"/>
      <c r="D20" s="233"/>
      <c r="E20" s="233"/>
      <c r="F20" s="233"/>
      <c r="G20" s="233"/>
      <c r="H20" s="233"/>
      <c r="I20" s="233"/>
      <c r="J20" s="233"/>
      <c r="K20" s="233"/>
      <c r="L20" s="233"/>
      <c r="M20" s="233"/>
      <c r="N20" s="229">
        <f t="shared" si="15"/>
        <v>0</v>
      </c>
      <c r="O20" s="230"/>
      <c r="P20" s="234"/>
      <c r="Q20" s="234"/>
      <c r="R20" s="234"/>
      <c r="S20" s="234"/>
      <c r="T20" s="234"/>
      <c r="U20" s="234"/>
      <c r="V20" s="231">
        <f t="shared" si="8"/>
        <v>0</v>
      </c>
      <c r="W20" s="231">
        <f t="shared" si="9"/>
        <v>0</v>
      </c>
      <c r="X20" s="231">
        <f t="shared" si="10"/>
        <v>0</v>
      </c>
      <c r="Y20" s="231">
        <f t="shared" si="11"/>
        <v>0</v>
      </c>
      <c r="Z20" s="231">
        <f t="shared" si="12"/>
        <v>0</v>
      </c>
      <c r="AA20" s="231">
        <f t="shared" si="13"/>
        <v>0</v>
      </c>
      <c r="AB20" s="232">
        <f t="shared" si="14"/>
        <v>0</v>
      </c>
      <c r="AC20" s="257"/>
      <c r="AD20" s="257"/>
    </row>
    <row r="21" spans="1:32" ht="13.5">
      <c r="A21" s="263" t="s">
        <v>147</v>
      </c>
      <c r="B21" s="233"/>
      <c r="C21" s="233"/>
      <c r="D21" s="233"/>
      <c r="E21" s="233"/>
      <c r="F21" s="233"/>
      <c r="G21" s="233"/>
      <c r="H21" s="233"/>
      <c r="I21" s="233"/>
      <c r="J21" s="233"/>
      <c r="K21" s="233">
        <v>9529112000</v>
      </c>
      <c r="L21" s="233"/>
      <c r="M21" s="233"/>
      <c r="N21" s="229">
        <f t="shared" si="15"/>
        <v>9529112000</v>
      </c>
      <c r="O21" s="230">
        <f t="shared" ref="O21:O22" si="17">+N21</f>
        <v>9529112000</v>
      </c>
      <c r="P21" s="234"/>
      <c r="Q21" s="234"/>
      <c r="R21" s="234"/>
      <c r="S21" s="234"/>
      <c r="T21" s="234"/>
      <c r="U21" s="234"/>
      <c r="V21" s="231">
        <f t="shared" si="8"/>
        <v>0</v>
      </c>
      <c r="W21" s="231">
        <f t="shared" si="9"/>
        <v>0</v>
      </c>
      <c r="X21" s="231">
        <f t="shared" si="10"/>
        <v>0</v>
      </c>
      <c r="Y21" s="231">
        <f t="shared" si="11"/>
        <v>391.02</v>
      </c>
      <c r="Z21" s="231">
        <f t="shared" si="12"/>
        <v>0</v>
      </c>
      <c r="AA21" s="231">
        <f t="shared" si="13"/>
        <v>0</v>
      </c>
      <c r="AB21" s="232">
        <f t="shared" si="14"/>
        <v>391.02</v>
      </c>
      <c r="AC21" s="257"/>
      <c r="AD21" s="257"/>
    </row>
    <row r="22" spans="1:32" ht="13.5">
      <c r="A22" s="263" t="s">
        <v>148</v>
      </c>
      <c r="B22" s="233"/>
      <c r="C22" s="233"/>
      <c r="D22" s="233"/>
      <c r="E22" s="233"/>
      <c r="F22" s="233"/>
      <c r="G22" s="233"/>
      <c r="H22" s="233"/>
      <c r="I22" s="233">
        <v>1643943161</v>
      </c>
      <c r="J22" s="233">
        <v>3287886324</v>
      </c>
      <c r="K22" s="233">
        <v>3287886324</v>
      </c>
      <c r="L22" s="233"/>
      <c r="M22" s="233"/>
      <c r="N22" s="229">
        <f t="shared" si="15"/>
        <v>8219715809</v>
      </c>
      <c r="O22" s="230">
        <f t="shared" si="17"/>
        <v>8219715809</v>
      </c>
      <c r="P22" s="234"/>
      <c r="Q22" s="234"/>
      <c r="R22" s="234"/>
      <c r="S22" s="234"/>
      <c r="T22" s="234"/>
      <c r="U22" s="234"/>
      <c r="V22" s="231">
        <f t="shared" si="8"/>
        <v>0</v>
      </c>
      <c r="W22" s="231">
        <f t="shared" si="9"/>
        <v>68.84</v>
      </c>
      <c r="X22" s="231">
        <f t="shared" si="10"/>
        <v>136.43</v>
      </c>
      <c r="Y22" s="231">
        <f t="shared" si="11"/>
        <v>134.91999999999999</v>
      </c>
      <c r="Z22" s="231">
        <f t="shared" si="12"/>
        <v>0</v>
      </c>
      <c r="AA22" s="231">
        <f t="shared" si="13"/>
        <v>0</v>
      </c>
      <c r="AB22" s="232">
        <f t="shared" si="14"/>
        <v>340.19</v>
      </c>
      <c r="AC22" s="257"/>
      <c r="AD22" s="257"/>
    </row>
    <row r="23" spans="1:32" ht="13.5">
      <c r="A23" s="263" t="s">
        <v>149</v>
      </c>
      <c r="B23" s="233"/>
      <c r="C23" s="233"/>
      <c r="D23" s="233"/>
      <c r="E23" s="233"/>
      <c r="F23" s="233"/>
      <c r="G23" s="233"/>
      <c r="H23" s="233">
        <v>2338750000</v>
      </c>
      <c r="I23" s="233">
        <v>2338750000</v>
      </c>
      <c r="J23" s="233">
        <v>2338750000</v>
      </c>
      <c r="K23" s="233">
        <v>2338750000</v>
      </c>
      <c r="L23" s="233">
        <v>2338750000</v>
      </c>
      <c r="M23" s="233">
        <v>2338750000</v>
      </c>
      <c r="N23" s="229">
        <f>SUM(B23:M23)</f>
        <v>14032500000</v>
      </c>
      <c r="O23" s="230">
        <f>+N23</f>
        <v>14032500000</v>
      </c>
      <c r="P23" s="234"/>
      <c r="Q23" s="234"/>
      <c r="R23" s="234"/>
      <c r="S23" s="234"/>
      <c r="T23" s="234"/>
      <c r="U23" s="234"/>
      <c r="V23" s="231">
        <f t="shared" si="8"/>
        <v>99.542455841668442</v>
      </c>
      <c r="W23" s="231">
        <f t="shared" si="9"/>
        <v>97.94</v>
      </c>
      <c r="X23" s="231">
        <f t="shared" si="10"/>
        <v>97.04</v>
      </c>
      <c r="Y23" s="231">
        <f t="shared" si="11"/>
        <v>95.97</v>
      </c>
      <c r="Z23" s="231">
        <f t="shared" si="12"/>
        <v>97.16</v>
      </c>
      <c r="AA23" s="231">
        <f t="shared" si="13"/>
        <v>97.25</v>
      </c>
      <c r="AB23" s="232">
        <f t="shared" si="14"/>
        <v>584.90245584166837</v>
      </c>
      <c r="AC23" s="257"/>
      <c r="AD23" s="257"/>
    </row>
    <row r="24" spans="1:32" ht="13.5">
      <c r="A24" s="263" t="s">
        <v>156</v>
      </c>
      <c r="B24" s="233"/>
      <c r="C24" s="233"/>
      <c r="D24" s="233"/>
      <c r="E24" s="233"/>
      <c r="F24" s="233"/>
      <c r="G24" s="233"/>
      <c r="H24" s="233"/>
      <c r="I24" s="233"/>
      <c r="J24" s="233"/>
      <c r="K24" s="233"/>
      <c r="L24" s="233"/>
      <c r="M24" s="233">
        <v>25090573325</v>
      </c>
      <c r="N24" s="229">
        <f>SUM(B24:M24)</f>
        <v>25090573325</v>
      </c>
      <c r="O24" s="230">
        <f t="shared" ref="O24:O25" si="18">+N24</f>
        <v>25090573325</v>
      </c>
      <c r="P24" s="234"/>
      <c r="Q24" s="234"/>
      <c r="R24" s="234"/>
      <c r="S24" s="234"/>
      <c r="T24" s="234"/>
      <c r="U24" s="234"/>
      <c r="V24" s="234"/>
      <c r="W24" s="234"/>
      <c r="X24" s="234"/>
      <c r="Y24" s="234"/>
      <c r="Z24" s="231">
        <f t="shared" si="12"/>
        <v>0</v>
      </c>
      <c r="AA24" s="231">
        <f t="shared" si="13"/>
        <v>1043.27</v>
      </c>
      <c r="AB24" s="232">
        <f t="shared" si="14"/>
        <v>1043.27</v>
      </c>
      <c r="AC24" s="257"/>
      <c r="AD24" s="257"/>
    </row>
    <row r="25" spans="1:32" ht="13.5">
      <c r="A25" s="263" t="s">
        <v>158</v>
      </c>
      <c r="B25" s="233"/>
      <c r="C25" s="233"/>
      <c r="D25" s="233"/>
      <c r="E25" s="233"/>
      <c r="F25" s="233"/>
      <c r="G25" s="233"/>
      <c r="H25" s="233"/>
      <c r="I25" s="233"/>
      <c r="J25" s="233"/>
      <c r="K25" s="233"/>
      <c r="L25" s="233"/>
      <c r="M25" s="233">
        <v>2688974000</v>
      </c>
      <c r="N25" s="229">
        <f>SUM(B25:M25)</f>
        <v>2688974000</v>
      </c>
      <c r="O25" s="230">
        <f t="shared" si="18"/>
        <v>2688974000</v>
      </c>
      <c r="P25" s="234"/>
      <c r="Q25" s="234"/>
      <c r="R25" s="234"/>
      <c r="S25" s="234"/>
      <c r="T25" s="234"/>
      <c r="U25" s="234"/>
      <c r="V25" s="234"/>
      <c r="W25" s="234"/>
      <c r="X25" s="234"/>
      <c r="Y25" s="234"/>
      <c r="Z25" s="234"/>
      <c r="AA25" s="231">
        <f t="shared" si="13"/>
        <v>111.81</v>
      </c>
      <c r="AB25" s="232">
        <f t="shared" si="14"/>
        <v>111.81</v>
      </c>
      <c r="AC25" s="257"/>
      <c r="AD25" s="257"/>
    </row>
    <row r="26" spans="1:32" ht="13.5">
      <c r="A26" s="223" t="s">
        <v>15</v>
      </c>
      <c r="B26" s="224">
        <f t="shared" ref="B26:G26" si="19">SUM(B27:B41)</f>
        <v>2944206360</v>
      </c>
      <c r="C26" s="224">
        <f t="shared" si="19"/>
        <v>20667136528</v>
      </c>
      <c r="D26" s="224">
        <f t="shared" si="19"/>
        <v>31088136200</v>
      </c>
      <c r="E26" s="224">
        <f t="shared" si="19"/>
        <v>18858121426</v>
      </c>
      <c r="F26" s="224">
        <f t="shared" si="19"/>
        <v>31798215294</v>
      </c>
      <c r="G26" s="224">
        <f t="shared" si="19"/>
        <v>18913102631</v>
      </c>
      <c r="H26" s="224">
        <f>SUM(H27:H41)</f>
        <v>22231130910</v>
      </c>
      <c r="I26" s="224">
        <f>SUM(I27:I41)</f>
        <v>12316138222</v>
      </c>
      <c r="J26" s="224">
        <f t="shared" ref="J26:X26" si="20">SUM(J27:J41)</f>
        <v>15255682224</v>
      </c>
      <c r="K26" s="224">
        <f t="shared" si="20"/>
        <v>21605813970</v>
      </c>
      <c r="L26" s="224">
        <f>SUM(L27:L43)</f>
        <v>15654690835</v>
      </c>
      <c r="M26" s="224">
        <f>SUM(M27:M43)</f>
        <v>83980823508</v>
      </c>
      <c r="N26" s="224">
        <f>SUM(N27:N43)</f>
        <v>295313198108</v>
      </c>
      <c r="O26" s="224" t="e">
        <f>SUM(O27:O43)</f>
        <v>#REF!</v>
      </c>
      <c r="P26" s="224">
        <f t="shared" si="20"/>
        <v>126.57808942390369</v>
      </c>
      <c r="Q26" s="224">
        <f t="shared" si="20"/>
        <v>876.46889431721797</v>
      </c>
      <c r="R26" s="224">
        <f t="shared" si="20"/>
        <v>1335.4010395189005</v>
      </c>
      <c r="S26" s="224">
        <f t="shared" si="20"/>
        <v>810.4048743446499</v>
      </c>
      <c r="T26" s="224">
        <f t="shared" si="20"/>
        <v>1364.7302701287556</v>
      </c>
      <c r="U26" s="224">
        <f t="shared" si="20"/>
        <v>808.42</v>
      </c>
      <c r="V26" s="224">
        <f t="shared" si="20"/>
        <v>946.20689125345802</v>
      </c>
      <c r="W26" s="224">
        <f t="shared" si="20"/>
        <v>515.75</v>
      </c>
      <c r="X26" s="224">
        <f t="shared" si="20"/>
        <v>633.02</v>
      </c>
      <c r="Y26" s="224">
        <f>SUM(Y27:Y41)</f>
        <v>886.58</v>
      </c>
      <c r="Z26" s="224">
        <f>SUM(Z27:Z43)</f>
        <v>650.38999999999987</v>
      </c>
      <c r="AA26" s="224">
        <f>SUM(AA27:AA43)</f>
        <v>3491.9300000000003</v>
      </c>
      <c r="AB26" s="224">
        <f>SUM(AB27:AB43)</f>
        <v>12445.880058986881</v>
      </c>
      <c r="AC26" s="257">
        <f>+M26-'[5]IS (01)'!$K$14</f>
        <v>0</v>
      </c>
      <c r="AD26" s="257">
        <f>+'[5]IS (01)'!$F$14-AA26</f>
        <v>0</v>
      </c>
      <c r="AE26" s="265">
        <f>+N26-'[5]IS (01)'!$L$14</f>
        <v>0</v>
      </c>
      <c r="AF26" s="265">
        <f>+AB26-'[5]IS (01)'!$G$14</f>
        <v>2.3078986881955643E-2</v>
      </c>
    </row>
    <row r="27" spans="1:32" ht="13.5">
      <c r="A27" s="262" t="s">
        <v>142</v>
      </c>
      <c r="B27" s="225">
        <v>201744845</v>
      </c>
      <c r="C27" s="225">
        <v>1614244060</v>
      </c>
      <c r="D27" s="225">
        <v>1558132762</v>
      </c>
      <c r="E27" s="225">
        <v>1607701430</v>
      </c>
      <c r="F27" s="226">
        <v>1586210075</v>
      </c>
      <c r="G27" s="225">
        <v>1693938517</v>
      </c>
      <c r="H27" s="227">
        <v>1432660821</v>
      </c>
      <c r="I27" s="227"/>
      <c r="J27" s="227"/>
      <c r="K27" s="227"/>
      <c r="L27" s="227"/>
      <c r="M27" s="228"/>
      <c r="N27" s="229">
        <f>SUM(B27:M27)</f>
        <v>9694632510</v>
      </c>
      <c r="O27" s="230" t="e">
        <f>'Summary 2021'!P25+N27+'Summary 2022'!N23</f>
        <v>#REF!</v>
      </c>
      <c r="P27" s="231">
        <f t="shared" ref="P27:P34" si="21">B27/$P$44</f>
        <v>8.6734671109200345</v>
      </c>
      <c r="Q27" s="231">
        <f t="shared" ref="Q27:Q34" si="22">C27/$Q$44</f>
        <v>68.458187446988973</v>
      </c>
      <c r="R27" s="231">
        <f t="shared" ref="R27:R34" si="23">D27/$R$44</f>
        <v>66.930101460481097</v>
      </c>
      <c r="S27" s="231">
        <f t="shared" ref="S27:S34" si="24">E27/$S$44</f>
        <v>69.089017189514394</v>
      </c>
      <c r="T27" s="231">
        <f t="shared" ref="T27:T33" si="25">F27/$T$44</f>
        <v>68.077685622317603</v>
      </c>
      <c r="U27" s="231">
        <f t="shared" ref="U27:U34" si="26">ROUND(G27/$U$44,2)</f>
        <v>72.41</v>
      </c>
      <c r="V27" s="231">
        <f t="shared" ref="V27:V41" si="27">H27/$V$44</f>
        <v>60.977264141306662</v>
      </c>
      <c r="W27" s="231">
        <f t="shared" ref="W27:W41" si="28">ROUND(I27/$W$44,2)</f>
        <v>0</v>
      </c>
      <c r="X27" s="231">
        <f t="shared" ref="X27:X41" si="29">ROUND(J27/$X$44,2)</f>
        <v>0</v>
      </c>
      <c r="Y27" s="231">
        <f t="shared" ref="Y27:Y41" si="30">ROUND(K27/$Y$44,2)</f>
        <v>0</v>
      </c>
      <c r="Z27" s="231">
        <f>ROUND(L27/$Z$44,2)</f>
        <v>0</v>
      </c>
      <c r="AA27" s="231">
        <f t="shared" ref="AA27:AA43" si="31">ROUND(M27/$AA$44,2)</f>
        <v>0</v>
      </c>
      <c r="AB27" s="232">
        <f>SUM(P27:AA27)</f>
        <v>414.61572297152867</v>
      </c>
      <c r="AC27" s="257"/>
    </row>
    <row r="28" spans="1:32" ht="13.5">
      <c r="A28" s="262" t="s">
        <v>133</v>
      </c>
      <c r="B28" s="228">
        <v>189794629</v>
      </c>
      <c r="C28" s="228">
        <v>1322501077</v>
      </c>
      <c r="D28" s="228">
        <v>1329311454</v>
      </c>
      <c r="E28" s="228">
        <v>1333939357</v>
      </c>
      <c r="F28" s="233">
        <v>1393729029</v>
      </c>
      <c r="G28" s="225">
        <v>1319796871</v>
      </c>
      <c r="H28" s="227">
        <v>1351573831</v>
      </c>
      <c r="I28" s="227">
        <v>1369105106</v>
      </c>
      <c r="J28" s="227">
        <v>1401545936</v>
      </c>
      <c r="K28" s="227">
        <v>1367299614</v>
      </c>
      <c r="L28" s="227">
        <v>1270847881</v>
      </c>
      <c r="M28" s="228">
        <v>2586604992</v>
      </c>
      <c r="N28" s="229">
        <f t="shared" ref="N28:N39" si="32">SUM(B28:M28)</f>
        <v>16236049777</v>
      </c>
      <c r="O28" s="230">
        <f>+N28+'Summary 2022'!O25</f>
        <v>73651520304</v>
      </c>
      <c r="P28" s="231">
        <f t="shared" si="21"/>
        <v>8.1597003009458291</v>
      </c>
      <c r="Q28" s="231">
        <f t="shared" si="22"/>
        <v>56.085711492790502</v>
      </c>
      <c r="R28" s="231">
        <f t="shared" si="23"/>
        <v>57.101007474226805</v>
      </c>
      <c r="S28" s="231">
        <f t="shared" si="24"/>
        <v>57.32442445208423</v>
      </c>
      <c r="T28" s="231">
        <f t="shared" si="25"/>
        <v>59.816696523605152</v>
      </c>
      <c r="U28" s="231">
        <f t="shared" si="26"/>
        <v>56.41</v>
      </c>
      <c r="V28" s="231">
        <f t="shared" si="27"/>
        <v>57.526019621195999</v>
      </c>
      <c r="W28" s="231">
        <f t="shared" si="28"/>
        <v>57.33</v>
      </c>
      <c r="X28" s="231">
        <f t="shared" si="29"/>
        <v>58.16</v>
      </c>
      <c r="Y28" s="231">
        <f t="shared" si="30"/>
        <v>56.11</v>
      </c>
      <c r="Z28" s="231">
        <f t="shared" ref="Z28:Z42" si="33">ROUND(L28/$Z$44,2)</f>
        <v>52.8</v>
      </c>
      <c r="AA28" s="231">
        <f t="shared" si="31"/>
        <v>107.55</v>
      </c>
      <c r="AB28" s="232">
        <f t="shared" ref="AB28:AB43" si="34">SUM(P28:AA28)</f>
        <v>684.3735598648484</v>
      </c>
      <c r="AC28" s="257"/>
      <c r="AD28" s="257"/>
    </row>
    <row r="29" spans="1:32" ht="13.5">
      <c r="A29" s="262" t="s">
        <v>141</v>
      </c>
      <c r="B29" s="228">
        <v>1527844675</v>
      </c>
      <c r="C29" s="228">
        <v>10618999248</v>
      </c>
      <c r="D29" s="228">
        <v>13160787515</v>
      </c>
      <c r="E29" s="228">
        <v>12360092855</v>
      </c>
      <c r="F29" s="233">
        <v>11268741799</v>
      </c>
      <c r="G29" s="228">
        <v>14959936942</v>
      </c>
      <c r="H29" s="228">
        <v>16320914895</v>
      </c>
      <c r="I29" s="228">
        <v>7801115320</v>
      </c>
      <c r="J29" s="227">
        <v>9501707811</v>
      </c>
      <c r="K29" s="228">
        <v>10289694914</v>
      </c>
      <c r="L29" s="228">
        <v>16164401823</v>
      </c>
      <c r="M29" s="228">
        <v>31845102037</v>
      </c>
      <c r="N29" s="229">
        <f t="shared" si="32"/>
        <v>155819339834</v>
      </c>
      <c r="O29" s="230">
        <f>'Summary 2021'!P29+N29+'Summary 2022'!N26</f>
        <v>653858780284</v>
      </c>
      <c r="P29" s="231">
        <f t="shared" si="21"/>
        <v>65.685497635425619</v>
      </c>
      <c r="Q29" s="231">
        <f t="shared" si="22"/>
        <v>450.33923867684479</v>
      </c>
      <c r="R29" s="231">
        <f t="shared" si="23"/>
        <v>565.32592418384877</v>
      </c>
      <c r="S29" s="231">
        <f t="shared" si="24"/>
        <v>531.15998517404387</v>
      </c>
      <c r="T29" s="231">
        <f t="shared" si="25"/>
        <v>483.63698708154504</v>
      </c>
      <c r="U29" s="231">
        <f t="shared" si="26"/>
        <v>639.45000000000005</v>
      </c>
      <c r="V29" s="231">
        <f t="shared" si="27"/>
        <v>694.65481570546922</v>
      </c>
      <c r="W29" s="231">
        <f t="shared" si="28"/>
        <v>326.68</v>
      </c>
      <c r="X29" s="231">
        <f t="shared" si="29"/>
        <v>394.26</v>
      </c>
      <c r="Y29" s="231">
        <f t="shared" si="30"/>
        <v>422.23</v>
      </c>
      <c r="Z29" s="231">
        <f t="shared" si="33"/>
        <v>671.56</v>
      </c>
      <c r="AA29" s="231">
        <f t="shared" si="31"/>
        <v>1324.12</v>
      </c>
      <c r="AB29" s="232">
        <f t="shared" si="34"/>
        <v>6569.1024484571763</v>
      </c>
      <c r="AC29" s="257">
        <f>+N32+N42</f>
        <v>45674927157</v>
      </c>
      <c r="AD29" s="259">
        <f>+N27+N28+N30+N31+N33+N34+N35+N36+N37+N38+N39+N40+N41+N43</f>
        <v>93818931117</v>
      </c>
    </row>
    <row r="30" spans="1:32" ht="13.5">
      <c r="A30" s="262" t="s">
        <v>134</v>
      </c>
      <c r="B30" s="227"/>
      <c r="C30" s="227"/>
      <c r="D30" s="227"/>
      <c r="E30" s="227"/>
      <c r="F30" s="227">
        <v>1847348815</v>
      </c>
      <c r="G30" s="227"/>
      <c r="H30" s="227"/>
      <c r="I30" s="227"/>
      <c r="J30" s="227"/>
      <c r="K30" s="228"/>
      <c r="L30" s="228"/>
      <c r="M30" s="228"/>
      <c r="N30" s="229">
        <f t="shared" si="32"/>
        <v>1847348815</v>
      </c>
      <c r="O30" s="230">
        <f>'Summary 2021'!P31+N30+'Summary 2022'!N27</f>
        <v>16355604103</v>
      </c>
      <c r="P30" s="231">
        <f t="shared" si="21"/>
        <v>0</v>
      </c>
      <c r="Q30" s="231">
        <f t="shared" si="22"/>
        <v>0</v>
      </c>
      <c r="R30" s="231">
        <f t="shared" si="23"/>
        <v>0</v>
      </c>
      <c r="S30" s="231">
        <f t="shared" si="24"/>
        <v>0</v>
      </c>
      <c r="T30" s="231">
        <f t="shared" si="25"/>
        <v>79.285356866952796</v>
      </c>
      <c r="U30" s="231">
        <f t="shared" si="26"/>
        <v>0</v>
      </c>
      <c r="V30" s="231">
        <f t="shared" si="27"/>
        <v>0</v>
      </c>
      <c r="W30" s="231">
        <f t="shared" si="28"/>
        <v>0</v>
      </c>
      <c r="X30" s="231">
        <f t="shared" si="29"/>
        <v>0</v>
      </c>
      <c r="Y30" s="231">
        <f t="shared" si="30"/>
        <v>0</v>
      </c>
      <c r="Z30" s="231">
        <f t="shared" si="33"/>
        <v>0</v>
      </c>
      <c r="AA30" s="231">
        <f t="shared" si="31"/>
        <v>0</v>
      </c>
      <c r="AB30" s="232">
        <f t="shared" si="34"/>
        <v>79.285356866952796</v>
      </c>
      <c r="AC30" s="257"/>
      <c r="AD30" s="257"/>
    </row>
    <row r="31" spans="1:32" ht="13.5">
      <c r="A31" s="262" t="s">
        <v>135</v>
      </c>
      <c r="B31" s="227">
        <v>57855113</v>
      </c>
      <c r="C31" s="227">
        <v>50955834</v>
      </c>
      <c r="D31" s="227">
        <v>51955834</v>
      </c>
      <c r="E31" s="227">
        <v>41011726</v>
      </c>
      <c r="F31" s="227">
        <v>35635320</v>
      </c>
      <c r="G31" s="227">
        <v>35635320</v>
      </c>
      <c r="H31" s="227">
        <v>35971220</v>
      </c>
      <c r="I31" s="227">
        <v>35635320</v>
      </c>
      <c r="J31" s="227">
        <v>46507226</v>
      </c>
      <c r="K31" s="227">
        <v>56028234</v>
      </c>
      <c r="L31" s="227">
        <v>50955834</v>
      </c>
      <c r="M31" s="228">
        <v>45749363</v>
      </c>
      <c r="N31" s="229">
        <f t="shared" si="32"/>
        <v>543896344</v>
      </c>
      <c r="O31" s="230">
        <f>+N31+'Summary 2022'!O28</f>
        <v>1761015435</v>
      </c>
      <c r="P31" s="231">
        <f t="shared" si="21"/>
        <v>2.4873221410146176</v>
      </c>
      <c r="Q31" s="231">
        <f t="shared" si="22"/>
        <v>2.1609768447837152</v>
      </c>
      <c r="R31" s="231">
        <f t="shared" si="23"/>
        <v>2.2317798109965636</v>
      </c>
      <c r="S31" s="231">
        <f t="shared" si="24"/>
        <v>1.7624291362269016</v>
      </c>
      <c r="T31" s="231">
        <f t="shared" si="25"/>
        <v>1.5294128755364806</v>
      </c>
      <c r="U31" s="231">
        <f t="shared" si="26"/>
        <v>1.52</v>
      </c>
      <c r="V31" s="231">
        <f t="shared" si="27"/>
        <v>1.5310159608427325</v>
      </c>
      <c r="W31" s="231">
        <f t="shared" si="28"/>
        <v>1.49</v>
      </c>
      <c r="X31" s="231">
        <f t="shared" si="29"/>
        <v>1.93</v>
      </c>
      <c r="Y31" s="231">
        <f t="shared" si="30"/>
        <v>2.2999999999999998</v>
      </c>
      <c r="Z31" s="231">
        <f t="shared" si="33"/>
        <v>2.12</v>
      </c>
      <c r="AA31" s="231">
        <f t="shared" si="31"/>
        <v>1.9</v>
      </c>
      <c r="AB31" s="232">
        <f t="shared" si="34"/>
        <v>22.962936769401011</v>
      </c>
      <c r="AC31" s="257"/>
      <c r="AD31" s="257"/>
    </row>
    <row r="32" spans="1:32" ht="13.5">
      <c r="A32" s="262" t="s">
        <v>136</v>
      </c>
      <c r="B32" s="227">
        <v>951264752</v>
      </c>
      <c r="C32" s="227">
        <v>6201515459</v>
      </c>
      <c r="D32" s="227">
        <f>14119206674+7714286</f>
        <v>14126920960</v>
      </c>
      <c r="E32" s="227">
        <v>2599044939</v>
      </c>
      <c r="F32" s="227"/>
      <c r="G32" s="227"/>
      <c r="H32" s="227"/>
      <c r="I32" s="227"/>
      <c r="J32" s="227"/>
      <c r="K32" s="227"/>
      <c r="L32" s="227"/>
      <c r="M32" s="228"/>
      <c r="N32" s="229">
        <f t="shared" si="32"/>
        <v>23878746110</v>
      </c>
      <c r="O32" s="230">
        <f>'Summary 2021'!P33+N32+'Summary 2022'!N29</f>
        <v>531703579600</v>
      </c>
      <c r="P32" s="231">
        <f t="shared" si="21"/>
        <v>40.89702287188306</v>
      </c>
      <c r="Q32" s="231">
        <f t="shared" si="22"/>
        <v>262.99895924512299</v>
      </c>
      <c r="R32" s="231">
        <f>D32/$R$44</f>
        <v>606.82650171821308</v>
      </c>
      <c r="S32" s="231">
        <f t="shared" si="24"/>
        <v>111.69080098839707</v>
      </c>
      <c r="T32" s="231">
        <f t="shared" si="25"/>
        <v>0</v>
      </c>
      <c r="U32" s="231">
        <f t="shared" si="26"/>
        <v>0</v>
      </c>
      <c r="V32" s="231">
        <f t="shared" si="27"/>
        <v>0</v>
      </c>
      <c r="W32" s="231">
        <f t="shared" si="28"/>
        <v>0</v>
      </c>
      <c r="X32" s="231">
        <f t="shared" si="29"/>
        <v>0</v>
      </c>
      <c r="Y32" s="231">
        <f t="shared" si="30"/>
        <v>0</v>
      </c>
      <c r="Z32" s="231">
        <f t="shared" si="33"/>
        <v>0</v>
      </c>
      <c r="AA32" s="231">
        <f t="shared" si="31"/>
        <v>0</v>
      </c>
      <c r="AB32" s="232">
        <f t="shared" si="34"/>
        <v>1022.4132848236162</v>
      </c>
      <c r="AC32" s="257"/>
      <c r="AD32" s="260"/>
    </row>
    <row r="33" spans="1:30" ht="13.5">
      <c r="A33" s="262" t="s">
        <v>153</v>
      </c>
      <c r="B33" s="235">
        <v>15702346</v>
      </c>
      <c r="C33" s="235">
        <v>858920850</v>
      </c>
      <c r="D33" s="235">
        <v>861027675</v>
      </c>
      <c r="E33" s="235">
        <v>916331119</v>
      </c>
      <c r="F33" s="235">
        <v>886550205</v>
      </c>
      <c r="G33" s="227">
        <v>903794981</v>
      </c>
      <c r="H33" s="235">
        <v>926198562</v>
      </c>
      <c r="I33" s="235"/>
      <c r="J33" s="235"/>
      <c r="K33" s="235"/>
      <c r="L33" s="235"/>
      <c r="M33" s="233"/>
      <c r="N33" s="229">
        <f t="shared" si="32"/>
        <v>5368525738</v>
      </c>
      <c r="O33" s="230">
        <f>'Summary 2021'!P34+N33+'Summary 2022'!N30</f>
        <v>15827833051</v>
      </c>
      <c r="P33" s="231">
        <f t="shared" si="21"/>
        <v>0.67507936371453137</v>
      </c>
      <c r="Q33" s="231">
        <f t="shared" si="22"/>
        <v>36.425820610687026</v>
      </c>
      <c r="R33" s="231">
        <f>D33/$R$44</f>
        <v>36.985724871134018</v>
      </c>
      <c r="S33" s="231">
        <f t="shared" si="24"/>
        <v>39.378217404383328</v>
      </c>
      <c r="T33" s="231">
        <f t="shared" si="25"/>
        <v>38.049365021459231</v>
      </c>
      <c r="U33" s="231">
        <f t="shared" si="26"/>
        <v>38.630000000000003</v>
      </c>
      <c r="V33" s="231">
        <f t="shared" si="27"/>
        <v>39.421092232389867</v>
      </c>
      <c r="W33" s="231">
        <f t="shared" si="28"/>
        <v>0</v>
      </c>
      <c r="X33" s="231">
        <f t="shared" si="29"/>
        <v>0</v>
      </c>
      <c r="Y33" s="231">
        <f t="shared" si="30"/>
        <v>0</v>
      </c>
      <c r="Z33" s="231">
        <f t="shared" si="33"/>
        <v>0</v>
      </c>
      <c r="AA33" s="231">
        <f t="shared" si="31"/>
        <v>0</v>
      </c>
      <c r="AB33" s="232">
        <f t="shared" si="34"/>
        <v>229.56529950376799</v>
      </c>
      <c r="AC33" s="257"/>
      <c r="AD33" s="260"/>
    </row>
    <row r="34" spans="1:30" ht="13.5">
      <c r="A34" s="262" t="s">
        <v>137</v>
      </c>
      <c r="B34" s="235"/>
      <c r="C34" s="235"/>
      <c r="D34" s="235"/>
      <c r="E34" s="235"/>
      <c r="F34" s="235"/>
      <c r="G34" s="235"/>
      <c r="H34" s="235"/>
      <c r="I34" s="235"/>
      <c r="J34" s="235"/>
      <c r="K34" s="235"/>
      <c r="L34" s="235"/>
      <c r="M34" s="233">
        <v>8408398062</v>
      </c>
      <c r="N34" s="229">
        <f t="shared" si="32"/>
        <v>8408398062</v>
      </c>
      <c r="O34" s="230">
        <f>+N34</f>
        <v>8408398062</v>
      </c>
      <c r="P34" s="231">
        <f t="shared" si="21"/>
        <v>0</v>
      </c>
      <c r="Q34" s="231">
        <f t="shared" si="22"/>
        <v>0</v>
      </c>
      <c r="R34" s="231">
        <f t="shared" si="23"/>
        <v>0</v>
      </c>
      <c r="S34" s="231">
        <f t="shared" si="24"/>
        <v>0</v>
      </c>
      <c r="T34" s="231">
        <f t="shared" ref="T34:T37" si="35">F34/$T$44</f>
        <v>0</v>
      </c>
      <c r="U34" s="231">
        <f t="shared" si="26"/>
        <v>0</v>
      </c>
      <c r="V34" s="231">
        <f t="shared" si="27"/>
        <v>0</v>
      </c>
      <c r="W34" s="231">
        <f t="shared" si="28"/>
        <v>0</v>
      </c>
      <c r="X34" s="231">
        <f t="shared" si="29"/>
        <v>0</v>
      </c>
      <c r="Y34" s="231">
        <f t="shared" si="30"/>
        <v>0</v>
      </c>
      <c r="Z34" s="231">
        <f t="shared" si="33"/>
        <v>0</v>
      </c>
      <c r="AA34" s="231">
        <f t="shared" si="31"/>
        <v>349.62</v>
      </c>
      <c r="AB34" s="232">
        <f t="shared" si="34"/>
        <v>349.62</v>
      </c>
      <c r="AC34" s="257"/>
      <c r="AD34" s="284"/>
    </row>
    <row r="35" spans="1:30" ht="13.5">
      <c r="A35" s="262" t="s">
        <v>138</v>
      </c>
      <c r="B35" s="227"/>
      <c r="C35" s="227"/>
      <c r="D35" s="227"/>
      <c r="E35" s="227"/>
      <c r="F35" s="227">
        <v>7613799252</v>
      </c>
      <c r="G35" s="227"/>
      <c r="H35" s="227"/>
      <c r="I35" s="227"/>
      <c r="J35" s="227"/>
      <c r="K35" s="227"/>
      <c r="L35" s="227"/>
      <c r="M35" s="233">
        <v>14845491604</v>
      </c>
      <c r="N35" s="229">
        <f t="shared" si="32"/>
        <v>22459290856</v>
      </c>
      <c r="O35" s="230">
        <f>+'Summary 2022'!O32+N35</f>
        <v>23418628627</v>
      </c>
      <c r="P35" s="231">
        <v>0</v>
      </c>
      <c r="Q35" s="231">
        <v>0</v>
      </c>
      <c r="R35" s="231">
        <v>0</v>
      </c>
      <c r="S35" s="231">
        <v>0</v>
      </c>
      <c r="T35" s="231">
        <f t="shared" si="35"/>
        <v>326.7725000858369</v>
      </c>
      <c r="U35" s="231">
        <v>0</v>
      </c>
      <c r="V35" s="231">
        <f t="shared" si="27"/>
        <v>0</v>
      </c>
      <c r="W35" s="231">
        <f t="shared" si="28"/>
        <v>0</v>
      </c>
      <c r="X35" s="231">
        <f t="shared" si="29"/>
        <v>0</v>
      </c>
      <c r="Y35" s="231">
        <f t="shared" si="30"/>
        <v>0</v>
      </c>
      <c r="Z35" s="231">
        <f t="shared" si="33"/>
        <v>0</v>
      </c>
      <c r="AA35" s="231">
        <f t="shared" si="31"/>
        <v>617.28</v>
      </c>
      <c r="AB35" s="232">
        <f t="shared" si="34"/>
        <v>944.05250008583687</v>
      </c>
      <c r="AC35" s="257"/>
      <c r="AD35" s="260"/>
    </row>
    <row r="36" spans="1:30" ht="13.5">
      <c r="A36" s="262" t="s">
        <v>139</v>
      </c>
      <c r="B36" s="227"/>
      <c r="C36" s="227"/>
      <c r="D36" s="227"/>
      <c r="E36" s="227"/>
      <c r="F36" s="227">
        <v>7166200799</v>
      </c>
      <c r="G36" s="227"/>
      <c r="H36" s="227"/>
      <c r="I36" s="227"/>
      <c r="J36" s="227"/>
      <c r="K36" s="227"/>
      <c r="L36" s="227"/>
      <c r="M36" s="228"/>
      <c r="N36" s="229">
        <f t="shared" si="32"/>
        <v>7166200799</v>
      </c>
      <c r="O36" s="230">
        <f>+'Summary 2022'!O33+N36</f>
        <v>7898426540</v>
      </c>
      <c r="P36" s="231">
        <v>0</v>
      </c>
      <c r="Q36" s="231">
        <v>0</v>
      </c>
      <c r="R36" s="231">
        <v>0</v>
      </c>
      <c r="S36" s="231">
        <v>0</v>
      </c>
      <c r="T36" s="231">
        <f t="shared" si="35"/>
        <v>307.56226605150215</v>
      </c>
      <c r="U36" s="231">
        <v>0</v>
      </c>
      <c r="V36" s="231">
        <f t="shared" si="27"/>
        <v>0</v>
      </c>
      <c r="W36" s="231">
        <f t="shared" si="28"/>
        <v>0</v>
      </c>
      <c r="X36" s="231">
        <f t="shared" si="29"/>
        <v>0</v>
      </c>
      <c r="Y36" s="231">
        <f t="shared" si="30"/>
        <v>0</v>
      </c>
      <c r="Z36" s="231">
        <f t="shared" si="33"/>
        <v>0</v>
      </c>
      <c r="AA36" s="231">
        <f t="shared" si="31"/>
        <v>0</v>
      </c>
      <c r="AB36" s="232">
        <f t="shared" si="34"/>
        <v>307.56226605150215</v>
      </c>
      <c r="AC36" s="257"/>
      <c r="AD36" s="260"/>
    </row>
    <row r="37" spans="1:30" ht="13.5">
      <c r="A37" s="263" t="s">
        <v>140</v>
      </c>
      <c r="B37" s="235"/>
      <c r="C37" s="235"/>
      <c r="D37" s="235"/>
      <c r="E37" s="235"/>
      <c r="F37" s="235"/>
      <c r="G37" s="235"/>
      <c r="H37" s="235"/>
      <c r="I37" s="235"/>
      <c r="J37" s="235"/>
      <c r="K37" s="235"/>
      <c r="L37" s="235"/>
      <c r="M37" s="233"/>
      <c r="N37" s="229">
        <f t="shared" si="32"/>
        <v>0</v>
      </c>
      <c r="O37" s="230">
        <f>+'Summary 2022'!O34+N37</f>
        <v>0</v>
      </c>
      <c r="P37" s="231">
        <v>0</v>
      </c>
      <c r="Q37" s="231">
        <v>0</v>
      </c>
      <c r="R37" s="231">
        <v>0</v>
      </c>
      <c r="S37" s="231">
        <v>0</v>
      </c>
      <c r="T37" s="231">
        <f t="shared" si="35"/>
        <v>0</v>
      </c>
      <c r="U37" s="231">
        <v>0</v>
      </c>
      <c r="V37" s="231">
        <f t="shared" si="27"/>
        <v>0</v>
      </c>
      <c r="W37" s="231">
        <f t="shared" si="28"/>
        <v>0</v>
      </c>
      <c r="X37" s="231">
        <f t="shared" si="29"/>
        <v>0</v>
      </c>
      <c r="Y37" s="231">
        <f t="shared" si="30"/>
        <v>0</v>
      </c>
      <c r="Z37" s="231">
        <f t="shared" si="33"/>
        <v>0</v>
      </c>
      <c r="AA37" s="231">
        <f t="shared" si="31"/>
        <v>0</v>
      </c>
      <c r="AB37" s="232">
        <f t="shared" si="34"/>
        <v>0</v>
      </c>
      <c r="AC37" s="257"/>
      <c r="AD37" s="260"/>
    </row>
    <row r="38" spans="1:30" ht="13.5">
      <c r="A38" s="263" t="s">
        <v>146</v>
      </c>
      <c r="B38" s="235"/>
      <c r="C38" s="235"/>
      <c r="D38" s="235"/>
      <c r="E38" s="235"/>
      <c r="F38" s="235"/>
      <c r="G38" s="235"/>
      <c r="H38" s="235"/>
      <c r="I38" s="235"/>
      <c r="J38" s="235"/>
      <c r="K38" s="235"/>
      <c r="L38" s="235"/>
      <c r="M38" s="233"/>
      <c r="N38" s="229">
        <f t="shared" si="32"/>
        <v>0</v>
      </c>
      <c r="O38" s="230">
        <f>+'Summary 2022'!O35+N38</f>
        <v>0</v>
      </c>
      <c r="P38" s="234"/>
      <c r="Q38" s="234"/>
      <c r="R38" s="234"/>
      <c r="S38" s="234"/>
      <c r="T38" s="234"/>
      <c r="U38" s="234"/>
      <c r="V38" s="231">
        <f t="shared" si="27"/>
        <v>0</v>
      </c>
      <c r="W38" s="231">
        <f t="shared" si="28"/>
        <v>0</v>
      </c>
      <c r="X38" s="231">
        <f t="shared" si="29"/>
        <v>0</v>
      </c>
      <c r="Y38" s="231">
        <f t="shared" si="30"/>
        <v>0</v>
      </c>
      <c r="Z38" s="231">
        <f t="shared" si="33"/>
        <v>0</v>
      </c>
      <c r="AA38" s="231">
        <f t="shared" si="31"/>
        <v>0</v>
      </c>
      <c r="AB38" s="232">
        <f t="shared" si="34"/>
        <v>0</v>
      </c>
      <c r="AC38" s="257"/>
      <c r="AD38" s="260"/>
    </row>
    <row r="39" spans="1:30" ht="13.5">
      <c r="A39" s="263" t="s">
        <v>147</v>
      </c>
      <c r="B39" s="235"/>
      <c r="C39" s="235"/>
      <c r="D39" s="235"/>
      <c r="E39" s="235"/>
      <c r="F39" s="235"/>
      <c r="G39" s="235"/>
      <c r="H39" s="235"/>
      <c r="I39" s="235"/>
      <c r="J39" s="235"/>
      <c r="K39" s="235">
        <v>4596545242</v>
      </c>
      <c r="L39" s="235">
        <v>-3913798724</v>
      </c>
      <c r="M39" s="233"/>
      <c r="N39" s="229">
        <f t="shared" si="32"/>
        <v>682746518</v>
      </c>
      <c r="O39" s="230">
        <f>+N39</f>
        <v>682746518</v>
      </c>
      <c r="P39" s="234"/>
      <c r="Q39" s="234"/>
      <c r="R39" s="234"/>
      <c r="S39" s="234"/>
      <c r="T39" s="234"/>
      <c r="U39" s="234"/>
      <c r="V39" s="231">
        <f t="shared" si="27"/>
        <v>0</v>
      </c>
      <c r="W39" s="231">
        <f t="shared" si="28"/>
        <v>0</v>
      </c>
      <c r="X39" s="231">
        <f t="shared" si="29"/>
        <v>0</v>
      </c>
      <c r="Y39" s="231">
        <f t="shared" si="30"/>
        <v>188.61</v>
      </c>
      <c r="Z39" s="231">
        <f t="shared" si="33"/>
        <v>-162.6</v>
      </c>
      <c r="AA39" s="231">
        <f t="shared" si="31"/>
        <v>0</v>
      </c>
      <c r="AB39" s="232">
        <f t="shared" si="34"/>
        <v>26.010000000000019</v>
      </c>
      <c r="AC39" s="257"/>
      <c r="AD39" s="260"/>
    </row>
    <row r="40" spans="1:30" ht="13.5">
      <c r="A40" s="263" t="s">
        <v>148</v>
      </c>
      <c r="B40" s="235"/>
      <c r="C40" s="235"/>
      <c r="D40" s="235"/>
      <c r="E40" s="235"/>
      <c r="F40" s="235"/>
      <c r="G40" s="235"/>
      <c r="H40" s="235"/>
      <c r="I40" s="235">
        <v>1427939449</v>
      </c>
      <c r="J40" s="235">
        <v>2190539670</v>
      </c>
      <c r="K40" s="235">
        <v>3215625058</v>
      </c>
      <c r="L40" s="235"/>
      <c r="M40" s="233"/>
      <c r="N40" s="229">
        <f>SUM(B40:M40)</f>
        <v>6834104177</v>
      </c>
      <c r="O40" s="230">
        <f>+N40</f>
        <v>6834104177</v>
      </c>
      <c r="P40" s="234"/>
      <c r="Q40" s="234"/>
      <c r="R40" s="234"/>
      <c r="S40" s="234"/>
      <c r="T40" s="234"/>
      <c r="U40" s="234"/>
      <c r="V40" s="231">
        <f t="shared" si="27"/>
        <v>0</v>
      </c>
      <c r="W40" s="231">
        <f t="shared" si="28"/>
        <v>59.8</v>
      </c>
      <c r="X40" s="231">
        <f t="shared" si="29"/>
        <v>90.89</v>
      </c>
      <c r="Y40" s="231">
        <f t="shared" si="30"/>
        <v>131.94999999999999</v>
      </c>
      <c r="Z40" s="231">
        <f t="shared" si="33"/>
        <v>0</v>
      </c>
      <c r="AA40" s="231">
        <f t="shared" si="31"/>
        <v>0</v>
      </c>
      <c r="AB40" s="232">
        <f t="shared" si="34"/>
        <v>282.64</v>
      </c>
      <c r="AC40" s="257"/>
      <c r="AD40" s="260"/>
    </row>
    <row r="41" spans="1:30" ht="13.5">
      <c r="A41" s="263" t="s">
        <v>149</v>
      </c>
      <c r="B41" s="235"/>
      <c r="C41" s="235"/>
      <c r="D41" s="235"/>
      <c r="E41" s="235"/>
      <c r="F41" s="235"/>
      <c r="G41" s="235"/>
      <c r="H41" s="235">
        <v>2163811581</v>
      </c>
      <c r="I41" s="235">
        <v>1682343027</v>
      </c>
      <c r="J41" s="235">
        <v>2115381581</v>
      </c>
      <c r="K41" s="235">
        <v>2080620908</v>
      </c>
      <c r="L41" s="235">
        <v>2082284021</v>
      </c>
      <c r="M41" s="233">
        <v>2114964612</v>
      </c>
      <c r="N41" s="229">
        <f>SUM(B41:M41)</f>
        <v>12239405730</v>
      </c>
      <c r="O41" s="230">
        <f>+N41</f>
        <v>12239405730</v>
      </c>
      <c r="P41" s="234"/>
      <c r="Q41" s="234"/>
      <c r="R41" s="234"/>
      <c r="S41" s="234"/>
      <c r="T41" s="234"/>
      <c r="U41" s="234"/>
      <c r="V41" s="231">
        <f t="shared" si="27"/>
        <v>92.096683592253669</v>
      </c>
      <c r="W41" s="231">
        <f t="shared" si="28"/>
        <v>70.45</v>
      </c>
      <c r="X41" s="231">
        <f t="shared" si="29"/>
        <v>87.78</v>
      </c>
      <c r="Y41" s="231">
        <f t="shared" si="30"/>
        <v>85.38</v>
      </c>
      <c r="Z41" s="231">
        <f t="shared" si="33"/>
        <v>86.51</v>
      </c>
      <c r="AA41" s="231">
        <f t="shared" si="31"/>
        <v>87.94</v>
      </c>
      <c r="AB41" s="232">
        <f t="shared" si="34"/>
        <v>510.15668359225361</v>
      </c>
      <c r="AC41" s="257"/>
      <c r="AD41" s="260"/>
    </row>
    <row r="42" spans="1:30" ht="13.5">
      <c r="A42" s="273" t="s">
        <v>156</v>
      </c>
      <c r="B42" s="272"/>
      <c r="C42" s="272"/>
      <c r="D42" s="272"/>
      <c r="E42" s="272"/>
      <c r="F42" s="272"/>
      <c r="G42" s="272"/>
      <c r="H42" s="272"/>
      <c r="I42" s="274"/>
      <c r="J42" s="274"/>
      <c r="K42" s="274"/>
      <c r="L42" s="274"/>
      <c r="M42" s="275">
        <v>21796181047</v>
      </c>
      <c r="N42" s="229">
        <f t="shared" ref="N42:N43" si="36">SUM(B42:M42)</f>
        <v>21796181047</v>
      </c>
      <c r="O42" s="230">
        <f t="shared" ref="O42:O43" si="37">+N42</f>
        <v>21796181047</v>
      </c>
      <c r="P42" s="276"/>
      <c r="Q42" s="276"/>
      <c r="R42" s="276"/>
      <c r="S42" s="276"/>
      <c r="T42" s="276"/>
      <c r="U42" s="276"/>
      <c r="V42" s="276"/>
      <c r="W42" s="276"/>
      <c r="X42" s="276"/>
      <c r="Y42" s="276"/>
      <c r="Z42" s="276">
        <f t="shared" si="33"/>
        <v>0</v>
      </c>
      <c r="AA42" s="231">
        <f t="shared" si="31"/>
        <v>906.29</v>
      </c>
      <c r="AB42" s="232">
        <f t="shared" si="34"/>
        <v>906.29</v>
      </c>
      <c r="AC42" s="257"/>
      <c r="AD42" s="260"/>
    </row>
    <row r="43" spans="1:30" ht="13.5">
      <c r="A43" s="263" t="s">
        <v>158</v>
      </c>
      <c r="B43" s="235"/>
      <c r="C43" s="235"/>
      <c r="D43" s="235"/>
      <c r="E43" s="235"/>
      <c r="F43" s="235"/>
      <c r="G43" s="235"/>
      <c r="H43" s="235"/>
      <c r="I43" s="235"/>
      <c r="J43" s="235"/>
      <c r="K43" s="235"/>
      <c r="L43" s="235"/>
      <c r="M43" s="233">
        <v>2338331791</v>
      </c>
      <c r="N43" s="229">
        <f t="shared" si="36"/>
        <v>2338331791</v>
      </c>
      <c r="O43" s="230">
        <f t="shared" si="37"/>
        <v>2338331791</v>
      </c>
      <c r="P43" s="234"/>
      <c r="Q43" s="234"/>
      <c r="R43" s="234"/>
      <c r="S43" s="234"/>
      <c r="T43" s="234"/>
      <c r="U43" s="234"/>
      <c r="V43" s="234"/>
      <c r="W43" s="234"/>
      <c r="X43" s="234"/>
      <c r="Y43" s="234"/>
      <c r="Z43" s="234"/>
      <c r="AA43" s="231">
        <f t="shared" si="31"/>
        <v>97.23</v>
      </c>
      <c r="AB43" s="232">
        <f t="shared" si="34"/>
        <v>97.23</v>
      </c>
      <c r="AC43" s="257"/>
      <c r="AD43" s="260"/>
    </row>
    <row r="44" spans="1:30" ht="13.5">
      <c r="A44" s="236" t="s">
        <v>19</v>
      </c>
      <c r="B44" s="236"/>
      <c r="C44" s="236"/>
      <c r="D44" s="236"/>
      <c r="E44" s="237"/>
      <c r="F44" s="237"/>
      <c r="G44" s="236"/>
      <c r="H44" s="238"/>
      <c r="I44" s="236"/>
      <c r="J44" s="236"/>
      <c r="K44" s="236"/>
      <c r="L44" s="236"/>
      <c r="M44" s="236"/>
      <c r="N44" s="236"/>
      <c r="O44" s="239"/>
      <c r="P44" s="236">
        <f>23260*1000</f>
        <v>23260000</v>
      </c>
      <c r="Q44" s="236">
        <f>23580*1000</f>
        <v>23580000</v>
      </c>
      <c r="R44" s="236">
        <f>23280*1000</f>
        <v>23280000</v>
      </c>
      <c r="S44" s="236">
        <f>23270*1000</f>
        <v>23270000</v>
      </c>
      <c r="T44" s="236">
        <f>23300*1000</f>
        <v>23300000</v>
      </c>
      <c r="U44" s="236">
        <f>23395*1000</f>
        <v>23395000</v>
      </c>
      <c r="V44" s="236">
        <f>23495*1000</f>
        <v>23495000</v>
      </c>
      <c r="W44" s="236">
        <v>23880000</v>
      </c>
      <c r="X44" s="240">
        <f>24100*1000</f>
        <v>24100000</v>
      </c>
      <c r="Y44" s="236">
        <f>24370*1000</f>
        <v>24370000</v>
      </c>
      <c r="Z44" s="236">
        <v>24070000</v>
      </c>
      <c r="AA44" s="236">
        <v>24050000</v>
      </c>
      <c r="AB44" s="236"/>
      <c r="AC44" s="236"/>
      <c r="AD44" s="236"/>
    </row>
    <row r="45" spans="1:30" ht="13.5">
      <c r="A45" s="241"/>
      <c r="B45" s="242"/>
      <c r="C45" s="242"/>
      <c r="D45" s="242"/>
      <c r="E45" s="242"/>
      <c r="F45" s="242"/>
      <c r="G45" s="241"/>
      <c r="H45" s="243"/>
      <c r="I45" s="241"/>
      <c r="J45" s="241"/>
      <c r="K45" s="241"/>
      <c r="L45" s="241"/>
      <c r="M45" s="241"/>
      <c r="N45" s="236"/>
      <c r="O45" s="236"/>
      <c r="P45" s="241"/>
      <c r="Q45" s="241"/>
      <c r="R45" s="241"/>
      <c r="S45" s="241"/>
      <c r="T45" s="244"/>
      <c r="U45" s="241"/>
      <c r="V45" s="241"/>
      <c r="W45" s="241"/>
      <c r="X45" s="241"/>
      <c r="Y45" s="241"/>
      <c r="Z45" s="241"/>
      <c r="AA45" s="241"/>
      <c r="AB45" s="241"/>
      <c r="AC45" s="236"/>
      <c r="AD45" s="236"/>
    </row>
    <row r="46" spans="1:30" ht="13.5">
      <c r="A46" s="245"/>
      <c r="B46" s="246"/>
      <c r="C46" s="246"/>
      <c r="D46" s="246"/>
      <c r="E46" s="247"/>
      <c r="F46" s="246"/>
      <c r="G46" s="246"/>
      <c r="H46" s="246"/>
      <c r="I46" s="246"/>
      <c r="J46" s="246"/>
      <c r="K46" s="246"/>
      <c r="L46" s="246"/>
      <c r="M46" s="246"/>
      <c r="N46" s="246"/>
      <c r="O46" s="248"/>
      <c r="P46" s="249"/>
      <c r="Q46" s="248"/>
      <c r="R46" s="248"/>
      <c r="S46" s="245"/>
      <c r="T46" s="245"/>
      <c r="U46" s="250"/>
      <c r="V46" s="245"/>
      <c r="W46" s="245"/>
      <c r="X46" s="245"/>
      <c r="Y46" s="245"/>
      <c r="Z46" s="245"/>
      <c r="AA46" s="245"/>
      <c r="AB46" s="246"/>
      <c r="AC46" s="248"/>
      <c r="AD46" s="248"/>
    </row>
    <row r="47" spans="1:30" ht="13.5">
      <c r="A47" s="241"/>
      <c r="B47" s="251"/>
      <c r="C47" s="252"/>
      <c r="D47" s="252"/>
      <c r="E47" s="252"/>
      <c r="F47" s="251"/>
      <c r="G47" s="251"/>
      <c r="H47" s="251"/>
      <c r="I47" s="251"/>
      <c r="J47" s="251"/>
      <c r="K47" s="251"/>
      <c r="L47" s="251"/>
      <c r="M47" s="251"/>
      <c r="N47" s="251"/>
      <c r="O47" s="251"/>
      <c r="P47" s="241"/>
      <c r="Q47" s="236"/>
      <c r="R47" s="236"/>
      <c r="S47" s="241"/>
      <c r="T47" s="241"/>
      <c r="U47" s="244"/>
      <c r="V47" s="241"/>
      <c r="W47" s="241"/>
      <c r="X47" s="241"/>
      <c r="Y47" s="241"/>
      <c r="Z47" s="241"/>
      <c r="AA47" s="241"/>
      <c r="AB47" s="251"/>
      <c r="AC47" s="236"/>
      <c r="AD47" s="236"/>
    </row>
    <row r="48" spans="1:30" ht="13.5">
      <c r="A48" s="253" t="s">
        <v>38</v>
      </c>
      <c r="B48" s="254">
        <f t="shared" ref="B48:AB48" si="38">IFERROR(B29/B11,0)</f>
        <v>0.8696000001019949</v>
      </c>
      <c r="C48" s="254">
        <f t="shared" si="38"/>
        <v>0.86959999998381832</v>
      </c>
      <c r="D48" s="254">
        <f>IFERROR(D29/D11,0)</f>
        <v>0.8696000000137436</v>
      </c>
      <c r="E48" s="255">
        <f t="shared" si="38"/>
        <v>0.8695999999828895</v>
      </c>
      <c r="F48" s="254">
        <f t="shared" si="38"/>
        <v>0.86960000003092941</v>
      </c>
      <c r="G48" s="254">
        <f t="shared" si="38"/>
        <v>0.86959999998614212</v>
      </c>
      <c r="H48" s="254">
        <f t="shared" si="38"/>
        <v>0.86960000000899385</v>
      </c>
      <c r="I48" s="254">
        <f t="shared" si="38"/>
        <v>0.86960000000472637</v>
      </c>
      <c r="J48" s="254">
        <f t="shared" si="38"/>
        <v>0.86959999996602766</v>
      </c>
      <c r="K48" s="254">
        <f t="shared" si="38"/>
        <v>0.86960000000486792</v>
      </c>
      <c r="L48" s="255">
        <f t="shared" si="38"/>
        <v>0.86960000000000004</v>
      </c>
      <c r="M48" s="255">
        <f t="shared" si="38"/>
        <v>0.8695999999869144</v>
      </c>
      <c r="N48" s="255">
        <f t="shared" si="38"/>
        <v>0.86959999999736137</v>
      </c>
      <c r="O48" s="255">
        <f t="shared" si="38"/>
        <v>0.86960000000133741</v>
      </c>
      <c r="P48" s="255">
        <f t="shared" si="38"/>
        <v>0.8696000001019949</v>
      </c>
      <c r="Q48" s="255">
        <f t="shared" si="38"/>
        <v>0.86959999998381832</v>
      </c>
      <c r="R48" s="255">
        <f t="shared" si="38"/>
        <v>0.8696000000137436</v>
      </c>
      <c r="S48" s="255">
        <f t="shared" si="38"/>
        <v>0.8695999999828895</v>
      </c>
      <c r="T48" s="255">
        <f t="shared" si="38"/>
        <v>0.86960000003092941</v>
      </c>
      <c r="U48" s="255">
        <f t="shared" si="38"/>
        <v>0.86959773710120492</v>
      </c>
      <c r="V48" s="255">
        <f t="shared" si="38"/>
        <v>0.86960000000899396</v>
      </c>
      <c r="W48" s="255">
        <f t="shared" si="38"/>
        <v>0.86959299385098621</v>
      </c>
      <c r="X48" s="255">
        <f t="shared" si="38"/>
        <v>0.86960165865278571</v>
      </c>
      <c r="Y48" s="255">
        <f t="shared" si="38"/>
        <v>0.86960909502821604</v>
      </c>
      <c r="Z48" s="255">
        <f t="shared" si="38"/>
        <v>0.86960350141144171</v>
      </c>
      <c r="AA48" s="255">
        <f t="shared" si="38"/>
        <v>0.86959833976935397</v>
      </c>
      <c r="AB48" s="255">
        <f t="shared" si="38"/>
        <v>0.86960013873436304</v>
      </c>
      <c r="AC48" s="256"/>
      <c r="AD48" s="256"/>
    </row>
    <row r="49" spans="1:30" ht="13.5">
      <c r="A49" s="241"/>
      <c r="B49" s="251"/>
      <c r="C49" s="252"/>
      <c r="D49" s="252"/>
      <c r="E49" s="252"/>
      <c r="F49" s="251"/>
      <c r="G49" s="251"/>
      <c r="H49" s="251"/>
      <c r="I49" s="251"/>
      <c r="J49" s="251"/>
      <c r="K49" s="251"/>
      <c r="L49" s="251"/>
      <c r="M49" s="251"/>
      <c r="N49" s="251"/>
      <c r="O49" s="251"/>
      <c r="P49" s="251"/>
      <c r="Q49" s="251"/>
      <c r="R49" s="251"/>
      <c r="S49" s="251"/>
      <c r="T49" s="251"/>
      <c r="U49" s="251"/>
      <c r="V49" s="251"/>
      <c r="W49" s="251"/>
      <c r="X49" s="251"/>
      <c r="Y49" s="251"/>
      <c r="Z49" s="251"/>
      <c r="AA49" s="251"/>
      <c r="AB49" s="251"/>
      <c r="AC49" s="236"/>
      <c r="AD49" s="236"/>
    </row>
    <row r="50" spans="1:30" ht="13.5">
      <c r="A50" s="253" t="s">
        <v>47</v>
      </c>
      <c r="B50" s="254">
        <f t="shared" ref="B50:Y50" si="39">IFERROR(B32/B14,0)</f>
        <v>0.8696000002954537</v>
      </c>
      <c r="C50" s="254">
        <f t="shared" si="39"/>
        <v>0.86959999994503223</v>
      </c>
      <c r="D50" s="254">
        <f>IFERROR(D32/D14,0)</f>
        <v>0.86959999998010507</v>
      </c>
      <c r="E50" s="255">
        <f t="shared" si="39"/>
        <v>0.8695999998733932</v>
      </c>
      <c r="F50" s="254">
        <f>IFERROR(F32/F14,0)</f>
        <v>0</v>
      </c>
      <c r="G50" s="254">
        <f t="shared" si="39"/>
        <v>0</v>
      </c>
      <c r="H50" s="254">
        <f t="shared" si="39"/>
        <v>0</v>
      </c>
      <c r="I50" s="254">
        <f t="shared" si="39"/>
        <v>0</v>
      </c>
      <c r="J50" s="254">
        <f t="shared" si="39"/>
        <v>0</v>
      </c>
      <c r="K50" s="254">
        <f t="shared" si="39"/>
        <v>0</v>
      </c>
      <c r="L50" s="254"/>
      <c r="M50" s="254"/>
      <c r="N50" s="255">
        <f>IFERROR(N32/N14,0)</f>
        <v>0.73721041264168818</v>
      </c>
      <c r="O50" s="255">
        <f>IFERROR(O32/O14,0)</f>
        <v>0.8725891950652932</v>
      </c>
      <c r="P50" s="255">
        <f t="shared" si="39"/>
        <v>0.8696000002954537</v>
      </c>
      <c r="Q50" s="255">
        <f t="shared" si="39"/>
        <v>0.86959999994503223</v>
      </c>
      <c r="R50" s="255">
        <f t="shared" si="39"/>
        <v>0.86959999998010507</v>
      </c>
      <c r="S50" s="255">
        <f t="shared" si="39"/>
        <v>0.86959999987339309</v>
      </c>
      <c r="T50" s="255">
        <f>IFERROR(T32/T14,0)</f>
        <v>0</v>
      </c>
      <c r="U50" s="255">
        <f t="shared" si="39"/>
        <v>0</v>
      </c>
      <c r="V50" s="255">
        <f t="shared" si="39"/>
        <v>0</v>
      </c>
      <c r="W50" s="255">
        <f t="shared" si="39"/>
        <v>0</v>
      </c>
      <c r="X50" s="255">
        <f t="shared" si="39"/>
        <v>0</v>
      </c>
      <c r="Y50" s="255">
        <f t="shared" si="39"/>
        <v>0</v>
      </c>
      <c r="Z50" s="255"/>
      <c r="AA50" s="255"/>
      <c r="AB50" s="255">
        <f>IFERROR(AB32/AB14,0)</f>
        <v>0.73694424065523823</v>
      </c>
      <c r="AC50" s="256"/>
      <c r="AD50" s="256"/>
    </row>
    <row r="51" spans="1:30" ht="13.5">
      <c r="A51" s="241"/>
      <c r="B51" s="251"/>
      <c r="C51" s="252"/>
      <c r="D51" s="252"/>
      <c r="E51" s="251"/>
      <c r="F51" s="251"/>
      <c r="G51" s="251"/>
      <c r="H51" s="251"/>
      <c r="I51" s="251"/>
      <c r="J51" s="251"/>
      <c r="K51" s="251"/>
      <c r="L51" s="251"/>
      <c r="M51" s="251"/>
      <c r="N51" s="251"/>
      <c r="O51" s="251"/>
      <c r="P51" s="241"/>
      <c r="Q51" s="241"/>
      <c r="R51" s="241"/>
      <c r="S51" s="241"/>
      <c r="T51" s="244"/>
      <c r="U51" s="241"/>
      <c r="V51" s="241"/>
      <c r="W51" s="241"/>
      <c r="X51" s="241"/>
      <c r="Y51" s="241"/>
      <c r="Z51" s="251"/>
      <c r="AA51" s="241"/>
      <c r="AB51" s="251"/>
      <c r="AC51" s="236"/>
      <c r="AD51" s="236"/>
    </row>
    <row r="52" spans="1:30" ht="13.5">
      <c r="A52" s="241"/>
      <c r="B52" s="251"/>
      <c r="C52" s="252"/>
      <c r="D52" s="252"/>
      <c r="E52" s="251"/>
      <c r="F52" s="251"/>
      <c r="G52" s="251"/>
      <c r="H52" s="251"/>
      <c r="I52" s="251"/>
      <c r="J52" s="251"/>
      <c r="K52" s="251"/>
      <c r="L52" s="251"/>
      <c r="M52" s="251"/>
      <c r="N52" s="251"/>
      <c r="O52" s="251"/>
      <c r="P52" s="241"/>
      <c r="Q52" s="241"/>
      <c r="R52" s="241"/>
      <c r="S52" s="241"/>
      <c r="T52" s="244"/>
      <c r="U52" s="241"/>
      <c r="V52" s="241"/>
      <c r="W52" s="241"/>
      <c r="X52" s="241"/>
      <c r="Y52" s="241"/>
      <c r="Z52" s="251"/>
      <c r="AA52" s="241"/>
      <c r="AB52" s="251"/>
      <c r="AC52" s="236"/>
      <c r="AD52" s="236"/>
    </row>
    <row r="53" spans="1:30" s="279" customFormat="1" ht="13.5">
      <c r="A53" s="245" t="s">
        <v>160</v>
      </c>
      <c r="B53" s="246"/>
      <c r="C53" s="247"/>
      <c r="D53" s="247"/>
      <c r="E53" s="246"/>
      <c r="F53" s="246"/>
      <c r="G53" s="246"/>
      <c r="H53" s="246"/>
      <c r="I53" s="246"/>
      <c r="J53" s="246"/>
      <c r="K53" s="246"/>
      <c r="L53" s="281"/>
      <c r="M53" s="247">
        <f>+M42/M24</f>
        <v>0.86869999998296177</v>
      </c>
      <c r="N53" s="247">
        <f>+N42/N24</f>
        <v>0.86869999998296177</v>
      </c>
      <c r="O53" s="247">
        <f>+O42/O24</f>
        <v>0.86869999998296177</v>
      </c>
      <c r="P53" s="245"/>
      <c r="Q53" s="245"/>
      <c r="R53" s="245"/>
      <c r="S53" s="245"/>
      <c r="T53" s="250"/>
      <c r="U53" s="245"/>
      <c r="V53" s="245"/>
      <c r="W53" s="245"/>
      <c r="X53" s="245"/>
      <c r="Y53" s="245"/>
      <c r="Z53" s="245"/>
      <c r="AA53" s="247">
        <f>+AA42/AA24</f>
        <v>0.86870129496678705</v>
      </c>
      <c r="AB53" s="247">
        <f>+AB42/AB24</f>
        <v>0.86870129496678705</v>
      </c>
      <c r="AC53" s="248"/>
      <c r="AD53" s="248"/>
    </row>
    <row r="54" spans="1:30" s="279" customFormat="1" ht="13.5">
      <c r="A54" s="245"/>
      <c r="B54" s="280"/>
      <c r="C54" s="280"/>
      <c r="D54" s="280"/>
      <c r="E54" s="280"/>
      <c r="F54" s="280"/>
      <c r="G54" s="245"/>
      <c r="H54" s="245"/>
      <c r="I54" s="245"/>
      <c r="J54" s="245"/>
      <c r="K54" s="245"/>
      <c r="L54" s="245"/>
      <c r="M54" s="245"/>
      <c r="N54" s="245"/>
      <c r="O54" s="245"/>
      <c r="P54" s="245"/>
      <c r="Q54" s="245"/>
      <c r="R54" s="245"/>
      <c r="S54" s="245"/>
      <c r="T54" s="250"/>
      <c r="U54" s="245"/>
      <c r="V54" s="245"/>
      <c r="W54" s="245"/>
      <c r="X54" s="245"/>
      <c r="Y54" s="245"/>
      <c r="Z54" s="245"/>
      <c r="AA54" s="245"/>
      <c r="AB54" s="245"/>
      <c r="AC54" s="248"/>
      <c r="AD54" s="248"/>
    </row>
    <row r="55" spans="1:30" s="279" customFormat="1" ht="13.5">
      <c r="A55" s="245" t="s">
        <v>161</v>
      </c>
      <c r="B55" s="280"/>
      <c r="C55" s="280"/>
      <c r="D55" s="280"/>
      <c r="E55" s="280"/>
      <c r="F55" s="280"/>
      <c r="G55" s="245"/>
      <c r="H55" s="245"/>
      <c r="I55" s="245"/>
      <c r="J55" s="245"/>
      <c r="K55" s="245"/>
      <c r="L55" s="245"/>
      <c r="M55" s="247">
        <f>+M43/M25</f>
        <v>0.86960000022313344</v>
      </c>
      <c r="N55" s="247">
        <f>+N43/N25</f>
        <v>0.86960000022313344</v>
      </c>
      <c r="O55" s="247">
        <f>+O43/O25</f>
        <v>0.86960000022313344</v>
      </c>
      <c r="P55" s="245"/>
      <c r="Q55" s="245"/>
      <c r="R55" s="245"/>
      <c r="S55" s="245"/>
      <c r="T55" s="250"/>
      <c r="U55" s="245"/>
      <c r="V55" s="245"/>
      <c r="W55" s="245"/>
      <c r="X55" s="245"/>
      <c r="Y55" s="245"/>
      <c r="Z55" s="245"/>
      <c r="AA55" s="247">
        <f>+AA43/AA25</f>
        <v>0.86960021464985249</v>
      </c>
      <c r="AB55" s="247">
        <f>+AB43/AB25</f>
        <v>0.86960021464985249</v>
      </c>
      <c r="AC55" s="248"/>
      <c r="AD55" s="248"/>
    </row>
    <row r="56" spans="1:30" ht="13.5">
      <c r="A56" s="241"/>
      <c r="B56" s="242"/>
      <c r="C56" s="242"/>
      <c r="D56" s="242"/>
      <c r="E56" s="242"/>
      <c r="F56" s="242"/>
      <c r="G56" s="241"/>
      <c r="H56" s="241"/>
      <c r="I56" s="241"/>
      <c r="J56" s="241"/>
      <c r="K56" s="241"/>
      <c r="L56" s="241"/>
      <c r="M56" s="241"/>
      <c r="N56" s="241"/>
      <c r="O56" s="241"/>
      <c r="P56" s="241"/>
      <c r="Q56" s="241"/>
      <c r="R56" s="241"/>
      <c r="S56" s="241"/>
      <c r="T56" s="244"/>
      <c r="U56" s="241"/>
      <c r="V56" s="241"/>
      <c r="W56" s="241"/>
      <c r="X56" s="241"/>
      <c r="Y56" s="241"/>
      <c r="Z56" s="241"/>
      <c r="AA56" s="241"/>
      <c r="AB56" s="241"/>
      <c r="AC56" s="236"/>
      <c r="AD56" s="236"/>
    </row>
    <row r="57" spans="1:30" ht="13.5">
      <c r="A57" s="241"/>
      <c r="B57" s="242"/>
      <c r="C57" s="242"/>
      <c r="D57" s="242"/>
      <c r="E57" s="242"/>
      <c r="F57" s="242"/>
      <c r="G57" s="241"/>
      <c r="H57" s="241"/>
      <c r="I57" s="241"/>
      <c r="J57" s="241"/>
      <c r="K57" s="241"/>
      <c r="L57" s="241"/>
      <c r="M57" s="241"/>
      <c r="N57" s="242"/>
      <c r="O57" s="241"/>
      <c r="P57" s="241"/>
      <c r="Q57" s="241"/>
      <c r="R57" s="241"/>
      <c r="S57" s="241"/>
      <c r="T57" s="244"/>
      <c r="U57" s="241"/>
      <c r="V57" s="241"/>
      <c r="W57" s="241"/>
      <c r="X57" s="241"/>
      <c r="Y57" s="241"/>
      <c r="Z57" s="241"/>
      <c r="AA57" s="241"/>
      <c r="AB57" s="241"/>
      <c r="AC57" s="236"/>
      <c r="AD57" s="236"/>
    </row>
    <row r="58" spans="1:30" ht="13.5">
      <c r="A58" s="241"/>
      <c r="B58" s="242"/>
      <c r="C58" s="242"/>
      <c r="D58" s="242"/>
      <c r="E58" s="242"/>
      <c r="F58" s="242"/>
      <c r="G58" s="241"/>
      <c r="H58" s="241"/>
      <c r="I58" s="241"/>
      <c r="J58" s="241"/>
      <c r="K58" s="241"/>
      <c r="L58" s="241"/>
      <c r="M58" s="241"/>
      <c r="N58" s="242"/>
      <c r="O58" s="241"/>
      <c r="P58" s="241"/>
      <c r="Q58" s="241"/>
      <c r="R58" s="241"/>
      <c r="S58" s="241"/>
      <c r="T58" s="244"/>
      <c r="U58" s="241"/>
      <c r="V58" s="241"/>
      <c r="W58" s="241"/>
      <c r="X58" s="241"/>
      <c r="Y58" s="241"/>
      <c r="Z58" s="241"/>
      <c r="AA58" s="241"/>
      <c r="AB58" s="241"/>
      <c r="AC58" s="236"/>
      <c r="AD58" s="236"/>
    </row>
    <row r="59" spans="1:30" ht="13.5">
      <c r="A59" s="241"/>
      <c r="B59" s="242"/>
      <c r="C59" s="242"/>
      <c r="D59" s="242"/>
      <c r="E59" s="242"/>
      <c r="F59" s="242"/>
      <c r="G59" s="241"/>
      <c r="H59" s="241"/>
      <c r="I59" s="241"/>
      <c r="J59" s="241"/>
      <c r="K59" s="241"/>
      <c r="L59" s="241"/>
      <c r="M59" s="241"/>
      <c r="N59" s="241"/>
      <c r="O59" s="241"/>
      <c r="P59" s="241"/>
      <c r="Q59" s="241"/>
      <c r="R59" s="241"/>
      <c r="S59" s="241"/>
      <c r="T59" s="244"/>
      <c r="U59" s="241"/>
      <c r="V59" s="241"/>
      <c r="W59" s="241"/>
      <c r="X59" s="241"/>
      <c r="Y59" s="241"/>
      <c r="Z59" s="241"/>
      <c r="AA59" s="241"/>
      <c r="AB59" s="241"/>
      <c r="AC59" s="236"/>
      <c r="AD59" s="236"/>
    </row>
    <row r="60" spans="1:30" ht="13.5">
      <c r="A60" s="241"/>
      <c r="B60" s="242"/>
      <c r="C60" s="242"/>
      <c r="D60" s="242"/>
      <c r="E60" s="242"/>
      <c r="F60" s="242"/>
      <c r="G60" s="241"/>
      <c r="H60" s="241"/>
      <c r="I60" s="241"/>
      <c r="J60" s="241"/>
      <c r="K60" s="241"/>
      <c r="L60" s="241"/>
      <c r="M60" s="241"/>
      <c r="N60" s="241"/>
      <c r="O60" s="241"/>
      <c r="P60" s="241"/>
      <c r="Q60" s="241"/>
      <c r="R60" s="241"/>
      <c r="S60" s="241"/>
      <c r="T60" s="244"/>
      <c r="U60" s="241"/>
      <c r="V60" s="241"/>
      <c r="W60" s="241"/>
      <c r="X60" s="241"/>
      <c r="Y60" s="241"/>
      <c r="Z60" s="241"/>
      <c r="AA60" s="241"/>
      <c r="AB60" s="241"/>
      <c r="AC60" s="236"/>
      <c r="AD60" s="236"/>
    </row>
    <row r="61" spans="1:30" ht="13.5">
      <c r="A61" s="241"/>
      <c r="B61" s="242"/>
      <c r="C61" s="242"/>
      <c r="D61" s="242"/>
      <c r="E61" s="242"/>
      <c r="F61" s="242"/>
      <c r="G61" s="241"/>
      <c r="H61" s="241"/>
      <c r="I61" s="241"/>
      <c r="J61" s="241"/>
      <c r="K61" s="241"/>
      <c r="L61" s="241"/>
      <c r="M61" s="241"/>
      <c r="N61" s="241"/>
      <c r="O61" s="241"/>
      <c r="P61" s="241"/>
      <c r="Q61" s="241"/>
      <c r="R61" s="241"/>
      <c r="S61" s="241"/>
      <c r="T61" s="244"/>
      <c r="U61" s="241"/>
      <c r="V61" s="241"/>
      <c r="W61" s="241"/>
      <c r="X61" s="241"/>
      <c r="Y61" s="241"/>
      <c r="Z61" s="241"/>
      <c r="AA61" s="241"/>
      <c r="AB61" s="241"/>
      <c r="AC61" s="236"/>
      <c r="AD61" s="236"/>
    </row>
    <row r="62" spans="1:30" ht="13.5">
      <c r="A62" s="241"/>
      <c r="B62" s="242"/>
      <c r="C62" s="242"/>
      <c r="D62" s="242"/>
      <c r="E62" s="242"/>
      <c r="F62" s="242"/>
      <c r="G62" s="241"/>
      <c r="H62" s="241"/>
      <c r="I62" s="241"/>
      <c r="J62" s="241"/>
      <c r="K62" s="241"/>
      <c r="L62" s="241"/>
      <c r="M62" s="241"/>
      <c r="N62" s="241"/>
      <c r="O62" s="241"/>
      <c r="P62" s="241"/>
      <c r="Q62" s="241"/>
      <c r="R62" s="241"/>
      <c r="S62" s="241"/>
      <c r="T62" s="244"/>
      <c r="U62" s="241"/>
      <c r="V62" s="241"/>
      <c r="W62" s="241"/>
      <c r="X62" s="241"/>
      <c r="Y62" s="241"/>
      <c r="Z62" s="241"/>
      <c r="AA62" s="241"/>
      <c r="AB62" s="241"/>
      <c r="AC62" s="236"/>
      <c r="AD62" s="236"/>
    </row>
    <row r="63" spans="1:30" ht="13.5">
      <c r="A63" s="241"/>
      <c r="B63" s="242"/>
      <c r="C63" s="242"/>
      <c r="D63" s="242"/>
      <c r="E63" s="242"/>
      <c r="F63" s="242"/>
      <c r="G63" s="241"/>
      <c r="H63" s="241"/>
      <c r="I63" s="241"/>
      <c r="J63" s="241"/>
      <c r="K63" s="241"/>
      <c r="L63" s="241"/>
      <c r="M63" s="241"/>
      <c r="N63" s="241"/>
      <c r="O63" s="241"/>
      <c r="P63" s="241"/>
      <c r="Q63" s="241"/>
      <c r="R63" s="241"/>
      <c r="S63" s="241"/>
      <c r="T63" s="244"/>
      <c r="U63" s="241"/>
      <c r="V63" s="241"/>
      <c r="W63" s="241"/>
      <c r="X63" s="241"/>
      <c r="Y63" s="241"/>
      <c r="Z63" s="241"/>
      <c r="AA63" s="241"/>
      <c r="AB63" s="241"/>
      <c r="AC63" s="236"/>
      <c r="AD63" s="236"/>
    </row>
    <row r="64" spans="1:30" ht="13.5">
      <c r="A64" s="241"/>
      <c r="B64" s="242"/>
      <c r="C64" s="242"/>
      <c r="D64" s="242"/>
      <c r="E64" s="242"/>
      <c r="F64" s="242"/>
      <c r="G64" s="241"/>
      <c r="H64" s="241"/>
      <c r="I64" s="241"/>
      <c r="J64" s="241"/>
      <c r="K64" s="241"/>
      <c r="L64" s="241"/>
      <c r="M64" s="241"/>
      <c r="N64" s="241"/>
      <c r="O64" s="241"/>
      <c r="P64" s="241"/>
      <c r="Q64" s="241"/>
      <c r="R64" s="241"/>
      <c r="S64" s="241"/>
      <c r="T64" s="244"/>
      <c r="U64" s="241"/>
      <c r="V64" s="241"/>
      <c r="W64" s="241"/>
      <c r="X64" s="241"/>
      <c r="Y64" s="241"/>
      <c r="Z64" s="241"/>
      <c r="AA64" s="241"/>
      <c r="AB64" s="241"/>
      <c r="AC64" s="236"/>
      <c r="AD64" s="236"/>
    </row>
    <row r="65" spans="1:30" ht="13.5">
      <c r="A65" s="241"/>
      <c r="B65" s="242"/>
      <c r="C65" s="242"/>
      <c r="D65" s="242"/>
      <c r="E65" s="242"/>
      <c r="F65" s="242"/>
      <c r="G65" s="241"/>
      <c r="H65" s="241"/>
      <c r="I65" s="241"/>
      <c r="J65" s="241"/>
      <c r="K65" s="241"/>
      <c r="L65" s="241"/>
      <c r="M65" s="241"/>
      <c r="N65" s="241"/>
      <c r="O65" s="241"/>
      <c r="P65" s="241"/>
      <c r="Q65" s="241"/>
      <c r="R65" s="241"/>
      <c r="S65" s="241"/>
      <c r="T65" s="244"/>
      <c r="U65" s="241"/>
      <c r="V65" s="241"/>
      <c r="W65" s="241"/>
      <c r="X65" s="241"/>
      <c r="Y65" s="241"/>
      <c r="Z65" s="241"/>
      <c r="AA65" s="241"/>
      <c r="AB65" s="241"/>
      <c r="AC65" s="236"/>
      <c r="AD65" s="236"/>
    </row>
    <row r="66" spans="1:30" ht="13.5">
      <c r="A66" s="241"/>
      <c r="B66" s="242"/>
      <c r="C66" s="242"/>
      <c r="D66" s="242"/>
      <c r="E66" s="242"/>
      <c r="F66" s="242"/>
      <c r="G66" s="241"/>
      <c r="H66" s="241"/>
      <c r="I66" s="241"/>
      <c r="J66" s="241"/>
      <c r="K66" s="241"/>
      <c r="L66" s="241"/>
      <c r="M66" s="241"/>
      <c r="N66" s="241"/>
      <c r="O66" s="241"/>
      <c r="P66" s="241"/>
      <c r="Q66" s="241"/>
      <c r="R66" s="241"/>
      <c r="S66" s="241"/>
      <c r="T66" s="244"/>
      <c r="U66" s="241"/>
      <c r="V66" s="241"/>
      <c r="W66" s="241"/>
      <c r="X66" s="241"/>
      <c r="Y66" s="241"/>
      <c r="Z66" s="241"/>
      <c r="AA66" s="241"/>
      <c r="AB66" s="241"/>
      <c r="AC66" s="236"/>
      <c r="AD66" s="236"/>
    </row>
    <row r="67" spans="1:30" ht="13.5">
      <c r="A67" s="241"/>
      <c r="B67" s="242"/>
      <c r="C67" s="242"/>
      <c r="D67" s="242"/>
      <c r="E67" s="242"/>
      <c r="F67" s="242"/>
      <c r="G67" s="241"/>
      <c r="H67" s="241"/>
      <c r="I67" s="241"/>
      <c r="J67" s="241"/>
      <c r="K67" s="241"/>
      <c r="L67" s="241"/>
      <c r="M67" s="241"/>
      <c r="N67" s="241"/>
      <c r="O67" s="241"/>
      <c r="P67" s="241"/>
      <c r="Q67" s="241"/>
      <c r="R67" s="241"/>
      <c r="S67" s="241"/>
      <c r="T67" s="244"/>
      <c r="U67" s="241"/>
      <c r="V67" s="241"/>
      <c r="W67" s="241"/>
      <c r="X67" s="241"/>
      <c r="Y67" s="241"/>
      <c r="Z67" s="241"/>
      <c r="AA67" s="241"/>
      <c r="AB67" s="241"/>
      <c r="AC67" s="236"/>
      <c r="AD67" s="236"/>
    </row>
    <row r="68" spans="1:30" ht="13.5">
      <c r="A68" s="241"/>
      <c r="B68" s="242"/>
      <c r="C68" s="242"/>
      <c r="D68" s="242"/>
      <c r="E68" s="242"/>
      <c r="F68" s="242"/>
      <c r="G68" s="241"/>
      <c r="H68" s="241"/>
      <c r="I68" s="241"/>
      <c r="J68" s="241"/>
      <c r="K68" s="241"/>
      <c r="L68" s="241"/>
      <c r="M68" s="241"/>
      <c r="N68" s="241"/>
      <c r="O68" s="241"/>
      <c r="P68" s="241"/>
      <c r="Q68" s="241"/>
      <c r="R68" s="241"/>
      <c r="S68" s="241"/>
      <c r="T68" s="244"/>
      <c r="U68" s="241"/>
      <c r="V68" s="241"/>
      <c r="W68" s="241"/>
      <c r="X68" s="241"/>
      <c r="Y68" s="241"/>
      <c r="Z68" s="241"/>
      <c r="AA68" s="241"/>
      <c r="AB68" s="241"/>
      <c r="AC68" s="236"/>
      <c r="AD68" s="236"/>
    </row>
    <row r="69" spans="1:30" ht="13.5">
      <c r="A69" s="241"/>
      <c r="B69" s="242"/>
      <c r="C69" s="242"/>
      <c r="D69" s="242"/>
      <c r="E69" s="242"/>
      <c r="F69" s="242"/>
      <c r="G69" s="241"/>
      <c r="H69" s="241"/>
      <c r="I69" s="241"/>
      <c r="J69" s="241"/>
      <c r="K69" s="241"/>
      <c r="L69" s="241"/>
      <c r="M69" s="241"/>
      <c r="N69" s="241"/>
      <c r="O69" s="241"/>
      <c r="P69" s="241"/>
      <c r="Q69" s="241"/>
      <c r="R69" s="241"/>
      <c r="S69" s="241"/>
      <c r="T69" s="244"/>
      <c r="U69" s="241"/>
      <c r="V69" s="241"/>
      <c r="W69" s="241"/>
      <c r="X69" s="241"/>
      <c r="Y69" s="241"/>
      <c r="Z69" s="241"/>
      <c r="AA69" s="241"/>
      <c r="AB69" s="241"/>
      <c r="AC69" s="236"/>
      <c r="AD69" s="236"/>
    </row>
    <row r="70" spans="1:30" ht="13.5">
      <c r="A70" s="241"/>
      <c r="B70" s="242"/>
      <c r="C70" s="242"/>
      <c r="D70" s="242"/>
      <c r="E70" s="242"/>
      <c r="F70" s="242"/>
      <c r="G70" s="241"/>
      <c r="H70" s="241"/>
      <c r="I70" s="241"/>
      <c r="J70" s="241"/>
      <c r="K70" s="241"/>
      <c r="L70" s="241"/>
      <c r="M70" s="241"/>
      <c r="N70" s="241"/>
      <c r="O70" s="241"/>
      <c r="P70" s="241"/>
      <c r="Q70" s="241"/>
      <c r="R70" s="241"/>
      <c r="S70" s="241"/>
      <c r="T70" s="244"/>
      <c r="U70" s="241"/>
      <c r="V70" s="241"/>
      <c r="W70" s="241"/>
      <c r="X70" s="241"/>
      <c r="Y70" s="241"/>
      <c r="Z70" s="241"/>
      <c r="AA70" s="241"/>
      <c r="AB70" s="241"/>
      <c r="AC70" s="236"/>
      <c r="AD70" s="236"/>
    </row>
    <row r="71" spans="1:30" ht="13.5">
      <c r="A71" s="241"/>
      <c r="B71" s="242"/>
      <c r="C71" s="242"/>
      <c r="D71" s="242"/>
      <c r="E71" s="242"/>
      <c r="F71" s="242"/>
      <c r="G71" s="241"/>
      <c r="H71" s="241"/>
      <c r="I71" s="241"/>
      <c r="J71" s="241"/>
      <c r="K71" s="241"/>
      <c r="L71" s="241"/>
      <c r="M71" s="241"/>
      <c r="N71" s="241"/>
      <c r="O71" s="241"/>
      <c r="P71" s="241"/>
      <c r="Q71" s="241"/>
      <c r="R71" s="241"/>
      <c r="S71" s="241"/>
      <c r="T71" s="244"/>
      <c r="U71" s="241"/>
      <c r="V71" s="241"/>
      <c r="W71" s="241"/>
      <c r="X71" s="241"/>
      <c r="Y71" s="241"/>
      <c r="Z71" s="241"/>
      <c r="AA71" s="241"/>
      <c r="AB71" s="241"/>
      <c r="AC71" s="236"/>
      <c r="AD71" s="236"/>
    </row>
    <row r="72" spans="1:30" ht="13.5">
      <c r="A72" s="241"/>
      <c r="B72" s="242"/>
      <c r="C72" s="242"/>
      <c r="D72" s="242"/>
      <c r="E72" s="242"/>
      <c r="F72" s="242"/>
      <c r="G72" s="241"/>
      <c r="H72" s="241"/>
      <c r="I72" s="241"/>
      <c r="J72" s="241"/>
      <c r="K72" s="241"/>
      <c r="L72" s="241"/>
      <c r="M72" s="241"/>
      <c r="N72" s="241"/>
      <c r="O72" s="241"/>
      <c r="P72" s="241"/>
      <c r="Q72" s="241"/>
      <c r="R72" s="241"/>
      <c r="S72" s="241"/>
      <c r="T72" s="244"/>
      <c r="U72" s="241"/>
      <c r="V72" s="241"/>
      <c r="W72" s="241"/>
      <c r="X72" s="241"/>
      <c r="Y72" s="241"/>
      <c r="Z72" s="241"/>
      <c r="AA72" s="241"/>
      <c r="AB72" s="241"/>
      <c r="AC72" s="236"/>
      <c r="AD72" s="236"/>
    </row>
    <row r="73" spans="1:30" ht="13.5">
      <c r="A73" s="241"/>
      <c r="B73" s="242"/>
      <c r="C73" s="242"/>
      <c r="D73" s="242"/>
      <c r="E73" s="242"/>
      <c r="F73" s="242"/>
      <c r="G73" s="241"/>
      <c r="H73" s="241"/>
      <c r="I73" s="241"/>
      <c r="J73" s="241"/>
      <c r="K73" s="241"/>
      <c r="L73" s="241"/>
      <c r="M73" s="241"/>
      <c r="N73" s="241"/>
      <c r="O73" s="241"/>
      <c r="P73" s="241"/>
      <c r="Q73" s="241"/>
      <c r="R73" s="241"/>
      <c r="S73" s="241"/>
      <c r="T73" s="244"/>
      <c r="U73" s="241"/>
      <c r="V73" s="241"/>
      <c r="W73" s="241"/>
      <c r="X73" s="241"/>
      <c r="Y73" s="241"/>
      <c r="Z73" s="241"/>
      <c r="AA73" s="241"/>
      <c r="AB73" s="241"/>
      <c r="AC73" s="236"/>
      <c r="AD73" s="236"/>
    </row>
    <row r="74" spans="1:30" ht="13.5">
      <c r="A74" s="241"/>
      <c r="B74" s="242"/>
      <c r="C74" s="242"/>
      <c r="D74" s="242"/>
      <c r="E74" s="242"/>
      <c r="F74" s="242"/>
      <c r="G74" s="241"/>
      <c r="H74" s="241"/>
      <c r="I74" s="241"/>
      <c r="J74" s="241"/>
      <c r="K74" s="241"/>
      <c r="L74" s="241"/>
      <c r="M74" s="241"/>
      <c r="N74" s="241"/>
      <c r="O74" s="241"/>
      <c r="P74" s="241"/>
      <c r="Q74" s="241"/>
      <c r="R74" s="241"/>
      <c r="S74" s="241"/>
      <c r="T74" s="244"/>
      <c r="U74" s="241"/>
      <c r="V74" s="241"/>
      <c r="W74" s="241"/>
      <c r="X74" s="241"/>
      <c r="Y74" s="241"/>
      <c r="Z74" s="241"/>
      <c r="AA74" s="241"/>
      <c r="AB74" s="241"/>
      <c r="AC74" s="236"/>
      <c r="AD74" s="236"/>
    </row>
    <row r="75" spans="1:30" ht="13.5">
      <c r="A75" s="241"/>
      <c r="B75" s="242"/>
      <c r="C75" s="242"/>
      <c r="D75" s="242"/>
      <c r="E75" s="242"/>
      <c r="F75" s="242"/>
      <c r="G75" s="241"/>
      <c r="H75" s="241"/>
      <c r="I75" s="241"/>
      <c r="J75" s="241"/>
      <c r="K75" s="241"/>
      <c r="L75" s="241"/>
      <c r="M75" s="241"/>
      <c r="N75" s="241"/>
      <c r="O75" s="241"/>
      <c r="P75" s="241"/>
      <c r="Q75" s="241"/>
      <c r="R75" s="241"/>
      <c r="S75" s="241"/>
      <c r="T75" s="244"/>
      <c r="U75" s="241"/>
      <c r="V75" s="241"/>
      <c r="W75" s="241"/>
      <c r="X75" s="241"/>
      <c r="Y75" s="241"/>
      <c r="Z75" s="241"/>
      <c r="AA75" s="241"/>
      <c r="AB75" s="241"/>
      <c r="AC75" s="236"/>
      <c r="AD75" s="236"/>
    </row>
    <row r="76" spans="1:30" ht="13.5">
      <c r="A76" s="241"/>
      <c r="B76" s="242"/>
      <c r="C76" s="242"/>
      <c r="D76" s="242"/>
      <c r="E76" s="242"/>
      <c r="F76" s="242"/>
      <c r="G76" s="241"/>
      <c r="H76" s="241"/>
      <c r="I76" s="241"/>
      <c r="J76" s="241"/>
      <c r="K76" s="241"/>
      <c r="L76" s="241"/>
      <c r="M76" s="241"/>
      <c r="N76" s="241"/>
      <c r="O76" s="241"/>
      <c r="P76" s="241"/>
      <c r="Q76" s="241"/>
      <c r="R76" s="241"/>
      <c r="S76" s="241"/>
      <c r="T76" s="244"/>
      <c r="U76" s="241"/>
      <c r="V76" s="241"/>
      <c r="W76" s="241"/>
      <c r="X76" s="241"/>
      <c r="Y76" s="241"/>
      <c r="Z76" s="241"/>
      <c r="AA76" s="241"/>
      <c r="AB76" s="241"/>
      <c r="AC76" s="236"/>
      <c r="AD76" s="236"/>
    </row>
    <row r="77" spans="1:30" ht="13.5">
      <c r="A77" s="241"/>
      <c r="B77" s="242"/>
      <c r="C77" s="242"/>
      <c r="D77" s="242"/>
      <c r="E77" s="242"/>
      <c r="F77" s="242"/>
      <c r="G77" s="241"/>
      <c r="H77" s="241"/>
      <c r="I77" s="241"/>
      <c r="J77" s="241"/>
      <c r="K77" s="241"/>
      <c r="L77" s="241"/>
      <c r="M77" s="241"/>
      <c r="N77" s="241"/>
      <c r="O77" s="241"/>
      <c r="P77" s="241"/>
      <c r="Q77" s="241"/>
      <c r="R77" s="241"/>
      <c r="S77" s="241"/>
      <c r="T77" s="244"/>
      <c r="U77" s="241"/>
      <c r="V77" s="241"/>
      <c r="W77" s="241"/>
      <c r="X77" s="241"/>
      <c r="Y77" s="241"/>
      <c r="Z77" s="241"/>
      <c r="AA77" s="241"/>
      <c r="AB77" s="241"/>
      <c r="AC77" s="236"/>
      <c r="AD77" s="236"/>
    </row>
    <row r="78" spans="1:30" ht="13.5">
      <c r="A78" s="241"/>
      <c r="B78" s="242"/>
      <c r="C78" s="242"/>
      <c r="D78" s="242"/>
      <c r="E78" s="242"/>
      <c r="F78" s="242"/>
      <c r="G78" s="241"/>
      <c r="H78" s="241"/>
      <c r="I78" s="241"/>
      <c r="J78" s="241"/>
      <c r="K78" s="241"/>
      <c r="L78" s="241"/>
      <c r="M78" s="241"/>
      <c r="N78" s="241"/>
      <c r="O78" s="241"/>
      <c r="P78" s="241"/>
      <c r="Q78" s="241"/>
      <c r="R78" s="241"/>
      <c r="S78" s="241"/>
      <c r="T78" s="244"/>
      <c r="U78" s="241"/>
      <c r="V78" s="241"/>
      <c r="W78" s="241"/>
      <c r="X78" s="241"/>
      <c r="Y78" s="241"/>
      <c r="Z78" s="241"/>
      <c r="AA78" s="241"/>
      <c r="AB78" s="241"/>
      <c r="AC78" s="236"/>
      <c r="AD78" s="236"/>
    </row>
    <row r="79" spans="1:30" ht="13.5">
      <c r="A79" s="241"/>
      <c r="B79" s="242"/>
      <c r="C79" s="242"/>
      <c r="D79" s="242"/>
      <c r="E79" s="242"/>
      <c r="F79" s="242"/>
      <c r="G79" s="241"/>
      <c r="H79" s="241"/>
      <c r="I79" s="241"/>
      <c r="J79" s="241"/>
      <c r="K79" s="241"/>
      <c r="L79" s="241"/>
      <c r="M79" s="241"/>
      <c r="N79" s="241"/>
      <c r="O79" s="241"/>
      <c r="P79" s="241"/>
      <c r="Q79" s="241"/>
      <c r="R79" s="241"/>
      <c r="S79" s="241"/>
      <c r="T79" s="244"/>
      <c r="U79" s="241"/>
      <c r="V79" s="241"/>
      <c r="W79" s="241"/>
      <c r="X79" s="241"/>
      <c r="Y79" s="241"/>
      <c r="Z79" s="241"/>
      <c r="AA79" s="241"/>
      <c r="AB79" s="241"/>
      <c r="AC79" s="236"/>
      <c r="AD79" s="236"/>
    </row>
    <row r="80" spans="1:30" ht="13.5">
      <c r="A80" s="241"/>
      <c r="B80" s="242"/>
      <c r="C80" s="242"/>
      <c r="D80" s="242"/>
      <c r="E80" s="242"/>
      <c r="F80" s="242"/>
      <c r="G80" s="241"/>
      <c r="H80" s="241"/>
      <c r="I80" s="241"/>
      <c r="J80" s="241"/>
      <c r="K80" s="241"/>
      <c r="L80" s="241"/>
      <c r="M80" s="241"/>
      <c r="N80" s="241"/>
      <c r="O80" s="241"/>
      <c r="P80" s="241"/>
      <c r="Q80" s="241"/>
      <c r="R80" s="241"/>
      <c r="S80" s="241"/>
      <c r="T80" s="244"/>
      <c r="U80" s="241"/>
      <c r="V80" s="241"/>
      <c r="W80" s="241"/>
      <c r="X80" s="241"/>
      <c r="Y80" s="241"/>
      <c r="Z80" s="241"/>
      <c r="AA80" s="241"/>
      <c r="AB80" s="241"/>
      <c r="AC80" s="236"/>
      <c r="AD80" s="236"/>
    </row>
    <row r="81" spans="1:30" ht="13.5">
      <c r="A81" s="241"/>
      <c r="B81" s="242"/>
      <c r="C81" s="242"/>
      <c r="D81" s="242"/>
      <c r="E81" s="242"/>
      <c r="F81" s="242"/>
      <c r="G81" s="241"/>
      <c r="H81" s="241"/>
      <c r="I81" s="241"/>
      <c r="J81" s="241"/>
      <c r="K81" s="241"/>
      <c r="L81" s="241"/>
      <c r="M81" s="241"/>
      <c r="N81" s="241"/>
      <c r="O81" s="241"/>
      <c r="P81" s="241"/>
      <c r="Q81" s="241"/>
      <c r="R81" s="241"/>
      <c r="S81" s="241"/>
      <c r="T81" s="244"/>
      <c r="U81" s="241"/>
      <c r="V81" s="241"/>
      <c r="W81" s="241"/>
      <c r="X81" s="241"/>
      <c r="Y81" s="241"/>
      <c r="Z81" s="241"/>
      <c r="AA81" s="241"/>
      <c r="AB81" s="241"/>
      <c r="AC81" s="236"/>
      <c r="AD81" s="236"/>
    </row>
    <row r="82" spans="1:30" ht="13.5">
      <c r="A82" s="241"/>
      <c r="B82" s="242"/>
      <c r="C82" s="242"/>
      <c r="D82" s="242"/>
      <c r="E82" s="242"/>
      <c r="F82" s="242"/>
      <c r="G82" s="241"/>
      <c r="H82" s="241"/>
      <c r="I82" s="241"/>
      <c r="J82" s="241"/>
      <c r="K82" s="241"/>
      <c r="L82" s="241"/>
      <c r="M82" s="241"/>
      <c r="N82" s="241"/>
      <c r="O82" s="241"/>
      <c r="P82" s="241"/>
      <c r="Q82" s="241"/>
      <c r="R82" s="241"/>
      <c r="S82" s="241"/>
      <c r="T82" s="244"/>
      <c r="U82" s="241"/>
      <c r="V82" s="241"/>
      <c r="W82" s="241"/>
      <c r="X82" s="241"/>
      <c r="Y82" s="241"/>
      <c r="Z82" s="241"/>
      <c r="AA82" s="241"/>
      <c r="AB82" s="241"/>
      <c r="AC82" s="236"/>
      <c r="AD82" s="236"/>
    </row>
    <row r="83" spans="1:30" ht="13.5">
      <c r="A83" s="241"/>
      <c r="B83" s="242"/>
      <c r="C83" s="242"/>
      <c r="D83" s="242"/>
      <c r="E83" s="242"/>
      <c r="F83" s="242"/>
      <c r="G83" s="241"/>
      <c r="H83" s="241"/>
      <c r="I83" s="241"/>
      <c r="J83" s="241"/>
      <c r="K83" s="241"/>
      <c r="L83" s="241"/>
      <c r="M83" s="241"/>
      <c r="N83" s="241"/>
      <c r="O83" s="241"/>
      <c r="P83" s="241"/>
      <c r="Q83" s="241"/>
      <c r="R83" s="241"/>
      <c r="S83" s="241"/>
      <c r="T83" s="244"/>
      <c r="U83" s="241"/>
      <c r="V83" s="241"/>
      <c r="W83" s="241"/>
      <c r="X83" s="241"/>
      <c r="Y83" s="241"/>
      <c r="Z83" s="241"/>
      <c r="AA83" s="241"/>
      <c r="AB83" s="241"/>
      <c r="AC83" s="236"/>
      <c r="AD83" s="236"/>
    </row>
    <row r="84" spans="1:30" ht="13.5">
      <c r="A84" s="241"/>
      <c r="B84" s="242"/>
      <c r="C84" s="242"/>
      <c r="D84" s="242"/>
      <c r="E84" s="242"/>
      <c r="F84" s="242"/>
      <c r="G84" s="241"/>
      <c r="H84" s="241"/>
      <c r="I84" s="241"/>
      <c r="J84" s="241"/>
      <c r="K84" s="241"/>
      <c r="L84" s="241"/>
      <c r="M84" s="241"/>
      <c r="N84" s="241"/>
      <c r="O84" s="241"/>
      <c r="P84" s="241"/>
      <c r="Q84" s="241"/>
      <c r="R84" s="241"/>
      <c r="S84" s="241"/>
      <c r="T84" s="244"/>
      <c r="U84" s="241"/>
      <c r="V84" s="241"/>
      <c r="W84" s="241"/>
      <c r="X84" s="241"/>
      <c r="Y84" s="241"/>
      <c r="Z84" s="241"/>
      <c r="AA84" s="241"/>
      <c r="AB84" s="241"/>
      <c r="AC84" s="236"/>
      <c r="AD84" s="236"/>
    </row>
    <row r="85" spans="1:30" ht="13.5">
      <c r="A85" s="241"/>
      <c r="B85" s="242"/>
      <c r="C85" s="242"/>
      <c r="D85" s="242"/>
      <c r="E85" s="242"/>
      <c r="F85" s="242"/>
      <c r="G85" s="241"/>
      <c r="H85" s="241"/>
      <c r="I85" s="241"/>
      <c r="J85" s="241"/>
      <c r="K85" s="241"/>
      <c r="L85" s="241"/>
      <c r="M85" s="241"/>
      <c r="N85" s="241"/>
      <c r="O85" s="241"/>
      <c r="P85" s="241"/>
      <c r="Q85" s="241"/>
      <c r="R85" s="241"/>
      <c r="S85" s="241"/>
      <c r="T85" s="244"/>
      <c r="U85" s="241"/>
      <c r="V85" s="241"/>
      <c r="W85" s="241"/>
      <c r="X85" s="241"/>
      <c r="Y85" s="241"/>
      <c r="Z85" s="241"/>
      <c r="AA85" s="241"/>
      <c r="AB85" s="241"/>
      <c r="AC85" s="236"/>
      <c r="AD85" s="236"/>
    </row>
    <row r="86" spans="1:30" ht="13.5">
      <c r="A86" s="241"/>
      <c r="B86" s="242"/>
      <c r="C86" s="242"/>
      <c r="D86" s="242"/>
      <c r="E86" s="242"/>
      <c r="F86" s="242"/>
      <c r="G86" s="241"/>
      <c r="H86" s="241"/>
      <c r="I86" s="241"/>
      <c r="J86" s="241"/>
      <c r="K86" s="241"/>
      <c r="L86" s="241"/>
      <c r="M86" s="241"/>
      <c r="N86" s="241"/>
      <c r="O86" s="241"/>
      <c r="P86" s="241"/>
      <c r="Q86" s="241"/>
      <c r="R86" s="241"/>
      <c r="S86" s="241"/>
      <c r="T86" s="244"/>
      <c r="U86" s="241"/>
      <c r="V86" s="241"/>
      <c r="W86" s="241"/>
      <c r="X86" s="241"/>
      <c r="Y86" s="241"/>
      <c r="Z86" s="241"/>
      <c r="AA86" s="241"/>
      <c r="AB86" s="241"/>
      <c r="AC86" s="236"/>
      <c r="AD86" s="236"/>
    </row>
    <row r="87" spans="1:30" ht="13.5">
      <c r="A87" s="241"/>
      <c r="B87" s="242"/>
      <c r="C87" s="242"/>
      <c r="D87" s="242"/>
      <c r="E87" s="242"/>
      <c r="F87" s="242"/>
      <c r="G87" s="241"/>
      <c r="H87" s="241"/>
      <c r="I87" s="241"/>
      <c r="J87" s="241"/>
      <c r="K87" s="241"/>
      <c r="L87" s="241"/>
      <c r="M87" s="241"/>
      <c r="N87" s="241"/>
      <c r="O87" s="241"/>
      <c r="P87" s="241"/>
      <c r="Q87" s="241"/>
      <c r="R87" s="241"/>
      <c r="S87" s="241"/>
      <c r="T87" s="244"/>
      <c r="U87" s="241"/>
      <c r="V87" s="241"/>
      <c r="W87" s="241"/>
      <c r="X87" s="241"/>
      <c r="Y87" s="241"/>
      <c r="Z87" s="241"/>
      <c r="AA87" s="241"/>
      <c r="AB87" s="241"/>
      <c r="AC87" s="236"/>
      <c r="AD87" s="236"/>
    </row>
    <row r="88" spans="1:30" ht="13.5">
      <c r="A88" s="241"/>
      <c r="B88" s="242"/>
      <c r="C88" s="242"/>
      <c r="D88" s="242"/>
      <c r="E88" s="242"/>
      <c r="F88" s="242"/>
      <c r="G88" s="241"/>
      <c r="H88" s="241"/>
      <c r="I88" s="241"/>
      <c r="J88" s="241"/>
      <c r="K88" s="241"/>
      <c r="L88" s="241"/>
      <c r="M88" s="241"/>
      <c r="N88" s="241"/>
      <c r="O88" s="241"/>
      <c r="P88" s="241"/>
      <c r="Q88" s="241"/>
      <c r="R88" s="241"/>
      <c r="S88" s="241"/>
      <c r="T88" s="244"/>
      <c r="U88" s="241"/>
      <c r="V88" s="241"/>
      <c r="W88" s="241"/>
      <c r="X88" s="241"/>
      <c r="Y88" s="241"/>
      <c r="Z88" s="241"/>
      <c r="AA88" s="241"/>
      <c r="AB88" s="241"/>
      <c r="AC88" s="236"/>
      <c r="AD88" s="236"/>
    </row>
    <row r="89" spans="1:30" ht="13.5">
      <c r="A89" s="241"/>
      <c r="B89" s="242"/>
      <c r="C89" s="242"/>
      <c r="D89" s="242"/>
      <c r="E89" s="242"/>
      <c r="F89" s="242"/>
      <c r="G89" s="241"/>
      <c r="H89" s="241"/>
      <c r="I89" s="241"/>
      <c r="J89" s="241"/>
      <c r="K89" s="241"/>
      <c r="L89" s="241"/>
      <c r="M89" s="241"/>
      <c r="N89" s="241"/>
      <c r="O89" s="241"/>
      <c r="P89" s="241"/>
      <c r="Q89" s="241"/>
      <c r="R89" s="241"/>
      <c r="S89" s="241"/>
      <c r="T89" s="244"/>
      <c r="U89" s="241"/>
      <c r="V89" s="241"/>
      <c r="W89" s="241"/>
      <c r="X89" s="241"/>
      <c r="Y89" s="241"/>
      <c r="Z89" s="241"/>
      <c r="AA89" s="241"/>
      <c r="AB89" s="241"/>
      <c r="AC89" s="236"/>
      <c r="AD89" s="236"/>
    </row>
    <row r="90" spans="1:30" ht="13.5">
      <c r="A90" s="241"/>
      <c r="B90" s="242"/>
      <c r="C90" s="242"/>
      <c r="D90" s="242"/>
      <c r="E90" s="242"/>
      <c r="F90" s="242"/>
      <c r="G90" s="241"/>
      <c r="H90" s="241"/>
      <c r="I90" s="241"/>
      <c r="J90" s="241"/>
      <c r="K90" s="241"/>
      <c r="L90" s="241"/>
      <c r="M90" s="241"/>
      <c r="N90" s="241"/>
      <c r="O90" s="241"/>
      <c r="P90" s="241"/>
      <c r="Q90" s="241"/>
      <c r="R90" s="241"/>
      <c r="S90" s="241"/>
      <c r="T90" s="244"/>
      <c r="U90" s="241"/>
      <c r="V90" s="241"/>
      <c r="W90" s="241"/>
      <c r="X90" s="241"/>
      <c r="Y90" s="241"/>
      <c r="Z90" s="241"/>
      <c r="AA90" s="241"/>
      <c r="AB90" s="241"/>
      <c r="AC90" s="236"/>
      <c r="AD90" s="236"/>
    </row>
    <row r="91" spans="1:30" ht="13.5">
      <c r="A91" s="241"/>
      <c r="B91" s="242"/>
      <c r="C91" s="242"/>
      <c r="D91" s="242"/>
      <c r="E91" s="242"/>
      <c r="F91" s="242"/>
      <c r="G91" s="241"/>
      <c r="H91" s="241"/>
      <c r="I91" s="241"/>
      <c r="J91" s="241"/>
      <c r="K91" s="241"/>
      <c r="L91" s="241"/>
      <c r="M91" s="241"/>
      <c r="N91" s="241"/>
      <c r="O91" s="241"/>
      <c r="P91" s="241"/>
      <c r="Q91" s="241"/>
      <c r="R91" s="241"/>
      <c r="S91" s="241"/>
      <c r="T91" s="244"/>
      <c r="U91" s="241"/>
      <c r="V91" s="241"/>
      <c r="W91" s="241"/>
      <c r="X91" s="241"/>
      <c r="Y91" s="241"/>
      <c r="Z91" s="241"/>
      <c r="AA91" s="241"/>
      <c r="AB91" s="241"/>
      <c r="AC91" s="236"/>
      <c r="AD91" s="236"/>
    </row>
    <row r="92" spans="1:30" ht="13.5">
      <c r="A92" s="241"/>
      <c r="B92" s="242"/>
      <c r="C92" s="242"/>
      <c r="D92" s="242"/>
      <c r="E92" s="242"/>
      <c r="F92" s="242"/>
      <c r="G92" s="241"/>
      <c r="H92" s="241"/>
      <c r="I92" s="241"/>
      <c r="J92" s="241"/>
      <c r="K92" s="241"/>
      <c r="L92" s="241"/>
      <c r="M92" s="241"/>
      <c r="N92" s="241"/>
      <c r="O92" s="241"/>
      <c r="P92" s="241"/>
      <c r="Q92" s="241"/>
      <c r="R92" s="241"/>
      <c r="S92" s="241"/>
      <c r="T92" s="244"/>
      <c r="U92" s="241"/>
      <c r="V92" s="241"/>
      <c r="W92" s="241"/>
      <c r="X92" s="241"/>
      <c r="Y92" s="241"/>
      <c r="Z92" s="241"/>
      <c r="AA92" s="241"/>
      <c r="AB92" s="241"/>
      <c r="AC92" s="236"/>
      <c r="AD92" s="236"/>
    </row>
    <row r="93" spans="1:30" ht="13.5">
      <c r="A93" s="241"/>
      <c r="B93" s="242"/>
      <c r="C93" s="242"/>
      <c r="D93" s="242"/>
      <c r="E93" s="242"/>
      <c r="F93" s="242"/>
      <c r="G93" s="241"/>
      <c r="H93" s="241"/>
      <c r="I93" s="241"/>
      <c r="J93" s="241"/>
      <c r="K93" s="241"/>
      <c r="L93" s="241"/>
      <c r="M93" s="241"/>
      <c r="N93" s="241"/>
      <c r="O93" s="241"/>
      <c r="P93" s="241"/>
      <c r="Q93" s="241"/>
      <c r="R93" s="241"/>
      <c r="S93" s="241"/>
      <c r="T93" s="244"/>
      <c r="U93" s="241"/>
      <c r="V93" s="241"/>
      <c r="W93" s="241"/>
      <c r="X93" s="241"/>
      <c r="Y93" s="241"/>
      <c r="Z93" s="241"/>
      <c r="AA93" s="241"/>
      <c r="AB93" s="241"/>
      <c r="AC93" s="236"/>
      <c r="AD93" s="236"/>
    </row>
    <row r="94" spans="1:30" ht="13.5">
      <c r="A94" s="241"/>
      <c r="B94" s="242"/>
      <c r="C94" s="242"/>
      <c r="D94" s="242"/>
      <c r="E94" s="242"/>
      <c r="F94" s="242"/>
      <c r="G94" s="241"/>
      <c r="H94" s="241"/>
      <c r="I94" s="241"/>
      <c r="J94" s="241"/>
      <c r="K94" s="241"/>
      <c r="L94" s="241"/>
      <c r="M94" s="241"/>
      <c r="N94" s="241"/>
      <c r="O94" s="241"/>
      <c r="P94" s="241"/>
      <c r="Q94" s="241"/>
      <c r="R94" s="241"/>
      <c r="S94" s="241"/>
      <c r="T94" s="244"/>
      <c r="U94" s="241"/>
      <c r="V94" s="241"/>
      <c r="W94" s="241"/>
      <c r="X94" s="241"/>
      <c r="Y94" s="241"/>
      <c r="Z94" s="241"/>
      <c r="AA94" s="241"/>
      <c r="AB94" s="241"/>
      <c r="AC94" s="236"/>
      <c r="AD94" s="236"/>
    </row>
    <row r="95" spans="1:30" ht="13.5">
      <c r="A95" s="241"/>
      <c r="B95" s="242"/>
      <c r="C95" s="242"/>
      <c r="D95" s="242"/>
      <c r="E95" s="242"/>
      <c r="F95" s="242"/>
      <c r="G95" s="241"/>
      <c r="H95" s="241"/>
      <c r="I95" s="241"/>
      <c r="J95" s="241"/>
      <c r="K95" s="241"/>
      <c r="L95" s="241"/>
      <c r="M95" s="241"/>
      <c r="N95" s="241"/>
      <c r="O95" s="241"/>
      <c r="P95" s="241"/>
      <c r="Q95" s="241"/>
      <c r="R95" s="241"/>
      <c r="S95" s="241"/>
      <c r="T95" s="244"/>
      <c r="U95" s="241"/>
      <c r="V95" s="241"/>
      <c r="W95" s="241"/>
      <c r="X95" s="241"/>
      <c r="Y95" s="241"/>
      <c r="Z95" s="241"/>
      <c r="AA95" s="241"/>
      <c r="AB95" s="241"/>
      <c r="AC95" s="236"/>
      <c r="AD95" s="236"/>
    </row>
    <row r="96" spans="1:30" ht="13.5">
      <c r="A96" s="241"/>
      <c r="B96" s="242"/>
      <c r="C96" s="242"/>
      <c r="D96" s="242"/>
      <c r="E96" s="242"/>
      <c r="F96" s="242"/>
      <c r="G96" s="241"/>
      <c r="H96" s="241"/>
      <c r="I96" s="241"/>
      <c r="J96" s="241"/>
      <c r="K96" s="241"/>
      <c r="L96" s="241"/>
      <c r="M96" s="241"/>
      <c r="N96" s="241"/>
      <c r="O96" s="241"/>
      <c r="P96" s="241"/>
      <c r="Q96" s="241"/>
      <c r="R96" s="241"/>
      <c r="S96" s="241"/>
      <c r="T96" s="244"/>
      <c r="U96" s="241"/>
      <c r="V96" s="241"/>
      <c r="W96" s="241"/>
      <c r="X96" s="241"/>
      <c r="Y96" s="241"/>
      <c r="Z96" s="241"/>
      <c r="AA96" s="241"/>
      <c r="AB96" s="241"/>
      <c r="AC96" s="236"/>
      <c r="AD96" s="236"/>
    </row>
    <row r="97" spans="1:30" ht="13.5">
      <c r="A97" s="241"/>
      <c r="B97" s="242"/>
      <c r="C97" s="242"/>
      <c r="D97" s="242"/>
      <c r="E97" s="242"/>
      <c r="F97" s="242"/>
      <c r="G97" s="241"/>
      <c r="H97" s="241"/>
      <c r="I97" s="241"/>
      <c r="J97" s="241"/>
      <c r="K97" s="241"/>
      <c r="L97" s="241"/>
      <c r="M97" s="241"/>
      <c r="N97" s="241"/>
      <c r="O97" s="241"/>
      <c r="P97" s="241"/>
      <c r="Q97" s="241"/>
      <c r="R97" s="241"/>
      <c r="S97" s="241"/>
      <c r="T97" s="244"/>
      <c r="U97" s="241"/>
      <c r="V97" s="241"/>
      <c r="W97" s="241"/>
      <c r="X97" s="241"/>
      <c r="Y97" s="241"/>
      <c r="Z97" s="241"/>
      <c r="AA97" s="241"/>
      <c r="AB97" s="241"/>
      <c r="AC97" s="236"/>
      <c r="AD97" s="236"/>
    </row>
    <row r="98" spans="1:30" ht="13.5">
      <c r="A98" s="241"/>
      <c r="B98" s="242"/>
      <c r="C98" s="242"/>
      <c r="D98" s="242"/>
      <c r="E98" s="242"/>
      <c r="F98" s="242"/>
      <c r="G98" s="241"/>
      <c r="H98" s="241"/>
      <c r="I98" s="241"/>
      <c r="J98" s="241"/>
      <c r="K98" s="241"/>
      <c r="L98" s="241"/>
      <c r="M98" s="241"/>
      <c r="N98" s="241"/>
      <c r="O98" s="241"/>
      <c r="P98" s="241"/>
      <c r="Q98" s="241"/>
      <c r="R98" s="241"/>
      <c r="S98" s="241"/>
      <c r="T98" s="244"/>
      <c r="U98" s="241"/>
      <c r="V98" s="241"/>
      <c r="W98" s="241"/>
      <c r="X98" s="241"/>
      <c r="Y98" s="241"/>
      <c r="Z98" s="241"/>
      <c r="AA98" s="241"/>
      <c r="AB98" s="241"/>
      <c r="AC98" s="236"/>
      <c r="AD98" s="236"/>
    </row>
    <row r="99" spans="1:30" ht="13.5">
      <c r="A99" s="241"/>
      <c r="B99" s="242"/>
      <c r="C99" s="242"/>
      <c r="D99" s="242"/>
      <c r="E99" s="242"/>
      <c r="F99" s="242"/>
      <c r="G99" s="241"/>
      <c r="H99" s="241"/>
      <c r="I99" s="241"/>
      <c r="J99" s="241"/>
      <c r="K99" s="241"/>
      <c r="L99" s="241"/>
      <c r="M99" s="241"/>
      <c r="N99" s="241"/>
      <c r="O99" s="241"/>
      <c r="P99" s="241"/>
      <c r="Q99" s="241"/>
      <c r="R99" s="241"/>
      <c r="S99" s="241"/>
      <c r="T99" s="244"/>
      <c r="U99" s="241"/>
      <c r="V99" s="241"/>
      <c r="W99" s="241"/>
      <c r="X99" s="241"/>
      <c r="Y99" s="241"/>
      <c r="Z99" s="241"/>
      <c r="AA99" s="241"/>
      <c r="AB99" s="241"/>
      <c r="AC99" s="236"/>
      <c r="AD99" s="236"/>
    </row>
    <row r="100" spans="1:30" ht="13.5">
      <c r="A100" s="241"/>
      <c r="B100" s="242"/>
      <c r="C100" s="242"/>
      <c r="D100" s="242"/>
      <c r="E100" s="242"/>
      <c r="F100" s="242"/>
      <c r="G100" s="241"/>
      <c r="H100" s="241"/>
      <c r="I100" s="241"/>
      <c r="J100" s="241"/>
      <c r="K100" s="241"/>
      <c r="L100" s="241"/>
      <c r="M100" s="241"/>
      <c r="N100" s="241"/>
      <c r="O100" s="241"/>
      <c r="P100" s="241"/>
      <c r="Q100" s="241"/>
      <c r="R100" s="241"/>
      <c r="S100" s="241"/>
      <c r="T100" s="244"/>
      <c r="U100" s="241"/>
      <c r="V100" s="241"/>
      <c r="W100" s="241"/>
      <c r="X100" s="241"/>
      <c r="Y100" s="241"/>
      <c r="Z100" s="241"/>
      <c r="AA100" s="241"/>
      <c r="AB100" s="241"/>
      <c r="AC100" s="236"/>
      <c r="AD100" s="236"/>
    </row>
    <row r="101" spans="1:30" ht="13.5">
      <c r="A101" s="241"/>
      <c r="B101" s="242"/>
      <c r="C101" s="242"/>
      <c r="D101" s="242"/>
      <c r="E101" s="242"/>
      <c r="F101" s="242"/>
      <c r="G101" s="241"/>
      <c r="H101" s="241"/>
      <c r="I101" s="241"/>
      <c r="J101" s="241"/>
      <c r="K101" s="241"/>
      <c r="L101" s="241"/>
      <c r="M101" s="241"/>
      <c r="N101" s="241"/>
      <c r="O101" s="241"/>
      <c r="P101" s="241"/>
      <c r="Q101" s="241"/>
      <c r="R101" s="241"/>
      <c r="S101" s="241"/>
      <c r="T101" s="244"/>
      <c r="U101" s="241"/>
      <c r="V101" s="241"/>
      <c r="W101" s="241"/>
      <c r="X101" s="241"/>
      <c r="Y101" s="241"/>
      <c r="Z101" s="241"/>
      <c r="AA101" s="241"/>
      <c r="AB101" s="241"/>
      <c r="AC101" s="236"/>
      <c r="AD101" s="236"/>
    </row>
    <row r="102" spans="1:30" ht="13.5">
      <c r="A102" s="241"/>
      <c r="B102" s="242"/>
      <c r="C102" s="242"/>
      <c r="D102" s="242"/>
      <c r="E102" s="242"/>
      <c r="F102" s="242"/>
      <c r="G102" s="241"/>
      <c r="H102" s="241"/>
      <c r="I102" s="241"/>
      <c r="J102" s="241"/>
      <c r="K102" s="241"/>
      <c r="L102" s="241"/>
      <c r="M102" s="241"/>
      <c r="N102" s="241"/>
      <c r="O102" s="241"/>
      <c r="P102" s="241"/>
      <c r="Q102" s="241"/>
      <c r="R102" s="241"/>
      <c r="S102" s="241"/>
      <c r="T102" s="244"/>
      <c r="U102" s="241"/>
      <c r="V102" s="241"/>
      <c r="W102" s="241"/>
      <c r="X102" s="241"/>
      <c r="Y102" s="241"/>
      <c r="Z102" s="241"/>
      <c r="AA102" s="241"/>
      <c r="AB102" s="241"/>
      <c r="AC102" s="236"/>
      <c r="AD102" s="236"/>
    </row>
    <row r="103" spans="1:30" ht="13.5">
      <c r="A103" s="241"/>
      <c r="B103" s="242"/>
      <c r="C103" s="242"/>
      <c r="D103" s="242"/>
      <c r="E103" s="242"/>
      <c r="F103" s="242"/>
      <c r="G103" s="241"/>
      <c r="H103" s="241"/>
      <c r="I103" s="241"/>
      <c r="J103" s="241"/>
      <c r="K103" s="241"/>
      <c r="L103" s="241"/>
      <c r="M103" s="241"/>
      <c r="N103" s="241"/>
      <c r="O103" s="241"/>
      <c r="P103" s="241"/>
      <c r="Q103" s="241"/>
      <c r="R103" s="241"/>
      <c r="S103" s="241"/>
      <c r="T103" s="244"/>
      <c r="U103" s="241"/>
      <c r="V103" s="241"/>
      <c r="W103" s="241"/>
      <c r="X103" s="241"/>
      <c r="Y103" s="241"/>
      <c r="Z103" s="241"/>
      <c r="AA103" s="241"/>
      <c r="AB103" s="241"/>
      <c r="AC103" s="236"/>
      <c r="AD103" s="236"/>
    </row>
    <row r="104" spans="1:30" ht="13.5">
      <c r="A104" s="241"/>
      <c r="B104" s="242"/>
      <c r="C104" s="242"/>
      <c r="D104" s="242"/>
      <c r="E104" s="242"/>
      <c r="F104" s="242"/>
      <c r="G104" s="241"/>
      <c r="H104" s="241"/>
      <c r="I104" s="241"/>
      <c r="J104" s="241"/>
      <c r="K104" s="241"/>
      <c r="L104" s="241"/>
      <c r="M104" s="241"/>
      <c r="N104" s="241"/>
      <c r="O104" s="241"/>
      <c r="P104" s="241"/>
      <c r="Q104" s="241"/>
      <c r="R104" s="241"/>
      <c r="S104" s="241"/>
      <c r="T104" s="244"/>
      <c r="U104" s="241"/>
      <c r="V104" s="241"/>
      <c r="W104" s="241"/>
      <c r="X104" s="241"/>
      <c r="Y104" s="241"/>
      <c r="Z104" s="241"/>
      <c r="AA104" s="241"/>
      <c r="AB104" s="241"/>
      <c r="AC104" s="236"/>
      <c r="AD104" s="236"/>
    </row>
    <row r="105" spans="1:30" ht="13.5">
      <c r="A105" s="241"/>
      <c r="B105" s="242"/>
      <c r="C105" s="242"/>
      <c r="D105" s="242"/>
      <c r="E105" s="242"/>
      <c r="F105" s="242"/>
      <c r="G105" s="241"/>
      <c r="H105" s="241"/>
      <c r="I105" s="241"/>
      <c r="J105" s="241"/>
      <c r="K105" s="241"/>
      <c r="L105" s="241"/>
      <c r="M105" s="241"/>
      <c r="N105" s="241"/>
      <c r="O105" s="241"/>
      <c r="P105" s="241"/>
      <c r="Q105" s="241"/>
      <c r="R105" s="241"/>
      <c r="S105" s="241"/>
      <c r="T105" s="244"/>
      <c r="U105" s="241"/>
      <c r="V105" s="241"/>
      <c r="W105" s="241"/>
      <c r="X105" s="241"/>
      <c r="Y105" s="241"/>
      <c r="Z105" s="241"/>
      <c r="AA105" s="241"/>
      <c r="AB105" s="241"/>
      <c r="AC105" s="236"/>
      <c r="AD105" s="236"/>
    </row>
    <row r="106" spans="1:30" ht="13.5">
      <c r="A106" s="241"/>
      <c r="B106" s="242"/>
      <c r="C106" s="242"/>
      <c r="D106" s="242"/>
      <c r="E106" s="242"/>
      <c r="F106" s="242"/>
      <c r="G106" s="241"/>
      <c r="H106" s="241"/>
      <c r="I106" s="241"/>
      <c r="J106" s="241"/>
      <c r="K106" s="241"/>
      <c r="L106" s="241"/>
      <c r="M106" s="241"/>
      <c r="N106" s="241"/>
      <c r="O106" s="241"/>
      <c r="P106" s="241"/>
      <c r="Q106" s="241"/>
      <c r="R106" s="241"/>
      <c r="S106" s="241"/>
      <c r="T106" s="244"/>
      <c r="U106" s="241"/>
      <c r="V106" s="241"/>
      <c r="W106" s="241"/>
      <c r="X106" s="241"/>
      <c r="Y106" s="241"/>
      <c r="Z106" s="241"/>
      <c r="AA106" s="241"/>
      <c r="AB106" s="241"/>
      <c r="AC106" s="236"/>
      <c r="AD106" s="236"/>
    </row>
    <row r="107" spans="1:30" ht="13.5">
      <c r="A107" s="241"/>
      <c r="B107" s="242"/>
      <c r="C107" s="242"/>
      <c r="D107" s="242"/>
      <c r="E107" s="242"/>
      <c r="F107" s="242"/>
      <c r="G107" s="241"/>
      <c r="H107" s="241"/>
      <c r="I107" s="241"/>
      <c r="J107" s="241"/>
      <c r="K107" s="241"/>
      <c r="L107" s="241"/>
      <c r="M107" s="241"/>
      <c r="N107" s="241"/>
      <c r="O107" s="241"/>
      <c r="P107" s="241"/>
      <c r="Q107" s="241"/>
      <c r="R107" s="241"/>
      <c r="S107" s="241"/>
      <c r="T107" s="244"/>
      <c r="U107" s="241"/>
      <c r="V107" s="241"/>
      <c r="W107" s="241"/>
      <c r="X107" s="241"/>
      <c r="Y107" s="241"/>
      <c r="Z107" s="241"/>
      <c r="AA107" s="241"/>
      <c r="AB107" s="241"/>
      <c r="AC107" s="236"/>
      <c r="AD107" s="236"/>
    </row>
    <row r="108" spans="1:30" ht="13.5">
      <c r="A108" s="241"/>
      <c r="B108" s="242"/>
      <c r="C108" s="242"/>
      <c r="D108" s="242"/>
      <c r="E108" s="242"/>
      <c r="F108" s="242"/>
      <c r="G108" s="241"/>
      <c r="H108" s="241"/>
      <c r="I108" s="241"/>
      <c r="J108" s="241"/>
      <c r="K108" s="241"/>
      <c r="L108" s="241"/>
      <c r="M108" s="241"/>
      <c r="N108" s="241"/>
      <c r="O108" s="241"/>
      <c r="P108" s="241"/>
      <c r="Q108" s="241"/>
      <c r="R108" s="241"/>
      <c r="S108" s="241"/>
      <c r="T108" s="244"/>
      <c r="U108" s="241"/>
      <c r="V108" s="241"/>
      <c r="W108" s="241"/>
      <c r="X108" s="241"/>
      <c r="Y108" s="241"/>
      <c r="Z108" s="241"/>
      <c r="AA108" s="241"/>
      <c r="AB108" s="241"/>
      <c r="AC108" s="236"/>
      <c r="AD108" s="236"/>
    </row>
    <row r="109" spans="1:30" ht="13.5">
      <c r="A109" s="241"/>
      <c r="B109" s="242"/>
      <c r="C109" s="242"/>
      <c r="D109" s="242"/>
      <c r="E109" s="242"/>
      <c r="F109" s="242"/>
      <c r="G109" s="241"/>
      <c r="H109" s="241"/>
      <c r="I109" s="241"/>
      <c r="J109" s="241"/>
      <c r="K109" s="241"/>
      <c r="L109" s="241"/>
      <c r="M109" s="241"/>
      <c r="N109" s="241"/>
      <c r="O109" s="241"/>
      <c r="P109" s="241"/>
      <c r="Q109" s="241"/>
      <c r="R109" s="241"/>
      <c r="S109" s="241"/>
      <c r="T109" s="244"/>
      <c r="U109" s="241"/>
      <c r="V109" s="241"/>
      <c r="W109" s="241"/>
      <c r="X109" s="241"/>
      <c r="Y109" s="241"/>
      <c r="Z109" s="241"/>
      <c r="AA109" s="241"/>
      <c r="AB109" s="241"/>
      <c r="AC109" s="236"/>
      <c r="AD109" s="236"/>
    </row>
    <row r="110" spans="1:30" ht="13.5">
      <c r="A110" s="241"/>
      <c r="B110" s="242"/>
      <c r="C110" s="242"/>
      <c r="D110" s="242"/>
      <c r="E110" s="242"/>
      <c r="F110" s="242"/>
      <c r="G110" s="241"/>
      <c r="H110" s="241"/>
      <c r="I110" s="241"/>
      <c r="J110" s="241"/>
      <c r="K110" s="241"/>
      <c r="L110" s="241"/>
      <c r="M110" s="241"/>
      <c r="N110" s="241"/>
      <c r="O110" s="241"/>
      <c r="P110" s="241"/>
      <c r="Q110" s="241"/>
      <c r="R110" s="241"/>
      <c r="S110" s="241"/>
      <c r="T110" s="244"/>
      <c r="U110" s="241"/>
      <c r="V110" s="241"/>
      <c r="W110" s="241"/>
      <c r="X110" s="241"/>
      <c r="Y110" s="241"/>
      <c r="Z110" s="241"/>
      <c r="AA110" s="241"/>
      <c r="AB110" s="241"/>
      <c r="AC110" s="236"/>
      <c r="AD110" s="236"/>
    </row>
    <row r="111" spans="1:30" ht="13.5">
      <c r="A111" s="241"/>
      <c r="B111" s="242"/>
      <c r="C111" s="242"/>
      <c r="D111" s="242"/>
      <c r="E111" s="242"/>
      <c r="F111" s="242"/>
      <c r="G111" s="241"/>
      <c r="H111" s="241"/>
      <c r="I111" s="241"/>
      <c r="J111" s="241"/>
      <c r="K111" s="241"/>
      <c r="L111" s="241"/>
      <c r="M111" s="241"/>
      <c r="N111" s="241"/>
      <c r="O111" s="241"/>
      <c r="P111" s="241"/>
      <c r="Q111" s="241"/>
      <c r="R111" s="241"/>
      <c r="S111" s="241"/>
      <c r="T111" s="244"/>
      <c r="U111" s="241"/>
      <c r="V111" s="241"/>
      <c r="W111" s="241"/>
      <c r="X111" s="241"/>
      <c r="Y111" s="241"/>
      <c r="Z111" s="241"/>
      <c r="AA111" s="241"/>
      <c r="AB111" s="241"/>
      <c r="AC111" s="236"/>
      <c r="AD111" s="236"/>
    </row>
    <row r="112" spans="1:30" ht="13.5">
      <c r="A112" s="241"/>
      <c r="B112" s="242"/>
      <c r="C112" s="242"/>
      <c r="D112" s="242"/>
      <c r="E112" s="242"/>
      <c r="F112" s="242"/>
      <c r="G112" s="241"/>
      <c r="H112" s="241"/>
      <c r="I112" s="241"/>
      <c r="J112" s="241"/>
      <c r="K112" s="241"/>
      <c r="L112" s="241"/>
      <c r="M112" s="241"/>
      <c r="N112" s="241"/>
      <c r="O112" s="241"/>
      <c r="P112" s="241"/>
      <c r="Q112" s="241"/>
      <c r="R112" s="241"/>
      <c r="S112" s="241"/>
      <c r="T112" s="244"/>
      <c r="U112" s="241"/>
      <c r="V112" s="241"/>
      <c r="W112" s="241"/>
      <c r="X112" s="241"/>
      <c r="Y112" s="241"/>
      <c r="Z112" s="241"/>
      <c r="AA112" s="241"/>
      <c r="AB112" s="241"/>
      <c r="AC112" s="236"/>
      <c r="AD112" s="236"/>
    </row>
    <row r="113" spans="1:30" ht="13.5">
      <c r="A113" s="241"/>
      <c r="B113" s="242"/>
      <c r="C113" s="242"/>
      <c r="D113" s="242"/>
      <c r="E113" s="242"/>
      <c r="F113" s="242"/>
      <c r="G113" s="241"/>
      <c r="H113" s="241"/>
      <c r="I113" s="241"/>
      <c r="J113" s="241"/>
      <c r="K113" s="241"/>
      <c r="L113" s="241"/>
      <c r="M113" s="241"/>
      <c r="N113" s="241"/>
      <c r="O113" s="241"/>
      <c r="P113" s="241"/>
      <c r="Q113" s="241"/>
      <c r="R113" s="241"/>
      <c r="S113" s="241"/>
      <c r="T113" s="244"/>
      <c r="U113" s="241"/>
      <c r="V113" s="241"/>
      <c r="W113" s="241"/>
      <c r="X113" s="241"/>
      <c r="Y113" s="241"/>
      <c r="Z113" s="241"/>
      <c r="AA113" s="241"/>
      <c r="AB113" s="241"/>
      <c r="AC113" s="236"/>
      <c r="AD113" s="236"/>
    </row>
    <row r="114" spans="1:30" ht="13.5">
      <c r="A114" s="241"/>
      <c r="B114" s="242"/>
      <c r="C114" s="242"/>
      <c r="D114" s="242"/>
      <c r="E114" s="242"/>
      <c r="F114" s="242"/>
      <c r="G114" s="241"/>
      <c r="H114" s="241"/>
      <c r="I114" s="241"/>
      <c r="J114" s="241"/>
      <c r="K114" s="241"/>
      <c r="L114" s="241"/>
      <c r="M114" s="241"/>
      <c r="N114" s="241"/>
      <c r="O114" s="241"/>
      <c r="P114" s="241"/>
      <c r="Q114" s="241"/>
      <c r="R114" s="241"/>
      <c r="S114" s="241"/>
      <c r="T114" s="244"/>
      <c r="U114" s="241"/>
      <c r="V114" s="241"/>
      <c r="W114" s="241"/>
      <c r="X114" s="241"/>
      <c r="Y114" s="241"/>
      <c r="Z114" s="241"/>
      <c r="AA114" s="241"/>
      <c r="AB114" s="241"/>
      <c r="AC114" s="236"/>
      <c r="AD114" s="236"/>
    </row>
    <row r="115" spans="1:30" ht="13.5">
      <c r="A115" s="241"/>
      <c r="B115" s="242"/>
      <c r="C115" s="242"/>
      <c r="D115" s="242"/>
      <c r="E115" s="242"/>
      <c r="F115" s="242"/>
      <c r="G115" s="241"/>
      <c r="H115" s="241"/>
      <c r="I115" s="241"/>
      <c r="J115" s="241"/>
      <c r="K115" s="241"/>
      <c r="L115" s="241"/>
      <c r="M115" s="241"/>
      <c r="N115" s="241"/>
      <c r="O115" s="241"/>
      <c r="P115" s="241"/>
      <c r="Q115" s="241"/>
      <c r="R115" s="241"/>
      <c r="S115" s="241"/>
      <c r="T115" s="244"/>
      <c r="U115" s="241"/>
      <c r="V115" s="241"/>
      <c r="W115" s="241"/>
      <c r="X115" s="241"/>
      <c r="Y115" s="241"/>
      <c r="Z115" s="241"/>
      <c r="AA115" s="241"/>
      <c r="AB115" s="241"/>
      <c r="AC115" s="236"/>
      <c r="AD115" s="236"/>
    </row>
    <row r="116" spans="1:30" ht="13.5">
      <c r="A116" s="241"/>
      <c r="B116" s="242"/>
      <c r="C116" s="242"/>
      <c r="D116" s="242"/>
      <c r="E116" s="242"/>
      <c r="F116" s="242"/>
      <c r="G116" s="241"/>
      <c r="H116" s="241"/>
      <c r="I116" s="241"/>
      <c r="J116" s="241"/>
      <c r="K116" s="241"/>
      <c r="L116" s="241"/>
      <c r="M116" s="241"/>
      <c r="N116" s="241"/>
      <c r="O116" s="241"/>
      <c r="P116" s="241"/>
      <c r="Q116" s="241"/>
      <c r="R116" s="241"/>
      <c r="S116" s="241"/>
      <c r="T116" s="244"/>
      <c r="U116" s="241"/>
      <c r="V116" s="241"/>
      <c r="W116" s="241"/>
      <c r="X116" s="241"/>
      <c r="Y116" s="241"/>
      <c r="Z116" s="241"/>
      <c r="AA116" s="241"/>
      <c r="AB116" s="241"/>
      <c r="AC116" s="236"/>
      <c r="AD116" s="236"/>
    </row>
    <row r="117" spans="1:30" ht="13.5">
      <c r="A117" s="241"/>
      <c r="B117" s="242"/>
      <c r="C117" s="242"/>
      <c r="D117" s="242"/>
      <c r="E117" s="242"/>
      <c r="F117" s="242"/>
      <c r="G117" s="241"/>
      <c r="H117" s="241"/>
      <c r="I117" s="241"/>
      <c r="J117" s="241"/>
      <c r="K117" s="241"/>
      <c r="L117" s="241"/>
      <c r="M117" s="241"/>
      <c r="N117" s="241"/>
      <c r="O117" s="241"/>
      <c r="P117" s="241"/>
      <c r="Q117" s="241"/>
      <c r="R117" s="241"/>
      <c r="S117" s="241"/>
      <c r="T117" s="244"/>
      <c r="U117" s="241"/>
      <c r="V117" s="241"/>
      <c r="W117" s="241"/>
      <c r="X117" s="241"/>
      <c r="Y117" s="241"/>
      <c r="Z117" s="241"/>
      <c r="AA117" s="241"/>
      <c r="AB117" s="241"/>
      <c r="AC117" s="236"/>
      <c r="AD117" s="236"/>
    </row>
    <row r="118" spans="1:30" ht="13.5">
      <c r="A118" s="241"/>
      <c r="B118" s="242"/>
      <c r="C118" s="242"/>
      <c r="D118" s="242"/>
      <c r="E118" s="242"/>
      <c r="F118" s="242"/>
      <c r="G118" s="241"/>
      <c r="H118" s="241"/>
      <c r="I118" s="241"/>
      <c r="J118" s="241"/>
      <c r="K118" s="241"/>
      <c r="L118" s="241"/>
      <c r="M118" s="241"/>
      <c r="N118" s="241"/>
      <c r="O118" s="241"/>
      <c r="P118" s="241"/>
      <c r="Q118" s="241"/>
      <c r="R118" s="241"/>
      <c r="S118" s="241"/>
      <c r="T118" s="244"/>
      <c r="U118" s="241"/>
      <c r="V118" s="241"/>
      <c r="W118" s="241"/>
      <c r="X118" s="241"/>
      <c r="Y118" s="241"/>
      <c r="Z118" s="241"/>
      <c r="AA118" s="241"/>
      <c r="AB118" s="241"/>
      <c r="AC118" s="236"/>
      <c r="AD118" s="236"/>
    </row>
    <row r="119" spans="1:30" ht="13.5">
      <c r="A119" s="241"/>
      <c r="B119" s="242"/>
      <c r="C119" s="242"/>
      <c r="D119" s="242"/>
      <c r="E119" s="242"/>
      <c r="F119" s="242"/>
      <c r="G119" s="241"/>
      <c r="H119" s="241"/>
      <c r="I119" s="241"/>
      <c r="J119" s="241"/>
      <c r="K119" s="241"/>
      <c r="L119" s="241"/>
      <c r="M119" s="241"/>
      <c r="N119" s="241"/>
      <c r="O119" s="241"/>
      <c r="P119" s="241"/>
      <c r="Q119" s="241"/>
      <c r="R119" s="241"/>
      <c r="S119" s="241"/>
      <c r="T119" s="244"/>
      <c r="U119" s="241"/>
      <c r="V119" s="241"/>
      <c r="W119" s="241"/>
      <c r="X119" s="241"/>
      <c r="Y119" s="241"/>
      <c r="Z119" s="241"/>
      <c r="AA119" s="241"/>
      <c r="AB119" s="241"/>
      <c r="AC119" s="236"/>
      <c r="AD119" s="236"/>
    </row>
    <row r="120" spans="1:30" ht="13.5">
      <c r="A120" s="241"/>
      <c r="B120" s="242"/>
      <c r="C120" s="242"/>
      <c r="D120" s="242"/>
      <c r="E120" s="242"/>
      <c r="F120" s="242"/>
      <c r="G120" s="241"/>
      <c r="H120" s="241"/>
      <c r="I120" s="241"/>
      <c r="J120" s="241"/>
      <c r="K120" s="241"/>
      <c r="L120" s="241"/>
      <c r="M120" s="241"/>
      <c r="N120" s="241"/>
      <c r="O120" s="241"/>
      <c r="P120" s="241"/>
      <c r="Q120" s="241"/>
      <c r="R120" s="241"/>
      <c r="S120" s="241"/>
      <c r="T120" s="244"/>
      <c r="U120" s="241"/>
      <c r="V120" s="241"/>
      <c r="W120" s="241"/>
      <c r="X120" s="241"/>
      <c r="Y120" s="241"/>
      <c r="Z120" s="241"/>
      <c r="AA120" s="241"/>
      <c r="AB120" s="241"/>
      <c r="AC120" s="236"/>
      <c r="AD120" s="236"/>
    </row>
    <row r="121" spans="1:30" ht="13.5">
      <c r="A121" s="241"/>
      <c r="B121" s="242"/>
      <c r="C121" s="242"/>
      <c r="D121" s="242"/>
      <c r="E121" s="242"/>
      <c r="F121" s="242"/>
      <c r="G121" s="241"/>
      <c r="H121" s="241"/>
      <c r="I121" s="241"/>
      <c r="J121" s="241"/>
      <c r="K121" s="241"/>
      <c r="L121" s="241"/>
      <c r="M121" s="241"/>
      <c r="N121" s="241"/>
      <c r="O121" s="241"/>
      <c r="P121" s="241"/>
      <c r="Q121" s="241"/>
      <c r="R121" s="241"/>
      <c r="S121" s="241"/>
      <c r="T121" s="244"/>
      <c r="U121" s="241"/>
      <c r="V121" s="241"/>
      <c r="W121" s="241"/>
      <c r="X121" s="241"/>
      <c r="Y121" s="241"/>
      <c r="Z121" s="241"/>
      <c r="AA121" s="241"/>
      <c r="AB121" s="241"/>
      <c r="AC121" s="236"/>
      <c r="AD121" s="236"/>
    </row>
    <row r="122" spans="1:30" ht="13.5">
      <c r="A122" s="241"/>
      <c r="B122" s="242"/>
      <c r="C122" s="242"/>
      <c r="D122" s="242"/>
      <c r="E122" s="242"/>
      <c r="F122" s="242"/>
      <c r="G122" s="241"/>
      <c r="H122" s="241"/>
      <c r="I122" s="241"/>
      <c r="J122" s="241"/>
      <c r="K122" s="241"/>
      <c r="L122" s="241"/>
      <c r="M122" s="241"/>
      <c r="N122" s="241"/>
      <c r="O122" s="241"/>
      <c r="P122" s="241"/>
      <c r="Q122" s="241"/>
      <c r="R122" s="241"/>
      <c r="S122" s="241"/>
      <c r="T122" s="244"/>
      <c r="U122" s="241"/>
      <c r="V122" s="241"/>
      <c r="W122" s="241"/>
      <c r="X122" s="241"/>
      <c r="Y122" s="241"/>
      <c r="Z122" s="241"/>
      <c r="AA122" s="241"/>
      <c r="AB122" s="241"/>
      <c r="AC122" s="236"/>
      <c r="AD122" s="236"/>
    </row>
    <row r="123" spans="1:30" ht="13.5">
      <c r="A123" s="241"/>
      <c r="B123" s="242"/>
      <c r="C123" s="242"/>
      <c r="D123" s="242"/>
      <c r="E123" s="242"/>
      <c r="F123" s="242"/>
      <c r="G123" s="241"/>
      <c r="H123" s="241"/>
      <c r="I123" s="241"/>
      <c r="J123" s="241"/>
      <c r="K123" s="241"/>
      <c r="L123" s="241"/>
      <c r="M123" s="241"/>
      <c r="N123" s="241"/>
      <c r="O123" s="241"/>
      <c r="P123" s="241"/>
      <c r="Q123" s="241"/>
      <c r="R123" s="241"/>
      <c r="S123" s="241"/>
      <c r="T123" s="244"/>
      <c r="U123" s="241"/>
      <c r="V123" s="241"/>
      <c r="W123" s="241"/>
      <c r="X123" s="241"/>
      <c r="Y123" s="241"/>
      <c r="Z123" s="241"/>
      <c r="AA123" s="241"/>
      <c r="AB123" s="241"/>
      <c r="AC123" s="236"/>
      <c r="AD123" s="236"/>
    </row>
    <row r="124" spans="1:30" ht="13.5">
      <c r="A124" s="241"/>
      <c r="B124" s="242"/>
      <c r="C124" s="242"/>
      <c r="D124" s="242"/>
      <c r="E124" s="242"/>
      <c r="F124" s="242"/>
      <c r="G124" s="241"/>
      <c r="H124" s="241"/>
      <c r="I124" s="241"/>
      <c r="J124" s="241"/>
      <c r="K124" s="241"/>
      <c r="L124" s="241"/>
      <c r="M124" s="241"/>
      <c r="N124" s="241"/>
      <c r="O124" s="241"/>
      <c r="P124" s="241"/>
      <c r="Q124" s="241"/>
      <c r="R124" s="241"/>
      <c r="S124" s="241"/>
      <c r="T124" s="244"/>
      <c r="U124" s="241"/>
      <c r="V124" s="241"/>
      <c r="W124" s="241"/>
      <c r="X124" s="241"/>
      <c r="Y124" s="241"/>
      <c r="Z124" s="241"/>
      <c r="AA124" s="241"/>
      <c r="AB124" s="241"/>
      <c r="AC124" s="236"/>
      <c r="AD124" s="236"/>
    </row>
    <row r="125" spans="1:30" ht="13.5">
      <c r="A125" s="241"/>
      <c r="B125" s="242"/>
      <c r="C125" s="242"/>
      <c r="D125" s="242"/>
      <c r="E125" s="242"/>
      <c r="F125" s="242"/>
      <c r="G125" s="241"/>
      <c r="H125" s="241"/>
      <c r="I125" s="241"/>
      <c r="J125" s="241"/>
      <c r="K125" s="241"/>
      <c r="L125" s="241"/>
      <c r="M125" s="241"/>
      <c r="N125" s="241"/>
      <c r="O125" s="241"/>
      <c r="P125" s="241"/>
      <c r="Q125" s="241"/>
      <c r="R125" s="241"/>
      <c r="S125" s="241"/>
      <c r="T125" s="244"/>
      <c r="U125" s="241"/>
      <c r="V125" s="241"/>
      <c r="W125" s="241"/>
      <c r="X125" s="241"/>
      <c r="Y125" s="241"/>
      <c r="Z125" s="241"/>
      <c r="AA125" s="241"/>
      <c r="AB125" s="241"/>
      <c r="AC125" s="236"/>
      <c r="AD125" s="236"/>
    </row>
    <row r="126" spans="1:30" ht="13.5">
      <c r="A126" s="241"/>
      <c r="B126" s="242"/>
      <c r="C126" s="242"/>
      <c r="D126" s="242"/>
      <c r="E126" s="242"/>
      <c r="F126" s="242"/>
      <c r="G126" s="241"/>
      <c r="H126" s="241"/>
      <c r="I126" s="241"/>
      <c r="J126" s="241"/>
      <c r="K126" s="241"/>
      <c r="L126" s="241"/>
      <c r="M126" s="241"/>
      <c r="N126" s="241"/>
      <c r="O126" s="241"/>
      <c r="P126" s="241"/>
      <c r="Q126" s="241"/>
      <c r="R126" s="241"/>
      <c r="S126" s="241"/>
      <c r="T126" s="244"/>
      <c r="U126" s="241"/>
      <c r="V126" s="241"/>
      <c r="W126" s="241"/>
      <c r="X126" s="241"/>
      <c r="Y126" s="241"/>
      <c r="Z126" s="241"/>
      <c r="AA126" s="241"/>
      <c r="AB126" s="241"/>
      <c r="AC126" s="236"/>
      <c r="AD126" s="236"/>
    </row>
    <row r="127" spans="1:30" ht="13.5">
      <c r="A127" s="241"/>
      <c r="B127" s="242"/>
      <c r="C127" s="242"/>
      <c r="D127" s="242"/>
      <c r="E127" s="242"/>
      <c r="F127" s="242"/>
      <c r="G127" s="241"/>
      <c r="H127" s="241"/>
      <c r="I127" s="241"/>
      <c r="J127" s="241"/>
      <c r="K127" s="241"/>
      <c r="L127" s="241"/>
      <c r="M127" s="241"/>
      <c r="N127" s="241"/>
      <c r="O127" s="241"/>
      <c r="P127" s="241"/>
      <c r="Q127" s="241"/>
      <c r="R127" s="241"/>
      <c r="S127" s="241"/>
      <c r="T127" s="244"/>
      <c r="U127" s="241"/>
      <c r="V127" s="241"/>
      <c r="W127" s="241"/>
      <c r="X127" s="241"/>
      <c r="Y127" s="241"/>
      <c r="Z127" s="241"/>
      <c r="AA127" s="241"/>
      <c r="AB127" s="241"/>
      <c r="AC127" s="236"/>
      <c r="AD127" s="236"/>
    </row>
    <row r="128" spans="1:30" ht="13.5">
      <c r="A128" s="241"/>
      <c r="B128" s="242"/>
      <c r="C128" s="242"/>
      <c r="D128" s="242"/>
      <c r="E128" s="242"/>
      <c r="F128" s="242"/>
      <c r="G128" s="241"/>
      <c r="H128" s="241"/>
      <c r="I128" s="241"/>
      <c r="J128" s="241"/>
      <c r="K128" s="241"/>
      <c r="L128" s="241"/>
      <c r="M128" s="241"/>
      <c r="N128" s="241"/>
      <c r="O128" s="241"/>
      <c r="P128" s="241"/>
      <c r="Q128" s="241"/>
      <c r="R128" s="241"/>
      <c r="S128" s="241"/>
      <c r="T128" s="244"/>
      <c r="U128" s="241"/>
      <c r="V128" s="241"/>
      <c r="W128" s="241"/>
      <c r="X128" s="241"/>
      <c r="Y128" s="241"/>
      <c r="Z128" s="241"/>
      <c r="AA128" s="241"/>
      <c r="AB128" s="241"/>
      <c r="AC128" s="236"/>
      <c r="AD128" s="236"/>
    </row>
    <row r="129" spans="1:30" ht="13.5">
      <c r="A129" s="241"/>
      <c r="B129" s="242"/>
      <c r="C129" s="242"/>
      <c r="D129" s="242"/>
      <c r="E129" s="242"/>
      <c r="F129" s="242"/>
      <c r="G129" s="241"/>
      <c r="H129" s="241"/>
      <c r="I129" s="241"/>
      <c r="J129" s="241"/>
      <c r="K129" s="241"/>
      <c r="L129" s="241"/>
      <c r="M129" s="241"/>
      <c r="N129" s="241"/>
      <c r="O129" s="241"/>
      <c r="P129" s="241"/>
      <c r="Q129" s="241"/>
      <c r="R129" s="241"/>
      <c r="S129" s="241"/>
      <c r="T129" s="244"/>
      <c r="U129" s="241"/>
      <c r="V129" s="241"/>
      <c r="W129" s="241"/>
      <c r="X129" s="241"/>
      <c r="Y129" s="241"/>
      <c r="Z129" s="241"/>
      <c r="AA129" s="241"/>
      <c r="AB129" s="241"/>
      <c r="AC129" s="236"/>
      <c r="AD129" s="236"/>
    </row>
    <row r="130" spans="1:30" ht="13.5">
      <c r="A130" s="241"/>
      <c r="B130" s="242"/>
      <c r="C130" s="242"/>
      <c r="D130" s="242"/>
      <c r="E130" s="242"/>
      <c r="F130" s="242"/>
      <c r="G130" s="241"/>
      <c r="H130" s="241"/>
      <c r="I130" s="241"/>
      <c r="J130" s="241"/>
      <c r="K130" s="241"/>
      <c r="L130" s="241"/>
      <c r="M130" s="241"/>
      <c r="N130" s="241"/>
      <c r="O130" s="241"/>
      <c r="P130" s="241"/>
      <c r="Q130" s="241"/>
      <c r="R130" s="241"/>
      <c r="S130" s="241"/>
      <c r="T130" s="244"/>
      <c r="U130" s="241"/>
      <c r="V130" s="241"/>
      <c r="W130" s="241"/>
      <c r="X130" s="241"/>
      <c r="Y130" s="241"/>
      <c r="Z130" s="241"/>
      <c r="AA130" s="241"/>
      <c r="AB130" s="241"/>
      <c r="AC130" s="236"/>
      <c r="AD130" s="236"/>
    </row>
    <row r="131" spans="1:30" ht="13.5">
      <c r="A131" s="241"/>
      <c r="B131" s="242"/>
      <c r="C131" s="242"/>
      <c r="D131" s="242"/>
      <c r="E131" s="242"/>
      <c r="F131" s="242"/>
      <c r="G131" s="241"/>
      <c r="H131" s="241"/>
      <c r="I131" s="241"/>
      <c r="J131" s="241"/>
      <c r="K131" s="241"/>
      <c r="L131" s="241"/>
      <c r="M131" s="241"/>
      <c r="N131" s="241"/>
      <c r="O131" s="241"/>
      <c r="P131" s="241"/>
      <c r="Q131" s="241"/>
      <c r="R131" s="241"/>
      <c r="S131" s="241"/>
      <c r="T131" s="244"/>
      <c r="U131" s="241"/>
      <c r="V131" s="241"/>
      <c r="W131" s="241"/>
      <c r="X131" s="241"/>
      <c r="Y131" s="241"/>
      <c r="Z131" s="241"/>
      <c r="AA131" s="241"/>
      <c r="AB131" s="241"/>
      <c r="AC131" s="236"/>
      <c r="AD131" s="236"/>
    </row>
    <row r="132" spans="1:30" ht="13.5">
      <c r="A132" s="241"/>
      <c r="B132" s="242"/>
      <c r="C132" s="242"/>
      <c r="D132" s="242"/>
      <c r="E132" s="242"/>
      <c r="F132" s="242"/>
      <c r="G132" s="241"/>
      <c r="H132" s="241"/>
      <c r="I132" s="241"/>
      <c r="J132" s="241"/>
      <c r="K132" s="241"/>
      <c r="L132" s="241"/>
      <c r="M132" s="241"/>
      <c r="N132" s="241"/>
      <c r="O132" s="241"/>
      <c r="P132" s="241"/>
      <c r="Q132" s="241"/>
      <c r="R132" s="241"/>
      <c r="S132" s="241"/>
      <c r="T132" s="244"/>
      <c r="U132" s="241"/>
      <c r="V132" s="241"/>
      <c r="W132" s="241"/>
      <c r="X132" s="241"/>
      <c r="Y132" s="241"/>
      <c r="Z132" s="241"/>
      <c r="AA132" s="241"/>
      <c r="AB132" s="241"/>
      <c r="AC132" s="236"/>
      <c r="AD132" s="236"/>
    </row>
    <row r="133" spans="1:30" ht="13.5">
      <c r="A133" s="241"/>
      <c r="B133" s="242"/>
      <c r="C133" s="242"/>
      <c r="D133" s="242"/>
      <c r="E133" s="242"/>
      <c r="F133" s="242"/>
      <c r="G133" s="241"/>
      <c r="H133" s="241"/>
      <c r="I133" s="241"/>
      <c r="J133" s="241"/>
      <c r="K133" s="241"/>
      <c r="L133" s="241"/>
      <c r="M133" s="241"/>
      <c r="N133" s="241"/>
      <c r="O133" s="241"/>
      <c r="P133" s="241"/>
      <c r="Q133" s="241"/>
      <c r="R133" s="241"/>
      <c r="S133" s="241"/>
      <c r="T133" s="244"/>
      <c r="U133" s="241"/>
      <c r="V133" s="241"/>
      <c r="W133" s="241"/>
      <c r="X133" s="241"/>
      <c r="Y133" s="241"/>
      <c r="Z133" s="241"/>
      <c r="AA133" s="241"/>
      <c r="AB133" s="241"/>
      <c r="AC133" s="236"/>
      <c r="AD133" s="236"/>
    </row>
    <row r="134" spans="1:30" ht="13.5">
      <c r="A134" s="241"/>
      <c r="B134" s="242"/>
      <c r="C134" s="242"/>
      <c r="D134" s="242"/>
      <c r="E134" s="242"/>
      <c r="F134" s="242"/>
      <c r="G134" s="241"/>
      <c r="H134" s="241"/>
      <c r="I134" s="241"/>
      <c r="J134" s="241"/>
      <c r="K134" s="241"/>
      <c r="L134" s="241"/>
      <c r="M134" s="241"/>
      <c r="N134" s="241"/>
      <c r="O134" s="241"/>
      <c r="P134" s="241"/>
      <c r="Q134" s="241"/>
      <c r="R134" s="241"/>
      <c r="S134" s="241"/>
      <c r="T134" s="244"/>
      <c r="U134" s="241"/>
      <c r="V134" s="241"/>
      <c r="W134" s="241"/>
      <c r="X134" s="241"/>
      <c r="Y134" s="241"/>
      <c r="Z134" s="241"/>
      <c r="AA134" s="241"/>
      <c r="AB134" s="241"/>
      <c r="AC134" s="236"/>
      <c r="AD134" s="236"/>
    </row>
    <row r="135" spans="1:30" ht="13.5">
      <c r="A135" s="241"/>
      <c r="B135" s="242"/>
      <c r="C135" s="242"/>
      <c r="D135" s="242"/>
      <c r="E135" s="242"/>
      <c r="F135" s="242"/>
      <c r="G135" s="241"/>
      <c r="H135" s="241"/>
      <c r="I135" s="241"/>
      <c r="J135" s="241"/>
      <c r="K135" s="241"/>
      <c r="L135" s="241"/>
      <c r="M135" s="241"/>
      <c r="N135" s="241"/>
      <c r="O135" s="241"/>
      <c r="P135" s="241"/>
      <c r="Q135" s="241"/>
      <c r="R135" s="241"/>
      <c r="S135" s="241"/>
      <c r="T135" s="244"/>
      <c r="U135" s="241"/>
      <c r="V135" s="241"/>
      <c r="W135" s="241"/>
      <c r="X135" s="241"/>
      <c r="Y135" s="241"/>
      <c r="Z135" s="241"/>
      <c r="AA135" s="241"/>
      <c r="AB135" s="241"/>
      <c r="AC135" s="236"/>
      <c r="AD135" s="236"/>
    </row>
    <row r="136" spans="1:30" ht="13.5">
      <c r="A136" s="241"/>
      <c r="B136" s="242"/>
      <c r="C136" s="242"/>
      <c r="D136" s="242"/>
      <c r="E136" s="242"/>
      <c r="F136" s="242"/>
      <c r="G136" s="241"/>
      <c r="H136" s="241"/>
      <c r="I136" s="241"/>
      <c r="J136" s="241"/>
      <c r="K136" s="241"/>
      <c r="L136" s="241"/>
      <c r="M136" s="241"/>
      <c r="N136" s="241"/>
      <c r="O136" s="241"/>
      <c r="P136" s="241"/>
      <c r="Q136" s="241"/>
      <c r="R136" s="241"/>
      <c r="S136" s="241"/>
      <c r="T136" s="244"/>
      <c r="U136" s="241"/>
      <c r="V136" s="241"/>
      <c r="W136" s="241"/>
      <c r="X136" s="241"/>
      <c r="Y136" s="241"/>
      <c r="Z136" s="241"/>
      <c r="AA136" s="241"/>
      <c r="AB136" s="241"/>
      <c r="AC136" s="236"/>
      <c r="AD136" s="236"/>
    </row>
    <row r="137" spans="1:30" ht="13.5">
      <c r="A137" s="241"/>
      <c r="B137" s="242"/>
      <c r="C137" s="242"/>
      <c r="D137" s="242"/>
      <c r="E137" s="242"/>
      <c r="F137" s="242"/>
      <c r="G137" s="241"/>
      <c r="H137" s="241"/>
      <c r="I137" s="241"/>
      <c r="J137" s="241"/>
      <c r="K137" s="241"/>
      <c r="L137" s="241"/>
      <c r="M137" s="241"/>
      <c r="N137" s="241"/>
      <c r="O137" s="241"/>
      <c r="P137" s="241"/>
      <c r="Q137" s="241"/>
      <c r="R137" s="241"/>
      <c r="S137" s="241"/>
      <c r="T137" s="244"/>
      <c r="U137" s="241"/>
      <c r="V137" s="241"/>
      <c r="W137" s="241"/>
      <c r="X137" s="241"/>
      <c r="Y137" s="241"/>
      <c r="Z137" s="241"/>
      <c r="AA137" s="241"/>
      <c r="AB137" s="241"/>
      <c r="AC137" s="236"/>
      <c r="AD137" s="236"/>
    </row>
    <row r="138" spans="1:30" ht="13.5">
      <c r="A138" s="241"/>
      <c r="B138" s="242"/>
      <c r="C138" s="242"/>
      <c r="D138" s="242"/>
      <c r="E138" s="242"/>
      <c r="F138" s="242"/>
      <c r="G138" s="241"/>
      <c r="H138" s="241"/>
      <c r="I138" s="241"/>
      <c r="J138" s="241"/>
      <c r="K138" s="241"/>
      <c r="L138" s="241"/>
      <c r="M138" s="241"/>
      <c r="N138" s="241"/>
      <c r="O138" s="241"/>
      <c r="P138" s="241"/>
      <c r="Q138" s="241"/>
      <c r="R138" s="241"/>
      <c r="S138" s="241"/>
      <c r="T138" s="244"/>
      <c r="U138" s="241"/>
      <c r="V138" s="241"/>
      <c r="W138" s="241"/>
      <c r="X138" s="241"/>
      <c r="Y138" s="241"/>
      <c r="Z138" s="241"/>
      <c r="AA138" s="241"/>
      <c r="AB138" s="241"/>
      <c r="AC138" s="236"/>
      <c r="AD138" s="236"/>
    </row>
    <row r="139" spans="1:30" ht="13.5">
      <c r="A139" s="241"/>
      <c r="B139" s="242"/>
      <c r="C139" s="242"/>
      <c r="D139" s="242"/>
      <c r="E139" s="242"/>
      <c r="F139" s="242"/>
      <c r="G139" s="241"/>
      <c r="H139" s="241"/>
      <c r="I139" s="241"/>
      <c r="J139" s="241"/>
      <c r="K139" s="241"/>
      <c r="L139" s="241"/>
      <c r="M139" s="241"/>
      <c r="N139" s="241"/>
      <c r="O139" s="241"/>
      <c r="P139" s="241"/>
      <c r="Q139" s="241"/>
      <c r="R139" s="241"/>
      <c r="S139" s="241"/>
      <c r="T139" s="244"/>
      <c r="U139" s="241"/>
      <c r="V139" s="241"/>
      <c r="W139" s="241"/>
      <c r="X139" s="241"/>
      <c r="Y139" s="241"/>
      <c r="Z139" s="241"/>
      <c r="AA139" s="241"/>
      <c r="AB139" s="241"/>
      <c r="AC139" s="236"/>
      <c r="AD139" s="236"/>
    </row>
    <row r="140" spans="1:30" ht="13.5">
      <c r="A140" s="241"/>
      <c r="B140" s="242"/>
      <c r="C140" s="242"/>
      <c r="D140" s="242"/>
      <c r="E140" s="242"/>
      <c r="F140" s="242"/>
      <c r="G140" s="241"/>
      <c r="H140" s="241"/>
      <c r="I140" s="241"/>
      <c r="J140" s="241"/>
      <c r="K140" s="241"/>
      <c r="L140" s="241"/>
      <c r="M140" s="241"/>
      <c r="N140" s="241"/>
      <c r="O140" s="241"/>
      <c r="P140" s="241"/>
      <c r="Q140" s="241"/>
      <c r="R140" s="241"/>
      <c r="S140" s="241"/>
      <c r="T140" s="244"/>
      <c r="U140" s="241"/>
      <c r="V140" s="241"/>
      <c r="W140" s="241"/>
      <c r="X140" s="241"/>
      <c r="Y140" s="241"/>
      <c r="Z140" s="241"/>
      <c r="AA140" s="241"/>
      <c r="AB140" s="241"/>
      <c r="AC140" s="236"/>
      <c r="AD140" s="236"/>
    </row>
    <row r="141" spans="1:30" ht="13.5">
      <c r="A141" s="241"/>
      <c r="B141" s="242"/>
      <c r="C141" s="242"/>
      <c r="D141" s="242"/>
      <c r="E141" s="242"/>
      <c r="F141" s="242"/>
      <c r="G141" s="241"/>
      <c r="H141" s="241"/>
      <c r="I141" s="241"/>
      <c r="J141" s="241"/>
      <c r="K141" s="241"/>
      <c r="L141" s="241"/>
      <c r="M141" s="241"/>
      <c r="N141" s="241"/>
      <c r="O141" s="241"/>
      <c r="P141" s="241"/>
      <c r="Q141" s="241"/>
      <c r="R141" s="241"/>
      <c r="S141" s="241"/>
      <c r="T141" s="244"/>
      <c r="U141" s="241"/>
      <c r="V141" s="241"/>
      <c r="W141" s="241"/>
      <c r="X141" s="241"/>
      <c r="Y141" s="241"/>
      <c r="Z141" s="241"/>
      <c r="AA141" s="241"/>
      <c r="AB141" s="241"/>
      <c r="AC141" s="236"/>
      <c r="AD141" s="236"/>
    </row>
    <row r="142" spans="1:30" ht="13.5">
      <c r="A142" s="241"/>
      <c r="B142" s="242"/>
      <c r="C142" s="242"/>
      <c r="D142" s="242"/>
      <c r="E142" s="242"/>
      <c r="F142" s="242"/>
      <c r="G142" s="241"/>
      <c r="H142" s="241"/>
      <c r="I142" s="241"/>
      <c r="J142" s="241"/>
      <c r="K142" s="241"/>
      <c r="L142" s="241"/>
      <c r="M142" s="241"/>
      <c r="N142" s="241"/>
      <c r="O142" s="241"/>
      <c r="P142" s="241"/>
      <c r="Q142" s="241"/>
      <c r="R142" s="241"/>
      <c r="S142" s="241"/>
      <c r="T142" s="244"/>
      <c r="U142" s="241"/>
      <c r="V142" s="241"/>
      <c r="W142" s="241"/>
      <c r="X142" s="241"/>
      <c r="Y142" s="241"/>
      <c r="Z142" s="241"/>
      <c r="AA142" s="241"/>
      <c r="AB142" s="241"/>
      <c r="AC142" s="236"/>
      <c r="AD142" s="236"/>
    </row>
    <row r="143" spans="1:30" ht="13.5">
      <c r="A143" s="241"/>
      <c r="B143" s="242"/>
      <c r="C143" s="242"/>
      <c r="D143" s="242"/>
      <c r="E143" s="242"/>
      <c r="F143" s="242"/>
      <c r="G143" s="241"/>
      <c r="H143" s="241"/>
      <c r="I143" s="241"/>
      <c r="J143" s="241"/>
      <c r="K143" s="241"/>
      <c r="L143" s="241"/>
      <c r="M143" s="241"/>
      <c r="N143" s="241"/>
      <c r="O143" s="241"/>
      <c r="P143" s="241"/>
      <c r="Q143" s="241"/>
      <c r="R143" s="241"/>
      <c r="S143" s="241"/>
      <c r="T143" s="244"/>
      <c r="U143" s="241"/>
      <c r="V143" s="241"/>
      <c r="W143" s="241"/>
      <c r="X143" s="241"/>
      <c r="Y143" s="241"/>
      <c r="Z143" s="241"/>
      <c r="AA143" s="241"/>
      <c r="AB143" s="241"/>
      <c r="AC143" s="236"/>
      <c r="AD143" s="236"/>
    </row>
    <row r="144" spans="1:30" ht="13.5">
      <c r="A144" s="241"/>
      <c r="B144" s="242"/>
      <c r="C144" s="242"/>
      <c r="D144" s="242"/>
      <c r="E144" s="242"/>
      <c r="F144" s="242"/>
      <c r="G144" s="241"/>
      <c r="H144" s="241"/>
      <c r="I144" s="241"/>
      <c r="J144" s="241"/>
      <c r="K144" s="241"/>
      <c r="L144" s="241"/>
      <c r="M144" s="241"/>
      <c r="N144" s="241"/>
      <c r="O144" s="241"/>
      <c r="P144" s="241"/>
      <c r="Q144" s="241"/>
      <c r="R144" s="241"/>
      <c r="S144" s="241"/>
      <c r="T144" s="244"/>
      <c r="U144" s="241"/>
      <c r="V144" s="241"/>
      <c r="W144" s="241"/>
      <c r="X144" s="241"/>
      <c r="Y144" s="241"/>
      <c r="Z144" s="241"/>
      <c r="AA144" s="241"/>
      <c r="AB144" s="241"/>
      <c r="AC144" s="236"/>
      <c r="AD144" s="236"/>
    </row>
    <row r="145" spans="1:30" ht="13.5">
      <c r="A145" s="241"/>
      <c r="B145" s="242"/>
      <c r="C145" s="242"/>
      <c r="D145" s="242"/>
      <c r="E145" s="242"/>
      <c r="F145" s="242"/>
      <c r="G145" s="241"/>
      <c r="H145" s="241"/>
      <c r="I145" s="241"/>
      <c r="J145" s="241"/>
      <c r="K145" s="241"/>
      <c r="L145" s="241"/>
      <c r="M145" s="241"/>
      <c r="N145" s="241"/>
      <c r="O145" s="241"/>
      <c r="P145" s="241"/>
      <c r="Q145" s="241"/>
      <c r="R145" s="241"/>
      <c r="S145" s="241"/>
      <c r="T145" s="244"/>
      <c r="U145" s="241"/>
      <c r="V145" s="241"/>
      <c r="W145" s="241"/>
      <c r="X145" s="241"/>
      <c r="Y145" s="241"/>
      <c r="Z145" s="241"/>
      <c r="AA145" s="241"/>
      <c r="AB145" s="241"/>
      <c r="AC145" s="236"/>
      <c r="AD145" s="236"/>
    </row>
    <row r="146" spans="1:30" ht="13.5">
      <c r="A146" s="241"/>
      <c r="B146" s="242"/>
      <c r="C146" s="242"/>
      <c r="D146" s="242"/>
      <c r="E146" s="242"/>
      <c r="F146" s="242"/>
      <c r="G146" s="241"/>
      <c r="H146" s="241"/>
      <c r="I146" s="241"/>
      <c r="J146" s="241"/>
      <c r="K146" s="241"/>
      <c r="L146" s="241"/>
      <c r="M146" s="241"/>
      <c r="N146" s="241"/>
      <c r="O146" s="241"/>
      <c r="P146" s="241"/>
      <c r="Q146" s="241"/>
      <c r="R146" s="241"/>
      <c r="S146" s="241"/>
      <c r="T146" s="244"/>
      <c r="U146" s="241"/>
      <c r="V146" s="241"/>
      <c r="W146" s="241"/>
      <c r="X146" s="241"/>
      <c r="Y146" s="241"/>
      <c r="Z146" s="241"/>
      <c r="AA146" s="241"/>
      <c r="AB146" s="241"/>
      <c r="AC146" s="236"/>
      <c r="AD146" s="236"/>
    </row>
    <row r="147" spans="1:30" ht="13.5">
      <c r="A147" s="241"/>
      <c r="B147" s="242"/>
      <c r="C147" s="242"/>
      <c r="D147" s="242"/>
      <c r="E147" s="242"/>
      <c r="F147" s="242"/>
      <c r="G147" s="241"/>
      <c r="H147" s="241"/>
      <c r="I147" s="241"/>
      <c r="J147" s="241"/>
      <c r="K147" s="241"/>
      <c r="L147" s="241"/>
      <c r="M147" s="241"/>
      <c r="N147" s="241"/>
      <c r="O147" s="241"/>
      <c r="P147" s="241"/>
      <c r="Q147" s="241"/>
      <c r="R147" s="241"/>
      <c r="S147" s="241"/>
      <c r="T147" s="244"/>
      <c r="U147" s="241"/>
      <c r="V147" s="241"/>
      <c r="W147" s="241"/>
      <c r="X147" s="241"/>
      <c r="Y147" s="241"/>
      <c r="Z147" s="241"/>
      <c r="AA147" s="241"/>
      <c r="AB147" s="241"/>
      <c r="AC147" s="236"/>
      <c r="AD147" s="236"/>
    </row>
    <row r="148" spans="1:30" ht="13.5">
      <c r="A148" s="241"/>
      <c r="B148" s="242"/>
      <c r="C148" s="242"/>
      <c r="D148" s="242"/>
      <c r="E148" s="242"/>
      <c r="F148" s="242"/>
      <c r="G148" s="241"/>
      <c r="H148" s="241"/>
      <c r="I148" s="241"/>
      <c r="J148" s="241"/>
      <c r="K148" s="241"/>
      <c r="L148" s="241"/>
      <c r="M148" s="241"/>
      <c r="N148" s="241"/>
      <c r="O148" s="241"/>
      <c r="P148" s="241"/>
      <c r="Q148" s="241"/>
      <c r="R148" s="241"/>
      <c r="S148" s="241"/>
      <c r="T148" s="244"/>
      <c r="U148" s="241"/>
      <c r="V148" s="241"/>
      <c r="W148" s="241"/>
      <c r="X148" s="241"/>
      <c r="Y148" s="241"/>
      <c r="Z148" s="241"/>
      <c r="AA148" s="241"/>
      <c r="AB148" s="241"/>
      <c r="AC148" s="236"/>
      <c r="AD148" s="236"/>
    </row>
    <row r="149" spans="1:30" ht="13.5">
      <c r="A149" s="241"/>
      <c r="B149" s="242"/>
      <c r="C149" s="242"/>
      <c r="D149" s="242"/>
      <c r="E149" s="242"/>
      <c r="F149" s="242"/>
      <c r="G149" s="241"/>
      <c r="H149" s="241"/>
      <c r="I149" s="241"/>
      <c r="J149" s="241"/>
      <c r="K149" s="241"/>
      <c r="L149" s="241"/>
      <c r="M149" s="241"/>
      <c r="N149" s="241"/>
      <c r="O149" s="241"/>
      <c r="P149" s="241"/>
      <c r="Q149" s="241"/>
      <c r="R149" s="241"/>
      <c r="S149" s="241"/>
      <c r="T149" s="244"/>
      <c r="U149" s="241"/>
      <c r="V149" s="241"/>
      <c r="W149" s="241"/>
      <c r="X149" s="241"/>
      <c r="Y149" s="241"/>
      <c r="Z149" s="241"/>
      <c r="AA149" s="241"/>
      <c r="AB149" s="241"/>
      <c r="AC149" s="236"/>
      <c r="AD149" s="236"/>
    </row>
    <row r="150" spans="1:30" ht="13.5">
      <c r="A150" s="241"/>
      <c r="B150" s="242"/>
      <c r="C150" s="242"/>
      <c r="D150" s="242"/>
      <c r="E150" s="242"/>
      <c r="F150" s="242"/>
      <c r="G150" s="241"/>
      <c r="H150" s="241"/>
      <c r="I150" s="241"/>
      <c r="J150" s="241"/>
      <c r="K150" s="241"/>
      <c r="L150" s="241"/>
      <c r="M150" s="241"/>
      <c r="N150" s="241"/>
      <c r="O150" s="241"/>
      <c r="P150" s="241"/>
      <c r="Q150" s="241"/>
      <c r="R150" s="241"/>
      <c r="S150" s="241"/>
      <c r="T150" s="244"/>
      <c r="U150" s="241"/>
      <c r="V150" s="241"/>
      <c r="W150" s="241"/>
      <c r="X150" s="241"/>
      <c r="Y150" s="241"/>
      <c r="Z150" s="241"/>
      <c r="AA150" s="241"/>
      <c r="AB150" s="241"/>
      <c r="AC150" s="236"/>
      <c r="AD150" s="236"/>
    </row>
    <row r="151" spans="1:30" ht="13.5">
      <c r="A151" s="241"/>
      <c r="B151" s="242"/>
      <c r="C151" s="242"/>
      <c r="D151" s="242"/>
      <c r="E151" s="242"/>
      <c r="F151" s="242"/>
      <c r="G151" s="241"/>
      <c r="H151" s="241"/>
      <c r="I151" s="241"/>
      <c r="J151" s="241"/>
      <c r="K151" s="241"/>
      <c r="L151" s="241"/>
      <c r="M151" s="241"/>
      <c r="N151" s="241"/>
      <c r="O151" s="241"/>
      <c r="P151" s="241"/>
      <c r="Q151" s="241"/>
      <c r="R151" s="241"/>
      <c r="S151" s="241"/>
      <c r="T151" s="244"/>
      <c r="U151" s="241"/>
      <c r="V151" s="241"/>
      <c r="W151" s="241"/>
      <c r="X151" s="241"/>
      <c r="Y151" s="241"/>
      <c r="Z151" s="241"/>
      <c r="AA151" s="241"/>
      <c r="AB151" s="241"/>
      <c r="AC151" s="236"/>
      <c r="AD151" s="236"/>
    </row>
    <row r="152" spans="1:30" ht="13.5">
      <c r="A152" s="241"/>
      <c r="B152" s="242"/>
      <c r="C152" s="242"/>
      <c r="D152" s="242"/>
      <c r="E152" s="242"/>
      <c r="F152" s="242"/>
      <c r="G152" s="241"/>
      <c r="H152" s="241"/>
      <c r="I152" s="241"/>
      <c r="J152" s="241"/>
      <c r="K152" s="241"/>
      <c r="L152" s="241"/>
      <c r="M152" s="241"/>
      <c r="N152" s="241"/>
      <c r="O152" s="241"/>
      <c r="P152" s="241"/>
      <c r="Q152" s="241"/>
      <c r="R152" s="241"/>
      <c r="S152" s="241"/>
      <c r="T152" s="244"/>
      <c r="U152" s="241"/>
      <c r="V152" s="241"/>
      <c r="W152" s="241"/>
      <c r="X152" s="241"/>
      <c r="Y152" s="241"/>
      <c r="Z152" s="241"/>
      <c r="AA152" s="241"/>
      <c r="AB152" s="241"/>
      <c r="AC152" s="236"/>
      <c r="AD152" s="236"/>
    </row>
    <row r="153" spans="1:30" ht="13.5">
      <c r="A153" s="241"/>
      <c r="B153" s="242"/>
      <c r="C153" s="242"/>
      <c r="D153" s="242"/>
      <c r="E153" s="242"/>
      <c r="F153" s="242"/>
      <c r="G153" s="241"/>
      <c r="H153" s="241"/>
      <c r="I153" s="241"/>
      <c r="J153" s="241"/>
      <c r="K153" s="241"/>
      <c r="L153" s="241"/>
      <c r="M153" s="241"/>
      <c r="N153" s="241"/>
      <c r="O153" s="241"/>
      <c r="P153" s="241"/>
      <c r="Q153" s="241"/>
      <c r="R153" s="241"/>
      <c r="S153" s="241"/>
      <c r="T153" s="244"/>
      <c r="U153" s="241"/>
      <c r="V153" s="241"/>
      <c r="W153" s="241"/>
      <c r="X153" s="241"/>
      <c r="Y153" s="241"/>
      <c r="Z153" s="241"/>
      <c r="AA153" s="241"/>
      <c r="AB153" s="241"/>
      <c r="AC153" s="236"/>
      <c r="AD153" s="236"/>
    </row>
    <row r="154" spans="1:30" ht="13.5">
      <c r="A154" s="241"/>
      <c r="B154" s="242"/>
      <c r="C154" s="242"/>
      <c r="D154" s="242"/>
      <c r="E154" s="242"/>
      <c r="F154" s="242"/>
      <c r="G154" s="241"/>
      <c r="H154" s="241"/>
      <c r="I154" s="241"/>
      <c r="J154" s="241"/>
      <c r="K154" s="241"/>
      <c r="L154" s="241"/>
      <c r="M154" s="241"/>
      <c r="N154" s="241"/>
      <c r="O154" s="241"/>
      <c r="P154" s="241"/>
      <c r="Q154" s="241"/>
      <c r="R154" s="241"/>
      <c r="S154" s="241"/>
      <c r="T154" s="244"/>
      <c r="U154" s="241"/>
      <c r="V154" s="241"/>
      <c r="W154" s="241"/>
      <c r="X154" s="241"/>
      <c r="Y154" s="241"/>
      <c r="Z154" s="241"/>
      <c r="AA154" s="241"/>
      <c r="AB154" s="241"/>
      <c r="AC154" s="236"/>
      <c r="AD154" s="236"/>
    </row>
    <row r="155" spans="1:30" ht="13.5">
      <c r="A155" s="241"/>
      <c r="B155" s="242"/>
      <c r="C155" s="242"/>
      <c r="D155" s="242"/>
      <c r="E155" s="242"/>
      <c r="F155" s="242"/>
      <c r="G155" s="241"/>
      <c r="H155" s="241"/>
      <c r="I155" s="241"/>
      <c r="J155" s="241"/>
      <c r="K155" s="241"/>
      <c r="L155" s="241"/>
      <c r="M155" s="241"/>
      <c r="N155" s="241"/>
      <c r="O155" s="241"/>
      <c r="P155" s="241"/>
      <c r="Q155" s="241"/>
      <c r="R155" s="241"/>
      <c r="S155" s="241"/>
      <c r="T155" s="244"/>
      <c r="U155" s="241"/>
      <c r="V155" s="241"/>
      <c r="W155" s="241"/>
      <c r="X155" s="241"/>
      <c r="Y155" s="241"/>
      <c r="Z155" s="241"/>
      <c r="AA155" s="241"/>
      <c r="AB155" s="241"/>
      <c r="AC155" s="236"/>
      <c r="AD155" s="236"/>
    </row>
    <row r="156" spans="1:30" ht="13.5">
      <c r="A156" s="241"/>
      <c r="B156" s="242"/>
      <c r="C156" s="242"/>
      <c r="D156" s="242"/>
      <c r="E156" s="242"/>
      <c r="F156" s="242"/>
      <c r="G156" s="241"/>
      <c r="H156" s="241"/>
      <c r="I156" s="241"/>
      <c r="J156" s="241"/>
      <c r="K156" s="241"/>
      <c r="L156" s="241"/>
      <c r="M156" s="241"/>
      <c r="N156" s="241"/>
      <c r="O156" s="241"/>
      <c r="P156" s="241"/>
      <c r="Q156" s="241"/>
      <c r="R156" s="241"/>
      <c r="S156" s="241"/>
      <c r="T156" s="244"/>
      <c r="U156" s="241"/>
      <c r="V156" s="241"/>
      <c r="W156" s="241"/>
      <c r="X156" s="241"/>
      <c r="Y156" s="241"/>
      <c r="Z156" s="241"/>
      <c r="AA156" s="241"/>
      <c r="AB156" s="241"/>
      <c r="AC156" s="236"/>
      <c r="AD156" s="236"/>
    </row>
    <row r="157" spans="1:30" ht="13.5">
      <c r="A157" s="241"/>
      <c r="B157" s="242"/>
      <c r="C157" s="242"/>
      <c r="D157" s="242"/>
      <c r="E157" s="242"/>
      <c r="F157" s="242"/>
      <c r="G157" s="241"/>
      <c r="H157" s="241"/>
      <c r="I157" s="241"/>
      <c r="J157" s="241"/>
      <c r="K157" s="241"/>
      <c r="L157" s="241"/>
      <c r="M157" s="241"/>
      <c r="N157" s="241"/>
      <c r="O157" s="241"/>
      <c r="P157" s="241"/>
      <c r="Q157" s="241"/>
      <c r="R157" s="241"/>
      <c r="S157" s="241"/>
      <c r="T157" s="244"/>
      <c r="U157" s="241"/>
      <c r="V157" s="241"/>
      <c r="W157" s="241"/>
      <c r="X157" s="241"/>
      <c r="Y157" s="241"/>
      <c r="Z157" s="241"/>
      <c r="AA157" s="241"/>
      <c r="AB157" s="241"/>
      <c r="AC157" s="236"/>
      <c r="AD157" s="236"/>
    </row>
    <row r="158" spans="1:30" ht="13.5">
      <c r="A158" s="241"/>
      <c r="B158" s="242"/>
      <c r="C158" s="242"/>
      <c r="D158" s="242"/>
      <c r="E158" s="242"/>
      <c r="F158" s="242"/>
      <c r="G158" s="241"/>
      <c r="H158" s="241"/>
      <c r="I158" s="241"/>
      <c r="J158" s="241"/>
      <c r="K158" s="241"/>
      <c r="L158" s="241"/>
      <c r="M158" s="241"/>
      <c r="N158" s="241"/>
      <c r="O158" s="241"/>
      <c r="P158" s="241"/>
      <c r="Q158" s="241"/>
      <c r="R158" s="241"/>
      <c r="S158" s="241"/>
      <c r="T158" s="244"/>
      <c r="U158" s="241"/>
      <c r="V158" s="241"/>
      <c r="W158" s="241"/>
      <c r="X158" s="241"/>
      <c r="Y158" s="241"/>
      <c r="Z158" s="241"/>
      <c r="AA158" s="241"/>
      <c r="AB158" s="241"/>
      <c r="AC158" s="236"/>
      <c r="AD158" s="236"/>
    </row>
    <row r="159" spans="1:30" ht="13.5">
      <c r="A159" s="241"/>
      <c r="B159" s="242"/>
      <c r="C159" s="242"/>
      <c r="D159" s="242"/>
      <c r="E159" s="242"/>
      <c r="F159" s="242"/>
      <c r="G159" s="241"/>
      <c r="H159" s="241"/>
      <c r="I159" s="241"/>
      <c r="J159" s="241"/>
      <c r="K159" s="241"/>
      <c r="L159" s="241"/>
      <c r="M159" s="241"/>
      <c r="N159" s="241"/>
      <c r="O159" s="241"/>
      <c r="P159" s="241"/>
      <c r="Q159" s="241"/>
      <c r="R159" s="241"/>
      <c r="S159" s="241"/>
      <c r="T159" s="244"/>
      <c r="U159" s="241"/>
      <c r="V159" s="241"/>
      <c r="W159" s="241"/>
      <c r="X159" s="241"/>
      <c r="Y159" s="241"/>
      <c r="Z159" s="241"/>
      <c r="AA159" s="241"/>
      <c r="AB159" s="241"/>
      <c r="AC159" s="236"/>
      <c r="AD159" s="236"/>
    </row>
    <row r="160" spans="1:30" ht="13.5">
      <c r="A160" s="241"/>
      <c r="B160" s="242"/>
      <c r="C160" s="242"/>
      <c r="D160" s="242"/>
      <c r="E160" s="242"/>
      <c r="F160" s="242"/>
      <c r="G160" s="241"/>
      <c r="H160" s="241"/>
      <c r="I160" s="241"/>
      <c r="J160" s="241"/>
      <c r="K160" s="241"/>
      <c r="L160" s="241"/>
      <c r="M160" s="241"/>
      <c r="N160" s="241"/>
      <c r="O160" s="241"/>
      <c r="P160" s="241"/>
      <c r="Q160" s="241"/>
      <c r="R160" s="241"/>
      <c r="S160" s="241"/>
      <c r="T160" s="244"/>
      <c r="U160" s="241"/>
      <c r="V160" s="241"/>
      <c r="W160" s="241"/>
      <c r="X160" s="241"/>
      <c r="Y160" s="241"/>
      <c r="Z160" s="241"/>
      <c r="AA160" s="241"/>
      <c r="AB160" s="241"/>
      <c r="AC160" s="236"/>
      <c r="AD160" s="236"/>
    </row>
    <row r="161" spans="1:30" ht="13.5">
      <c r="A161" s="241"/>
      <c r="B161" s="242"/>
      <c r="C161" s="242"/>
      <c r="D161" s="242"/>
      <c r="E161" s="242"/>
      <c r="F161" s="242"/>
      <c r="G161" s="241"/>
      <c r="H161" s="241"/>
      <c r="I161" s="241"/>
      <c r="J161" s="241"/>
      <c r="K161" s="241"/>
      <c r="L161" s="241"/>
      <c r="M161" s="241"/>
      <c r="N161" s="241"/>
      <c r="O161" s="241"/>
      <c r="P161" s="241"/>
      <c r="Q161" s="241"/>
      <c r="R161" s="241"/>
      <c r="S161" s="241"/>
      <c r="T161" s="244"/>
      <c r="U161" s="241"/>
      <c r="V161" s="241"/>
      <c r="W161" s="241"/>
      <c r="X161" s="241"/>
      <c r="Y161" s="241"/>
      <c r="Z161" s="241"/>
      <c r="AA161" s="241"/>
      <c r="AB161" s="241"/>
      <c r="AC161" s="236"/>
      <c r="AD161" s="236"/>
    </row>
    <row r="162" spans="1:30" ht="13.5">
      <c r="A162" s="241"/>
      <c r="B162" s="242"/>
      <c r="C162" s="242"/>
      <c r="D162" s="242"/>
      <c r="E162" s="242"/>
      <c r="F162" s="242"/>
      <c r="G162" s="241"/>
      <c r="H162" s="241"/>
      <c r="I162" s="241"/>
      <c r="J162" s="241"/>
      <c r="K162" s="241"/>
      <c r="L162" s="241"/>
      <c r="M162" s="241"/>
      <c r="N162" s="241"/>
      <c r="O162" s="241"/>
      <c r="P162" s="241"/>
      <c r="Q162" s="241"/>
      <c r="R162" s="241"/>
      <c r="S162" s="241"/>
      <c r="T162" s="244"/>
      <c r="U162" s="241"/>
      <c r="V162" s="241"/>
      <c r="W162" s="241"/>
      <c r="X162" s="241"/>
      <c r="Y162" s="241"/>
      <c r="Z162" s="241"/>
      <c r="AA162" s="241"/>
      <c r="AB162" s="241"/>
      <c r="AC162" s="236"/>
      <c r="AD162" s="236"/>
    </row>
    <row r="163" spans="1:30" ht="13.5">
      <c r="A163" s="241"/>
      <c r="B163" s="242"/>
      <c r="C163" s="242"/>
      <c r="D163" s="242"/>
      <c r="E163" s="242"/>
      <c r="F163" s="242"/>
      <c r="G163" s="241"/>
      <c r="H163" s="241"/>
      <c r="I163" s="241"/>
      <c r="J163" s="241"/>
      <c r="K163" s="241"/>
      <c r="L163" s="241"/>
      <c r="M163" s="241"/>
      <c r="N163" s="241"/>
      <c r="O163" s="241"/>
      <c r="P163" s="241"/>
      <c r="Q163" s="241"/>
      <c r="R163" s="241"/>
      <c r="S163" s="241"/>
      <c r="T163" s="244"/>
      <c r="U163" s="241"/>
      <c r="V163" s="241"/>
      <c r="W163" s="241"/>
      <c r="X163" s="241"/>
      <c r="Y163" s="241"/>
      <c r="Z163" s="241"/>
      <c r="AA163" s="241"/>
      <c r="AB163" s="241"/>
      <c r="AC163" s="236"/>
      <c r="AD163" s="236"/>
    </row>
    <row r="164" spans="1:30" ht="13.5">
      <c r="A164" s="241"/>
      <c r="B164" s="242"/>
      <c r="C164" s="242"/>
      <c r="D164" s="242"/>
      <c r="E164" s="242"/>
      <c r="F164" s="242"/>
      <c r="G164" s="241"/>
      <c r="H164" s="241"/>
      <c r="I164" s="241"/>
      <c r="J164" s="241"/>
      <c r="K164" s="241"/>
      <c r="L164" s="241"/>
      <c r="M164" s="241"/>
      <c r="N164" s="241"/>
      <c r="O164" s="241"/>
      <c r="P164" s="241"/>
      <c r="Q164" s="241"/>
      <c r="R164" s="241"/>
      <c r="S164" s="241"/>
      <c r="T164" s="244"/>
      <c r="U164" s="241"/>
      <c r="V164" s="241"/>
      <c r="W164" s="241"/>
      <c r="X164" s="241"/>
      <c r="Y164" s="241"/>
      <c r="Z164" s="241"/>
      <c r="AA164" s="241"/>
      <c r="AB164" s="241"/>
      <c r="AC164" s="236"/>
      <c r="AD164" s="236"/>
    </row>
    <row r="165" spans="1:30" ht="13.5">
      <c r="A165" s="241"/>
      <c r="B165" s="242"/>
      <c r="C165" s="242"/>
      <c r="D165" s="242"/>
      <c r="E165" s="242"/>
      <c r="F165" s="242"/>
      <c r="G165" s="241"/>
      <c r="H165" s="241"/>
      <c r="I165" s="241"/>
      <c r="J165" s="241"/>
      <c r="K165" s="241"/>
      <c r="L165" s="241"/>
      <c r="M165" s="241"/>
      <c r="N165" s="241"/>
      <c r="O165" s="241"/>
      <c r="P165" s="241"/>
      <c r="Q165" s="241"/>
      <c r="R165" s="241"/>
      <c r="S165" s="241"/>
      <c r="T165" s="244"/>
      <c r="U165" s="241"/>
      <c r="V165" s="241"/>
      <c r="W165" s="241"/>
      <c r="X165" s="241"/>
      <c r="Y165" s="241"/>
      <c r="Z165" s="241"/>
      <c r="AA165" s="241"/>
      <c r="AB165" s="241"/>
      <c r="AC165" s="236"/>
      <c r="AD165" s="236"/>
    </row>
    <row r="166" spans="1:30" ht="13.5">
      <c r="A166" s="241"/>
      <c r="B166" s="242"/>
      <c r="C166" s="242"/>
      <c r="D166" s="242"/>
      <c r="E166" s="242"/>
      <c r="F166" s="242"/>
      <c r="G166" s="241"/>
      <c r="H166" s="241"/>
      <c r="I166" s="241"/>
      <c r="J166" s="241"/>
      <c r="K166" s="241"/>
      <c r="L166" s="241"/>
      <c r="M166" s="241"/>
      <c r="N166" s="241"/>
      <c r="O166" s="241"/>
      <c r="P166" s="241"/>
      <c r="Q166" s="241"/>
      <c r="R166" s="241"/>
      <c r="S166" s="241"/>
      <c r="T166" s="244"/>
      <c r="U166" s="241"/>
      <c r="V166" s="241"/>
      <c r="W166" s="241"/>
      <c r="X166" s="241"/>
      <c r="Y166" s="241"/>
      <c r="Z166" s="241"/>
      <c r="AA166" s="241"/>
      <c r="AB166" s="241"/>
      <c r="AC166" s="236"/>
      <c r="AD166" s="236"/>
    </row>
    <row r="167" spans="1:30" ht="13.5">
      <c r="A167" s="241"/>
      <c r="B167" s="242"/>
      <c r="C167" s="242"/>
      <c r="D167" s="242"/>
      <c r="E167" s="242"/>
      <c r="F167" s="242"/>
      <c r="G167" s="241"/>
      <c r="H167" s="241"/>
      <c r="I167" s="241"/>
      <c r="J167" s="241"/>
      <c r="K167" s="241"/>
      <c r="L167" s="241"/>
      <c r="M167" s="241"/>
      <c r="N167" s="241"/>
      <c r="O167" s="241"/>
      <c r="P167" s="241"/>
      <c r="Q167" s="241"/>
      <c r="R167" s="241"/>
      <c r="S167" s="241"/>
      <c r="T167" s="244"/>
      <c r="U167" s="241"/>
      <c r="V167" s="241"/>
      <c r="W167" s="241"/>
      <c r="X167" s="241"/>
      <c r="Y167" s="241"/>
      <c r="Z167" s="241"/>
      <c r="AA167" s="241"/>
      <c r="AB167" s="241"/>
      <c r="AC167" s="236"/>
      <c r="AD167" s="236"/>
    </row>
    <row r="168" spans="1:30" ht="13.5">
      <c r="A168" s="241"/>
      <c r="B168" s="242"/>
      <c r="C168" s="242"/>
      <c r="D168" s="242"/>
      <c r="E168" s="242"/>
      <c r="F168" s="242"/>
      <c r="G168" s="241"/>
      <c r="H168" s="241"/>
      <c r="I168" s="241"/>
      <c r="J168" s="241"/>
      <c r="K168" s="241"/>
      <c r="L168" s="241"/>
      <c r="M168" s="241"/>
      <c r="N168" s="241"/>
      <c r="O168" s="241"/>
      <c r="P168" s="241"/>
      <c r="Q168" s="241"/>
      <c r="R168" s="241"/>
      <c r="S168" s="241"/>
      <c r="T168" s="244"/>
      <c r="U168" s="241"/>
      <c r="V168" s="241"/>
      <c r="W168" s="241"/>
      <c r="X168" s="241"/>
      <c r="Y168" s="241"/>
      <c r="Z168" s="241"/>
      <c r="AA168" s="241"/>
      <c r="AB168" s="241"/>
      <c r="AC168" s="236"/>
      <c r="AD168" s="236"/>
    </row>
    <row r="169" spans="1:30" ht="13.5">
      <c r="A169" s="241"/>
      <c r="B169" s="242"/>
      <c r="C169" s="242"/>
      <c r="D169" s="242"/>
      <c r="E169" s="242"/>
      <c r="F169" s="242"/>
      <c r="G169" s="241"/>
      <c r="H169" s="241"/>
      <c r="I169" s="241"/>
      <c r="J169" s="241"/>
      <c r="K169" s="241"/>
      <c r="L169" s="241"/>
      <c r="M169" s="241"/>
      <c r="N169" s="241"/>
      <c r="O169" s="241"/>
      <c r="P169" s="241"/>
      <c r="Q169" s="241"/>
      <c r="R169" s="241"/>
      <c r="S169" s="241"/>
      <c r="T169" s="244"/>
      <c r="U169" s="241"/>
      <c r="V169" s="241"/>
      <c r="W169" s="241"/>
      <c r="X169" s="241"/>
      <c r="Y169" s="241"/>
      <c r="Z169" s="241"/>
      <c r="AA169" s="241"/>
      <c r="AB169" s="241"/>
      <c r="AC169" s="236"/>
      <c r="AD169" s="236"/>
    </row>
    <row r="170" spans="1:30" ht="13.5">
      <c r="A170" s="241"/>
      <c r="B170" s="242"/>
      <c r="C170" s="242"/>
      <c r="D170" s="242"/>
      <c r="E170" s="242"/>
      <c r="F170" s="242"/>
      <c r="G170" s="241"/>
      <c r="H170" s="241"/>
      <c r="I170" s="241"/>
      <c r="J170" s="241"/>
      <c r="K170" s="241"/>
      <c r="L170" s="241"/>
      <c r="M170" s="241"/>
      <c r="N170" s="241"/>
      <c r="O170" s="241"/>
      <c r="P170" s="241"/>
      <c r="Q170" s="241"/>
      <c r="R170" s="241"/>
      <c r="S170" s="241"/>
      <c r="T170" s="244"/>
      <c r="U170" s="241"/>
      <c r="V170" s="241"/>
      <c r="W170" s="241"/>
      <c r="X170" s="241"/>
      <c r="Y170" s="241"/>
      <c r="Z170" s="241"/>
      <c r="AA170" s="241"/>
      <c r="AB170" s="241"/>
      <c r="AC170" s="236"/>
      <c r="AD170" s="236"/>
    </row>
    <row r="171" spans="1:30" ht="13.5">
      <c r="A171" s="241"/>
      <c r="B171" s="242"/>
      <c r="C171" s="242"/>
      <c r="D171" s="242"/>
      <c r="E171" s="242"/>
      <c r="F171" s="242"/>
      <c r="G171" s="241"/>
      <c r="H171" s="241"/>
      <c r="I171" s="241"/>
      <c r="J171" s="241"/>
      <c r="K171" s="241"/>
      <c r="L171" s="241"/>
      <c r="M171" s="241"/>
      <c r="N171" s="241"/>
      <c r="O171" s="241"/>
      <c r="P171" s="241"/>
      <c r="Q171" s="241"/>
      <c r="R171" s="241"/>
      <c r="S171" s="241"/>
      <c r="T171" s="244"/>
      <c r="U171" s="241"/>
      <c r="V171" s="241"/>
      <c r="W171" s="241"/>
      <c r="X171" s="241"/>
      <c r="Y171" s="241"/>
      <c r="Z171" s="241"/>
      <c r="AA171" s="241"/>
      <c r="AB171" s="241"/>
      <c r="AC171" s="236"/>
      <c r="AD171" s="236"/>
    </row>
    <row r="172" spans="1:30" ht="13.5">
      <c r="A172" s="241"/>
      <c r="B172" s="242"/>
      <c r="C172" s="242"/>
      <c r="D172" s="242"/>
      <c r="E172" s="242"/>
      <c r="F172" s="242"/>
      <c r="G172" s="241"/>
      <c r="H172" s="241"/>
      <c r="I172" s="241"/>
      <c r="J172" s="241"/>
      <c r="K172" s="241"/>
      <c r="L172" s="241"/>
      <c r="M172" s="241"/>
      <c r="N172" s="241"/>
      <c r="O172" s="241"/>
      <c r="P172" s="241"/>
      <c r="Q172" s="241"/>
      <c r="R172" s="241"/>
      <c r="S172" s="241"/>
      <c r="T172" s="244"/>
      <c r="U172" s="241"/>
      <c r="V172" s="241"/>
      <c r="W172" s="241"/>
      <c r="X172" s="241"/>
      <c r="Y172" s="241"/>
      <c r="Z172" s="241"/>
      <c r="AA172" s="241"/>
      <c r="AB172" s="241"/>
      <c r="AC172" s="236"/>
      <c r="AD172" s="236"/>
    </row>
    <row r="173" spans="1:30" ht="13.5">
      <c r="A173" s="241"/>
      <c r="B173" s="242"/>
      <c r="C173" s="242"/>
      <c r="D173" s="242"/>
      <c r="E173" s="242"/>
      <c r="F173" s="242"/>
      <c r="G173" s="241"/>
      <c r="H173" s="241"/>
      <c r="I173" s="241"/>
      <c r="J173" s="241"/>
      <c r="K173" s="241"/>
      <c r="L173" s="241"/>
      <c r="M173" s="241"/>
      <c r="N173" s="241"/>
      <c r="O173" s="241"/>
      <c r="P173" s="241"/>
      <c r="Q173" s="241"/>
      <c r="R173" s="241"/>
      <c r="S173" s="241"/>
      <c r="T173" s="244"/>
      <c r="U173" s="241"/>
      <c r="V173" s="241"/>
      <c r="W173" s="241"/>
      <c r="X173" s="241"/>
      <c r="Y173" s="241"/>
      <c r="Z173" s="241"/>
      <c r="AA173" s="241"/>
      <c r="AB173" s="241"/>
      <c r="AC173" s="236"/>
      <c r="AD173" s="236"/>
    </row>
    <row r="174" spans="1:30" ht="13.5">
      <c r="A174" s="241"/>
      <c r="B174" s="242"/>
      <c r="C174" s="242"/>
      <c r="D174" s="242"/>
      <c r="E174" s="242"/>
      <c r="F174" s="242"/>
      <c r="G174" s="241"/>
      <c r="H174" s="241"/>
      <c r="I174" s="241"/>
      <c r="J174" s="241"/>
      <c r="K174" s="241"/>
      <c r="L174" s="241"/>
      <c r="M174" s="241"/>
      <c r="N174" s="241"/>
      <c r="O174" s="241"/>
      <c r="P174" s="241"/>
      <c r="Q174" s="241"/>
      <c r="R174" s="241"/>
      <c r="S174" s="241"/>
      <c r="T174" s="244"/>
      <c r="U174" s="241"/>
      <c r="V174" s="241"/>
      <c r="W174" s="241"/>
      <c r="X174" s="241"/>
      <c r="Y174" s="241"/>
      <c r="Z174" s="241"/>
      <c r="AA174" s="241"/>
      <c r="AB174" s="241"/>
      <c r="AC174" s="236"/>
      <c r="AD174" s="236"/>
    </row>
    <row r="175" spans="1:30" ht="13.5">
      <c r="A175" s="241"/>
      <c r="B175" s="242"/>
      <c r="C175" s="242"/>
      <c r="D175" s="242"/>
      <c r="E175" s="242"/>
      <c r="F175" s="242"/>
      <c r="G175" s="241"/>
      <c r="H175" s="241"/>
      <c r="I175" s="241"/>
      <c r="J175" s="241"/>
      <c r="K175" s="241"/>
      <c r="L175" s="241"/>
      <c r="M175" s="241"/>
      <c r="N175" s="241"/>
      <c r="O175" s="241"/>
      <c r="P175" s="241"/>
      <c r="Q175" s="241"/>
      <c r="R175" s="241"/>
      <c r="S175" s="241"/>
      <c r="T175" s="244"/>
      <c r="U175" s="241"/>
      <c r="V175" s="241"/>
      <c r="W175" s="241"/>
      <c r="X175" s="241"/>
      <c r="Y175" s="241"/>
      <c r="Z175" s="241"/>
      <c r="AA175" s="241"/>
      <c r="AB175" s="241"/>
      <c r="AC175" s="236"/>
      <c r="AD175" s="236"/>
    </row>
    <row r="176" spans="1:30" ht="13.5">
      <c r="A176" s="241"/>
      <c r="B176" s="242"/>
      <c r="C176" s="242"/>
      <c r="D176" s="242"/>
      <c r="E176" s="242"/>
      <c r="F176" s="242"/>
      <c r="G176" s="241"/>
      <c r="H176" s="241"/>
      <c r="I176" s="241"/>
      <c r="J176" s="241"/>
      <c r="K176" s="241"/>
      <c r="L176" s="241"/>
      <c r="M176" s="241"/>
      <c r="N176" s="241"/>
      <c r="O176" s="241"/>
      <c r="P176" s="241"/>
      <c r="Q176" s="241"/>
      <c r="R176" s="241"/>
      <c r="S176" s="241"/>
      <c r="T176" s="244"/>
      <c r="U176" s="241"/>
      <c r="V176" s="241"/>
      <c r="W176" s="241"/>
      <c r="X176" s="241"/>
      <c r="Y176" s="241"/>
      <c r="Z176" s="241"/>
      <c r="AA176" s="241"/>
      <c r="AB176" s="241"/>
      <c r="AC176" s="236"/>
      <c r="AD176" s="236"/>
    </row>
    <row r="177" spans="1:30" ht="13.5">
      <c r="A177" s="241"/>
      <c r="B177" s="242"/>
      <c r="C177" s="242"/>
      <c r="D177" s="242"/>
      <c r="E177" s="242"/>
      <c r="F177" s="242"/>
      <c r="G177" s="241"/>
      <c r="H177" s="241"/>
      <c r="I177" s="241"/>
      <c r="J177" s="241"/>
      <c r="K177" s="241"/>
      <c r="L177" s="241"/>
      <c r="M177" s="241"/>
      <c r="N177" s="241"/>
      <c r="O177" s="241"/>
      <c r="P177" s="241"/>
      <c r="Q177" s="241"/>
      <c r="R177" s="241"/>
      <c r="S177" s="241"/>
      <c r="T177" s="244"/>
      <c r="U177" s="241"/>
      <c r="V177" s="241"/>
      <c r="W177" s="241"/>
      <c r="X177" s="241"/>
      <c r="Y177" s="241"/>
      <c r="Z177" s="241"/>
      <c r="AA177" s="241"/>
      <c r="AB177" s="241"/>
      <c r="AC177" s="236"/>
      <c r="AD177" s="236"/>
    </row>
    <row r="178" spans="1:30" ht="13.5">
      <c r="A178" s="241"/>
      <c r="B178" s="242"/>
      <c r="C178" s="242"/>
      <c r="D178" s="242"/>
      <c r="E178" s="242"/>
      <c r="F178" s="242"/>
      <c r="G178" s="241"/>
      <c r="H178" s="241"/>
      <c r="I178" s="241"/>
      <c r="J178" s="241"/>
      <c r="K178" s="241"/>
      <c r="L178" s="241"/>
      <c r="M178" s="241"/>
      <c r="N178" s="241"/>
      <c r="O178" s="241"/>
      <c r="P178" s="241"/>
      <c r="Q178" s="241"/>
      <c r="R178" s="241"/>
      <c r="S178" s="241"/>
      <c r="T178" s="244"/>
      <c r="U178" s="241"/>
      <c r="V178" s="241"/>
      <c r="W178" s="241"/>
      <c r="X178" s="241"/>
      <c r="Y178" s="241"/>
      <c r="Z178" s="241"/>
      <c r="AA178" s="241"/>
      <c r="AB178" s="241"/>
      <c r="AC178" s="236"/>
      <c r="AD178" s="236"/>
    </row>
  </sheetData>
  <mergeCells count="5">
    <mergeCell ref="A5:A7"/>
    <mergeCell ref="B5:AB5"/>
    <mergeCell ref="B6:N6"/>
    <mergeCell ref="O6:O7"/>
    <mergeCell ref="P6:AB6"/>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E169"/>
  <sheetViews>
    <sheetView workbookViewId="0"/>
  </sheetViews>
  <sheetFormatPr defaultColWidth="9.33203125" defaultRowHeight="15.4"/>
  <cols>
    <col min="1" max="1" width="19.6640625" style="1" customWidth="1"/>
    <col min="2" max="2" width="30.1640625" style="3" customWidth="1"/>
    <col min="3" max="3" width="29.5" style="3" customWidth="1"/>
    <col min="4" max="4" width="30" style="3" customWidth="1"/>
    <col min="5" max="5" width="30.5" style="3" customWidth="1"/>
    <col min="6" max="6" width="31.1640625" style="3" customWidth="1"/>
    <col min="7" max="7" width="30.83203125" style="1" customWidth="1"/>
    <col min="8" max="8" width="32.5" style="1" customWidth="1"/>
    <col min="9" max="9" width="30.83203125" style="1" customWidth="1"/>
    <col min="10" max="10" width="29" style="1" customWidth="1"/>
    <col min="11" max="11" width="30.5" style="1" customWidth="1"/>
    <col min="12" max="12" width="31.5" style="1" customWidth="1"/>
    <col min="13" max="13" width="33" style="1" customWidth="1"/>
    <col min="14" max="14" width="35.33203125" style="1" customWidth="1"/>
    <col min="15" max="15" width="38.83203125" style="1" customWidth="1"/>
    <col min="16" max="16" width="20.1640625" style="1" bestFit="1" customWidth="1"/>
    <col min="17" max="19" width="23.1640625" style="1" bestFit="1" customWidth="1"/>
    <col min="20" max="20" width="23.1640625" style="43" bestFit="1" customWidth="1"/>
    <col min="21" max="25" width="23.1640625" style="1" bestFit="1" customWidth="1"/>
    <col min="26" max="26" width="23.5" style="1" customWidth="1"/>
    <col min="27" max="27" width="26.1640625" style="1" customWidth="1"/>
    <col min="28" max="28" width="33.1640625" style="1" customWidth="1"/>
    <col min="29" max="29" width="29.1640625" style="49" customWidth="1"/>
    <col min="30" max="30" width="14.5" style="1" customWidth="1"/>
    <col min="31" max="31" width="53" style="164" customWidth="1"/>
    <col min="32" max="16384" width="9.33203125" style="1"/>
  </cols>
  <sheetData>
    <row r="1" spans="1:31" s="5" customFormat="1" ht="24" customHeight="1">
      <c r="A1" s="21" t="s">
        <v>16</v>
      </c>
      <c r="B1" s="6"/>
      <c r="C1" s="6"/>
      <c r="D1" s="6"/>
      <c r="E1" s="6"/>
      <c r="F1" s="6"/>
      <c r="T1" s="41"/>
      <c r="AC1" s="46"/>
      <c r="AE1" s="158"/>
    </row>
    <row r="2" spans="1:31" s="5" customFormat="1" ht="30.75" customHeight="1">
      <c r="A2" s="153" t="s">
        <v>106</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46"/>
      <c r="AE2" s="158"/>
    </row>
    <row r="3" spans="1:31" s="5" customFormat="1" ht="30.75" customHeight="1">
      <c r="A3" s="153"/>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46"/>
      <c r="AE3" s="158"/>
    </row>
    <row r="4" spans="1:31" s="5" customFormat="1">
      <c r="B4" s="118"/>
      <c r="C4" s="118"/>
      <c r="D4" s="118"/>
      <c r="E4" s="118"/>
      <c r="F4" s="118"/>
      <c r="G4" s="118"/>
      <c r="H4" s="118">
        <f t="shared" ref="H4:M4" si="0">+H11+H18</f>
        <v>2424932362</v>
      </c>
      <c r="I4" s="118">
        <f t="shared" si="0"/>
        <v>2475811328</v>
      </c>
      <c r="J4" s="118">
        <f t="shared" si="0"/>
        <v>2439149808</v>
      </c>
      <c r="K4" s="118">
        <f t="shared" si="0"/>
        <v>2394357115</v>
      </c>
      <c r="L4" s="118">
        <f t="shared" si="0"/>
        <v>2491333992</v>
      </c>
      <c r="M4" s="118">
        <f t="shared" si="0"/>
        <v>5294617612</v>
      </c>
      <c r="N4" s="35"/>
      <c r="O4" s="35"/>
      <c r="P4" s="35"/>
      <c r="Q4" s="35"/>
      <c r="R4" s="35"/>
      <c r="S4" s="35"/>
      <c r="T4" s="86"/>
      <c r="U4" s="35"/>
      <c r="V4" s="35"/>
      <c r="W4" s="35"/>
      <c r="X4" s="35"/>
      <c r="Y4" s="35"/>
      <c r="Z4" s="35"/>
      <c r="AA4" s="85"/>
      <c r="AB4" s="35"/>
      <c r="AC4" s="46"/>
      <c r="AE4" s="158"/>
    </row>
    <row r="5" spans="1:31" s="5" customFormat="1">
      <c r="B5" s="118"/>
      <c r="C5" s="118"/>
      <c r="D5" s="118"/>
      <c r="E5" s="118"/>
      <c r="F5" s="118"/>
      <c r="G5" s="118"/>
      <c r="H5" s="118">
        <f t="shared" ref="H5:M5" si="1">+H23+H30</f>
        <v>2232735906</v>
      </c>
      <c r="I5" s="118">
        <f t="shared" si="1"/>
        <v>2269408402</v>
      </c>
      <c r="J5" s="118">
        <f t="shared" si="1"/>
        <v>2217967021</v>
      </c>
      <c r="K5" s="118">
        <f t="shared" si="1"/>
        <v>2175811793</v>
      </c>
      <c r="L5" s="118">
        <f t="shared" si="1"/>
        <v>2264849083</v>
      </c>
      <c r="M5" s="118">
        <f t="shared" si="1"/>
        <v>4798603963</v>
      </c>
      <c r="N5" s="35"/>
      <c r="O5" s="35"/>
      <c r="P5" s="35"/>
      <c r="Q5" s="35"/>
      <c r="R5" s="35"/>
      <c r="S5" s="35"/>
      <c r="T5" s="86"/>
      <c r="U5" s="35"/>
      <c r="V5" s="35"/>
      <c r="W5" s="35"/>
      <c r="X5" s="35"/>
      <c r="Y5" s="35"/>
      <c r="Z5" s="35"/>
      <c r="AA5" s="85"/>
      <c r="AB5" s="35"/>
      <c r="AC5" s="46"/>
      <c r="AE5" s="158"/>
    </row>
    <row r="6" spans="1:31" s="5" customFormat="1">
      <c r="B6" s="87"/>
      <c r="C6" s="87"/>
      <c r="D6" s="87"/>
      <c r="E6" s="87"/>
      <c r="F6" s="87"/>
      <c r="G6" s="35"/>
      <c r="H6" s="35"/>
      <c r="I6" s="35"/>
      <c r="J6" s="35"/>
      <c r="K6" s="35"/>
      <c r="L6" s="35"/>
      <c r="M6" s="85"/>
      <c r="N6" s="35"/>
      <c r="O6" s="35"/>
      <c r="P6" s="35"/>
      <c r="Q6" s="35"/>
      <c r="R6" s="35"/>
      <c r="S6" s="35"/>
      <c r="T6" s="86"/>
      <c r="U6" s="35"/>
      <c r="V6" s="35"/>
      <c r="W6" s="35"/>
      <c r="X6" s="35"/>
      <c r="Y6" s="35"/>
      <c r="Z6" s="35"/>
      <c r="AA6" s="85"/>
      <c r="AB6" s="35"/>
      <c r="AC6" s="46"/>
      <c r="AE6" s="158"/>
    </row>
    <row r="7" spans="1:31" s="10" customFormat="1" ht="27.75" customHeight="1">
      <c r="A7" s="427" t="s">
        <v>2</v>
      </c>
      <c r="B7" s="430">
        <v>2022</v>
      </c>
      <c r="C7" s="430"/>
      <c r="D7" s="430"/>
      <c r="E7" s="430"/>
      <c r="F7" s="431"/>
      <c r="G7" s="430"/>
      <c r="H7" s="430"/>
      <c r="I7" s="430"/>
      <c r="J7" s="430"/>
      <c r="K7" s="430"/>
      <c r="L7" s="430"/>
      <c r="M7" s="430"/>
      <c r="N7" s="430"/>
      <c r="O7" s="431"/>
      <c r="P7" s="430"/>
      <c r="Q7" s="430"/>
      <c r="R7" s="430"/>
      <c r="S7" s="430"/>
      <c r="T7" s="430"/>
      <c r="U7" s="430"/>
      <c r="V7" s="430"/>
      <c r="W7" s="430"/>
      <c r="X7" s="430"/>
      <c r="Y7" s="430"/>
      <c r="Z7" s="430"/>
      <c r="AA7" s="430"/>
      <c r="AB7" s="430"/>
      <c r="AC7" s="47"/>
      <c r="AE7" s="159"/>
    </row>
    <row r="8" spans="1:31" s="11" customFormat="1" ht="27.75" customHeight="1">
      <c r="A8" s="428"/>
      <c r="B8" s="432" t="s">
        <v>5</v>
      </c>
      <c r="C8" s="433"/>
      <c r="D8" s="433"/>
      <c r="E8" s="433"/>
      <c r="F8" s="434"/>
      <c r="G8" s="433"/>
      <c r="H8" s="433"/>
      <c r="I8" s="433"/>
      <c r="J8" s="433"/>
      <c r="K8" s="433"/>
      <c r="L8" s="433"/>
      <c r="M8" s="433"/>
      <c r="N8" s="435"/>
      <c r="O8" s="436" t="s">
        <v>82</v>
      </c>
      <c r="P8" s="432" t="s">
        <v>6</v>
      </c>
      <c r="Q8" s="433"/>
      <c r="R8" s="433"/>
      <c r="S8" s="433"/>
      <c r="T8" s="433"/>
      <c r="U8" s="433"/>
      <c r="V8" s="433"/>
      <c r="W8" s="433"/>
      <c r="X8" s="433"/>
      <c r="Y8" s="433"/>
      <c r="Z8" s="433"/>
      <c r="AA8" s="433"/>
      <c r="AB8" s="435"/>
      <c r="AC8" s="48"/>
      <c r="AE8" s="160"/>
    </row>
    <row r="9" spans="1:31" s="11" customFormat="1" ht="27.75" customHeight="1">
      <c r="A9" s="429"/>
      <c r="B9" s="2">
        <v>44562</v>
      </c>
      <c r="C9" s="2">
        <v>44593</v>
      </c>
      <c r="D9" s="2">
        <v>44621</v>
      </c>
      <c r="E9" s="2">
        <v>44652</v>
      </c>
      <c r="F9" s="84">
        <v>44682</v>
      </c>
      <c r="G9" s="2">
        <v>44713</v>
      </c>
      <c r="H9" s="2">
        <v>44743</v>
      </c>
      <c r="I9" s="2">
        <v>44774</v>
      </c>
      <c r="J9" s="2">
        <v>44805</v>
      </c>
      <c r="K9" s="2">
        <v>44835</v>
      </c>
      <c r="L9" s="2">
        <v>44866</v>
      </c>
      <c r="M9" s="2">
        <v>44896</v>
      </c>
      <c r="N9" s="4" t="s">
        <v>8</v>
      </c>
      <c r="O9" s="437"/>
      <c r="P9" s="2">
        <v>44562</v>
      </c>
      <c r="Q9" s="2">
        <v>44593</v>
      </c>
      <c r="R9" s="2">
        <v>44621</v>
      </c>
      <c r="S9" s="2">
        <v>44652</v>
      </c>
      <c r="T9" s="84">
        <v>44682</v>
      </c>
      <c r="U9" s="2">
        <v>44713</v>
      </c>
      <c r="V9" s="2">
        <v>44743</v>
      </c>
      <c r="W9" s="2">
        <v>44774</v>
      </c>
      <c r="X9" s="2">
        <v>44805</v>
      </c>
      <c r="Y9" s="2">
        <v>44835</v>
      </c>
      <c r="Z9" s="2">
        <v>44866</v>
      </c>
      <c r="AA9" s="2">
        <v>44896</v>
      </c>
      <c r="AB9" s="4" t="s">
        <v>7</v>
      </c>
      <c r="AC9" s="48"/>
      <c r="AE9" s="160"/>
    </row>
    <row r="10" spans="1:31" s="14" customFormat="1" ht="30" customHeight="1">
      <c r="A10" s="32" t="s">
        <v>3</v>
      </c>
      <c r="B10" s="27">
        <f>SUM(B11:B21)</f>
        <v>5172306803</v>
      </c>
      <c r="C10" s="27">
        <f t="shared" ref="C10:O10" si="2">SUM(C11:C21)</f>
        <v>37459576633</v>
      </c>
      <c r="D10" s="27">
        <f t="shared" si="2"/>
        <v>28508777931</v>
      </c>
      <c r="E10" s="27">
        <f t="shared" si="2"/>
        <v>46487765939</v>
      </c>
      <c r="F10" s="27">
        <f t="shared" si="2"/>
        <v>52281962905</v>
      </c>
      <c r="G10" s="27">
        <f t="shared" si="2"/>
        <v>60505491636</v>
      </c>
      <c r="H10" s="27">
        <f t="shared" si="2"/>
        <v>52578296787</v>
      </c>
      <c r="I10" s="27">
        <f t="shared" si="2"/>
        <v>66055656899</v>
      </c>
      <c r="J10" s="27">
        <f t="shared" si="2"/>
        <v>69202498562</v>
      </c>
      <c r="K10" s="27">
        <f t="shared" si="2"/>
        <v>85533132039</v>
      </c>
      <c r="L10" s="27">
        <f t="shared" si="2"/>
        <v>59702548862</v>
      </c>
      <c r="M10" s="27">
        <f t="shared" si="2"/>
        <v>135197068823</v>
      </c>
      <c r="N10" s="27">
        <f>SUM(N11:N21)</f>
        <v>698685083819</v>
      </c>
      <c r="O10" s="27" t="e">
        <f t="shared" si="2"/>
        <v>#REF!</v>
      </c>
      <c r="P10" s="30">
        <f>SUM(P11:P21)</f>
        <v>230084.82219750888</v>
      </c>
      <c r="Q10" s="30">
        <f t="shared" ref="Q10:AA10" si="3">SUM(Q11:Q21)</f>
        <v>1653844.4429580576</v>
      </c>
      <c r="R10" s="30">
        <f t="shared" si="3"/>
        <v>1257000.7906084654</v>
      </c>
      <c r="S10" s="30">
        <f t="shared" si="3"/>
        <v>2039384.3359947356</v>
      </c>
      <c r="T10" s="30">
        <f t="shared" si="3"/>
        <v>2270167.7336083367</v>
      </c>
      <c r="U10" s="30">
        <f t="shared" si="3"/>
        <v>2617585.62</v>
      </c>
      <c r="V10" s="30">
        <f t="shared" si="3"/>
        <v>2266305.8959913789</v>
      </c>
      <c r="W10" s="30">
        <f t="shared" si="3"/>
        <v>2835006.7300000004</v>
      </c>
      <c r="X10" s="30">
        <f t="shared" si="3"/>
        <v>2918705.12</v>
      </c>
      <c r="Y10" s="30">
        <f t="shared" si="3"/>
        <v>3476956.58</v>
      </c>
      <c r="Z10" s="30">
        <f t="shared" si="3"/>
        <v>2436838.7199999997</v>
      </c>
      <c r="AA10" s="30">
        <f t="shared" si="3"/>
        <v>5780122.6600000001</v>
      </c>
      <c r="AB10" s="30">
        <f>SUM(AB11:AB21)</f>
        <v>29782003.451358486</v>
      </c>
      <c r="AC10" s="34">
        <f>+AB10-'[6]IS (01)'!$G$6</f>
        <v>3227640.859710332</v>
      </c>
      <c r="AE10" s="161"/>
    </row>
    <row r="11" spans="1:31" s="10" customFormat="1" ht="30" customHeight="1">
      <c r="A11" s="33" t="s">
        <v>1</v>
      </c>
      <c r="B11" s="15">
        <v>1</v>
      </c>
      <c r="C11" s="15">
        <f>'[7]Estimate Revenue'!$E$9</f>
        <v>1519330085</v>
      </c>
      <c r="D11" s="15">
        <v>1414677449</v>
      </c>
      <c r="E11" s="15">
        <v>1563398594</v>
      </c>
      <c r="F11" s="78">
        <v>1496930933</v>
      </c>
      <c r="G11" s="15">
        <v>1577025965</v>
      </c>
      <c r="H11" s="20">
        <v>1820596196</v>
      </c>
      <c r="I11" s="20">
        <v>1831581974</v>
      </c>
      <c r="J11" s="20">
        <v>1854248867</v>
      </c>
      <c r="K11" s="20">
        <v>1820030645</v>
      </c>
      <c r="L11" s="20">
        <v>1897915839</v>
      </c>
      <c r="M11" s="16">
        <v>3644139205</v>
      </c>
      <c r="N11" s="28">
        <f>SUM(B11:M11)</f>
        <v>20439875753</v>
      </c>
      <c r="O11" s="60" t="e">
        <f>'Summary 2020'!P11+'Summary 2019'!N11+'Summary 2018'!N11+'Summary 2017'!J11+N11+'Summary 2021'!O11</f>
        <v>#REF!</v>
      </c>
      <c r="P11" s="17">
        <f t="shared" ref="P11:P21" si="4">B11/$P$34</f>
        <v>4.4483985765124558E-5</v>
      </c>
      <c r="Q11" s="17">
        <f t="shared" ref="Q11:Q19" si="5">C11/$Q$34</f>
        <v>67078.590949227379</v>
      </c>
      <c r="R11" s="17">
        <f t="shared" ref="R11:R19" si="6">D11/$R$34</f>
        <v>62375.548897707231</v>
      </c>
      <c r="S11" s="17">
        <f t="shared" ref="S11:S19" si="7">E11/$S$34</f>
        <v>68585.154375959639</v>
      </c>
      <c r="T11" s="17">
        <f t="shared" ref="T11:T18" si="8">F11/$T$34</f>
        <v>64999.17207989579</v>
      </c>
      <c r="U11" s="17">
        <f t="shared" ref="U11:U19" si="9">ROUND(G11/$U$34,2)</f>
        <v>68225.22</v>
      </c>
      <c r="V11" s="17">
        <f t="shared" ref="V11:V19" si="10">H11/$V$34</f>
        <v>78473.973965517245</v>
      </c>
      <c r="W11" s="17">
        <f t="shared" ref="W11:W19" si="11">ROUND(I11/$W$34,2)</f>
        <v>78608.67</v>
      </c>
      <c r="X11" s="17">
        <f t="shared" ref="X11:X19" si="12">ROUND(J11/$X$34,2)</f>
        <v>78205.350000000006</v>
      </c>
      <c r="Y11" s="17">
        <f t="shared" ref="Y11:Y19" si="13">ROUND(K11/$Y$34,2)</f>
        <v>73984.990000000005</v>
      </c>
      <c r="Z11" s="17">
        <f t="shared" ref="Z11:Z19" si="14">ROUND(L11/$Z$34,2)</f>
        <v>77465.95</v>
      </c>
      <c r="AA11" s="17">
        <f t="shared" ref="AA11:AA21" si="15">ROUND(M11/$AA$34,2)</f>
        <v>155799.03</v>
      </c>
      <c r="AB11" s="31">
        <f>SUM(P11:AA11)</f>
        <v>873801.65031279123</v>
      </c>
      <c r="AC11" s="47"/>
      <c r="AD11" s="147"/>
      <c r="AE11" s="165"/>
    </row>
    <row r="12" spans="1:31" s="10" customFormat="1" ht="30" customHeight="1">
      <c r="A12" s="33" t="s">
        <v>11</v>
      </c>
      <c r="B12" s="15">
        <v>0</v>
      </c>
      <c r="C12" s="16">
        <f>'[7]Estimate Revenue'!$E$10</f>
        <v>0</v>
      </c>
      <c r="D12" s="15">
        <v>0</v>
      </c>
      <c r="E12" s="15"/>
      <c r="G12" s="15"/>
      <c r="H12" s="20"/>
      <c r="I12" s="20"/>
      <c r="J12" s="20"/>
      <c r="K12" s="20"/>
      <c r="L12" s="20"/>
      <c r="M12" s="16"/>
      <c r="N12" s="28">
        <f t="shared" ref="N12" si="16">SUM(B12:M12)</f>
        <v>0</v>
      </c>
      <c r="O12" s="60">
        <f>N12+'Summary 2021'!P12</f>
        <v>2195820072771.5618</v>
      </c>
      <c r="P12" s="17">
        <f t="shared" si="4"/>
        <v>0</v>
      </c>
      <c r="Q12" s="17">
        <f t="shared" si="5"/>
        <v>0</v>
      </c>
      <c r="R12" s="17">
        <f t="shared" si="6"/>
        <v>0</v>
      </c>
      <c r="S12" s="17">
        <f t="shared" si="7"/>
        <v>0</v>
      </c>
      <c r="T12" s="17">
        <f t="shared" si="8"/>
        <v>0</v>
      </c>
      <c r="U12" s="17">
        <f t="shared" si="9"/>
        <v>0</v>
      </c>
      <c r="V12" s="17">
        <f t="shared" si="10"/>
        <v>0</v>
      </c>
      <c r="W12" s="17">
        <f t="shared" si="11"/>
        <v>0</v>
      </c>
      <c r="X12" s="17">
        <f t="shared" si="12"/>
        <v>0</v>
      </c>
      <c r="Y12" s="17">
        <f t="shared" si="13"/>
        <v>0</v>
      </c>
      <c r="Z12" s="17">
        <f t="shared" si="14"/>
        <v>0</v>
      </c>
      <c r="AA12" s="17">
        <f t="shared" si="15"/>
        <v>0</v>
      </c>
      <c r="AB12" s="31">
        <f>SUM(P12:AA12)</f>
        <v>0</v>
      </c>
      <c r="AC12" s="47"/>
      <c r="AD12" s="147"/>
      <c r="AE12" s="159"/>
    </row>
    <row r="13" spans="1:31" s="10" customFormat="1" ht="30" customHeight="1">
      <c r="A13" s="33" t="s">
        <v>21</v>
      </c>
      <c r="B13" s="79">
        <v>0</v>
      </c>
      <c r="C13" s="16">
        <f>'[7]Estimate Revenue'!$E$11</f>
        <v>1457433647</v>
      </c>
      <c r="D13" s="16">
        <v>1441396109</v>
      </c>
      <c r="E13" s="16">
        <v>1529910617</v>
      </c>
      <c r="F13" s="78">
        <v>1461686915</v>
      </c>
      <c r="G13" s="16">
        <v>1524037928</v>
      </c>
      <c r="H13" s="20">
        <v>1494605642</v>
      </c>
      <c r="I13" s="20">
        <v>2672438439</v>
      </c>
      <c r="J13" s="20">
        <v>1576975365</v>
      </c>
      <c r="K13" s="16">
        <v>1466421120</v>
      </c>
      <c r="L13" s="16">
        <v>1618889219</v>
      </c>
      <c r="M13" s="16">
        <v>3222272343</v>
      </c>
      <c r="N13" s="28">
        <f t="shared" ref="N13:N19" si="17">SUM(B13:M13)</f>
        <v>19466067344</v>
      </c>
      <c r="O13" s="60">
        <f>N13+'Summary 2021'!P14</f>
        <v>62360929261</v>
      </c>
      <c r="P13" s="17">
        <f t="shared" si="4"/>
        <v>0</v>
      </c>
      <c r="Q13" s="17">
        <f t="shared" si="5"/>
        <v>64345.856379690951</v>
      </c>
      <c r="R13" s="17">
        <f t="shared" si="6"/>
        <v>63553.620326278658</v>
      </c>
      <c r="S13" s="17">
        <f t="shared" si="7"/>
        <v>67116.061285369593</v>
      </c>
      <c r="T13" s="17">
        <f t="shared" si="8"/>
        <v>63468.819583152406</v>
      </c>
      <c r="U13" s="17">
        <f t="shared" si="9"/>
        <v>65932.850000000006</v>
      </c>
      <c r="V13" s="17">
        <f t="shared" si="10"/>
        <v>64422.656982758621</v>
      </c>
      <c r="W13" s="17">
        <f t="shared" si="11"/>
        <v>114696.93</v>
      </c>
      <c r="X13" s="17">
        <f t="shared" si="12"/>
        <v>66510.98</v>
      </c>
      <c r="Y13" s="17">
        <f t="shared" si="13"/>
        <v>59610.61</v>
      </c>
      <c r="Z13" s="17">
        <f t="shared" si="14"/>
        <v>66077.11</v>
      </c>
      <c r="AA13" s="17">
        <f t="shared" si="15"/>
        <v>137762.82</v>
      </c>
      <c r="AB13" s="31">
        <f>SUM(P13:AA13)</f>
        <v>833498.31455725012</v>
      </c>
      <c r="AC13" s="47"/>
      <c r="AD13" s="147"/>
      <c r="AE13" s="165"/>
    </row>
    <row r="14" spans="1:31" s="10" customFormat="1" ht="30" customHeight="1">
      <c r="A14" s="33" t="s">
        <v>22</v>
      </c>
      <c r="B14" s="16">
        <f>'[8]Estimate Revenue'!$E$12</f>
        <v>3409421347</v>
      </c>
      <c r="C14" s="16">
        <f>'[7]Estimate Revenue'!$E$12</f>
        <v>18159011020</v>
      </c>
      <c r="D14" s="16">
        <v>10018005467</v>
      </c>
      <c r="E14" s="16">
        <v>13184269489</v>
      </c>
      <c r="F14" s="79">
        <v>10970551698</v>
      </c>
      <c r="G14" s="16">
        <v>12966014772</v>
      </c>
      <c r="H14" s="16">
        <v>12458103505</v>
      </c>
      <c r="I14" s="16">
        <v>8321972181</v>
      </c>
      <c r="J14" s="20">
        <v>9786425844</v>
      </c>
      <c r="K14" s="16">
        <v>8382220030</v>
      </c>
      <c r="L14" s="16">
        <v>11617357377</v>
      </c>
      <c r="M14" s="16">
        <v>28924713095</v>
      </c>
      <c r="N14" s="28">
        <f t="shared" si="17"/>
        <v>148198065825</v>
      </c>
      <c r="O14" s="60">
        <f>N14+'Summary 2021'!P15</f>
        <v>572722447617.89514</v>
      </c>
      <c r="P14" s="17">
        <f t="shared" si="4"/>
        <v>151664.65066725979</v>
      </c>
      <c r="Q14" s="17">
        <f t="shared" si="5"/>
        <v>801722.34083885211</v>
      </c>
      <c r="R14" s="17">
        <f t="shared" si="6"/>
        <v>441710.99942680774</v>
      </c>
      <c r="S14" s="17">
        <f t="shared" si="7"/>
        <v>578384.27238429477</v>
      </c>
      <c r="T14" s="17">
        <f t="shared" si="8"/>
        <v>476359.17056013894</v>
      </c>
      <c r="U14" s="17">
        <f t="shared" si="9"/>
        <v>560935.1</v>
      </c>
      <c r="V14" s="17">
        <f t="shared" si="10"/>
        <v>536987.22004310344</v>
      </c>
      <c r="W14" s="17">
        <f t="shared" si="11"/>
        <v>357166.19</v>
      </c>
      <c r="X14" s="17">
        <f t="shared" si="12"/>
        <v>412755.20000000001</v>
      </c>
      <c r="Y14" s="17">
        <f t="shared" si="13"/>
        <v>340740.65</v>
      </c>
      <c r="Z14" s="17">
        <f t="shared" si="14"/>
        <v>474177.85</v>
      </c>
      <c r="AA14" s="17">
        <f t="shared" si="15"/>
        <v>1236627.32</v>
      </c>
      <c r="AB14" s="31">
        <f t="shared" ref="AB14:AB19" si="18">SUM(P14:AA14)</f>
        <v>6369230.9639204564</v>
      </c>
      <c r="AC14" s="47"/>
      <c r="AD14" s="147"/>
      <c r="AE14" s="165"/>
    </row>
    <row r="15" spans="1:31" s="10" customFormat="1" ht="30" customHeight="1">
      <c r="A15" s="33" t="s">
        <v>33</v>
      </c>
      <c r="B15" s="79">
        <v>0</v>
      </c>
      <c r="C15" s="79">
        <f>'[7]Estimate Revenue'!$E$13</f>
        <v>0</v>
      </c>
      <c r="D15" s="79">
        <v>0</v>
      </c>
      <c r="E15" s="79"/>
      <c r="F15" s="79">
        <v>3255800000</v>
      </c>
      <c r="G15" s="79"/>
      <c r="H15" s="79"/>
      <c r="I15" s="79">
        <v>12209400000</v>
      </c>
      <c r="J15" s="79"/>
      <c r="K15" s="79"/>
      <c r="L15" s="79">
        <v>6511700000</v>
      </c>
      <c r="M15" s="79">
        <v>29733800000</v>
      </c>
      <c r="N15" s="28">
        <f t="shared" si="17"/>
        <v>51710700000</v>
      </c>
      <c r="O15" s="60">
        <f>N15+'Summary 2021'!P17</f>
        <v>96478500000</v>
      </c>
      <c r="P15" s="89">
        <f t="shared" si="4"/>
        <v>0</v>
      </c>
      <c r="Q15" s="17">
        <f t="shared" si="5"/>
        <v>0</v>
      </c>
      <c r="R15" s="17">
        <f t="shared" si="6"/>
        <v>0</v>
      </c>
      <c r="S15" s="17">
        <f t="shared" si="7"/>
        <v>0</v>
      </c>
      <c r="T15" s="17">
        <f t="shared" si="8"/>
        <v>141372.12331741207</v>
      </c>
      <c r="U15" s="17">
        <f t="shared" si="9"/>
        <v>0</v>
      </c>
      <c r="V15" s="17">
        <f t="shared" si="10"/>
        <v>0</v>
      </c>
      <c r="W15" s="17">
        <f t="shared" si="11"/>
        <v>524008.58</v>
      </c>
      <c r="X15" s="17">
        <f t="shared" si="12"/>
        <v>0</v>
      </c>
      <c r="Y15" s="17">
        <f t="shared" si="13"/>
        <v>0</v>
      </c>
      <c r="Z15" s="17">
        <f t="shared" si="14"/>
        <v>265783.67</v>
      </c>
      <c r="AA15" s="17">
        <f t="shared" si="15"/>
        <v>1271218.47</v>
      </c>
      <c r="AB15" s="31">
        <f t="shared" si="18"/>
        <v>2202382.8433174118</v>
      </c>
      <c r="AC15" s="47"/>
      <c r="AD15" s="147"/>
      <c r="AE15" s="159"/>
    </row>
    <row r="16" spans="1:31" s="10" customFormat="1" ht="30" customHeight="1">
      <c r="A16" s="33" t="s">
        <v>34</v>
      </c>
      <c r="B16" s="79">
        <v>0</v>
      </c>
      <c r="C16" s="79">
        <f>'[7]Estimate Revenue'!$E$14</f>
        <v>94642243</v>
      </c>
      <c r="D16" s="79">
        <v>52404184</v>
      </c>
      <c r="E16" s="79">
        <v>52404184</v>
      </c>
      <c r="F16" s="79">
        <v>53191123</v>
      </c>
      <c r="G16" s="79">
        <v>52404184</v>
      </c>
      <c r="H16" s="79">
        <v>52404184</v>
      </c>
      <c r="I16" s="79">
        <v>52979158</v>
      </c>
      <c r="J16" s="79">
        <v>52609668</v>
      </c>
      <c r="K16" s="79">
        <v>52609668</v>
      </c>
      <c r="L16" s="79">
        <v>53390127</v>
      </c>
      <c r="M16" s="79">
        <v>165137942</v>
      </c>
      <c r="N16" s="28">
        <f t="shared" si="17"/>
        <v>734176665</v>
      </c>
      <c r="O16" s="60">
        <f>N16+'Summary 2021'!P18</f>
        <v>1416903956</v>
      </c>
      <c r="P16" s="89">
        <f t="shared" si="4"/>
        <v>0</v>
      </c>
      <c r="Q16" s="17">
        <f t="shared" si="5"/>
        <v>4178.4654746136866</v>
      </c>
      <c r="R16" s="17">
        <f t="shared" si="6"/>
        <v>2310.59012345679</v>
      </c>
      <c r="S16" s="17">
        <f t="shared" si="7"/>
        <v>2298.9332748409738</v>
      </c>
      <c r="T16" s="17">
        <f t="shared" si="8"/>
        <v>2309.6449413808077</v>
      </c>
      <c r="U16" s="17">
        <f t="shared" si="9"/>
        <v>2267.11</v>
      </c>
      <c r="V16" s="17">
        <f t="shared" si="10"/>
        <v>2258.8010344827585</v>
      </c>
      <c r="W16" s="17">
        <f t="shared" si="11"/>
        <v>2273.7800000000002</v>
      </c>
      <c r="X16" s="17">
        <f t="shared" si="12"/>
        <v>2218.88</v>
      </c>
      <c r="Y16" s="17">
        <f t="shared" si="13"/>
        <v>2138.6</v>
      </c>
      <c r="Z16" s="17">
        <f t="shared" si="14"/>
        <v>2179.19</v>
      </c>
      <c r="AA16" s="17">
        <f t="shared" si="15"/>
        <v>7060.19</v>
      </c>
      <c r="AB16" s="31">
        <f t="shared" si="18"/>
        <v>31494.184848775014</v>
      </c>
      <c r="AC16" s="47"/>
      <c r="AD16" s="147"/>
      <c r="AE16" s="159"/>
    </row>
    <row r="17" spans="1:31" s="10" customFormat="1" ht="30" customHeight="1">
      <c r="A17" s="33" t="s">
        <v>45</v>
      </c>
      <c r="B17" s="79">
        <f>'[8]Estimate Revenue'!$E$15</f>
        <v>1733792712</v>
      </c>
      <c r="C17" s="79">
        <f>'[7]Estimate Revenue'!$E$15</f>
        <v>15656535045</v>
      </c>
      <c r="D17" s="79">
        <v>13212409909</v>
      </c>
      <c r="E17" s="79">
        <v>29597260240</v>
      </c>
      <c r="F17" s="79">
        <v>34490543660</v>
      </c>
      <c r="G17" s="79">
        <v>41858465490</v>
      </c>
      <c r="H17" s="79">
        <v>36148251094</v>
      </c>
      <c r="I17" s="79">
        <v>40323055793</v>
      </c>
      <c r="J17" s="79">
        <v>53495837877</v>
      </c>
      <c r="K17" s="79">
        <v>73237524106</v>
      </c>
      <c r="L17" s="79">
        <v>37409878147</v>
      </c>
      <c r="M17" s="79">
        <v>46114123831</v>
      </c>
      <c r="N17" s="28">
        <f t="shared" si="17"/>
        <v>423277677904</v>
      </c>
      <c r="O17" s="60">
        <f>N17+'Summary 2021'!P19</f>
        <v>576949411706</v>
      </c>
      <c r="P17" s="89">
        <f t="shared" si="4"/>
        <v>77126.010320284695</v>
      </c>
      <c r="Q17" s="17">
        <f t="shared" si="5"/>
        <v>691237.7503311258</v>
      </c>
      <c r="R17" s="17">
        <f t="shared" si="6"/>
        <v>582557.75612874783</v>
      </c>
      <c r="S17" s="17">
        <f t="shared" si="7"/>
        <v>1298410.1881991664</v>
      </c>
      <c r="T17" s="17">
        <f t="shared" si="8"/>
        <v>1497635.4172818062</v>
      </c>
      <c r="U17" s="17">
        <f t="shared" si="9"/>
        <v>1810878.89</v>
      </c>
      <c r="V17" s="17">
        <f t="shared" si="10"/>
        <v>1558114.2712931035</v>
      </c>
      <c r="W17" s="17">
        <f t="shared" si="11"/>
        <v>1730603.25</v>
      </c>
      <c r="X17" s="17">
        <f t="shared" si="12"/>
        <v>2256256.34</v>
      </c>
      <c r="Y17" s="17">
        <f t="shared" si="13"/>
        <v>2977135.13</v>
      </c>
      <c r="Z17" s="17">
        <f t="shared" si="14"/>
        <v>1526933.8</v>
      </c>
      <c r="AA17" s="17">
        <f t="shared" si="15"/>
        <v>1971531.59</v>
      </c>
      <c r="AB17" s="31">
        <f t="shared" si="18"/>
        <v>17978420.393554233</v>
      </c>
      <c r="AC17" s="47"/>
      <c r="AE17" s="165"/>
    </row>
    <row r="18" spans="1:31" s="10" customFormat="1" ht="30" customHeight="1">
      <c r="A18" s="33" t="s">
        <v>50</v>
      </c>
      <c r="B18" s="79">
        <v>29092743</v>
      </c>
      <c r="C18" s="79">
        <f>'[7]Estimate Revenue'!$E$16</f>
        <v>572624593</v>
      </c>
      <c r="D18" s="79">
        <v>518384813</v>
      </c>
      <c r="E18" s="79">
        <v>560522815</v>
      </c>
      <c r="F18" s="79">
        <v>553258576</v>
      </c>
      <c r="G18" s="79">
        <v>676043297</v>
      </c>
      <c r="H18" s="79">
        <v>604336166</v>
      </c>
      <c r="I18" s="79">
        <v>644229354</v>
      </c>
      <c r="J18" s="79">
        <v>584900941</v>
      </c>
      <c r="K18" s="79">
        <v>574326470</v>
      </c>
      <c r="L18" s="79">
        <v>593418153</v>
      </c>
      <c r="M18" s="79">
        <v>1650478407</v>
      </c>
      <c r="N18" s="28">
        <f t="shared" si="17"/>
        <v>7561616328</v>
      </c>
      <c r="O18" s="60">
        <f>N18+'Summary 2021'!P20</f>
        <v>11553377055</v>
      </c>
      <c r="P18" s="89">
        <f t="shared" si="4"/>
        <v>1294.1611654804271</v>
      </c>
      <c r="Q18" s="17">
        <f t="shared" si="5"/>
        <v>25281.438984547462</v>
      </c>
      <c r="R18" s="17">
        <f t="shared" si="6"/>
        <v>22856.473236331571</v>
      </c>
      <c r="S18" s="17">
        <f t="shared" si="7"/>
        <v>24589.726475104191</v>
      </c>
      <c r="T18" s="17">
        <f t="shared" si="8"/>
        <v>24023.385844550587</v>
      </c>
      <c r="U18" s="17">
        <f t="shared" si="9"/>
        <v>29246.95</v>
      </c>
      <c r="V18" s="17">
        <f t="shared" si="10"/>
        <v>26048.972672413794</v>
      </c>
      <c r="W18" s="17">
        <f t="shared" si="11"/>
        <v>27649.33</v>
      </c>
      <c r="X18" s="17">
        <f t="shared" si="12"/>
        <v>24668.959999999999</v>
      </c>
      <c r="Y18" s="17">
        <f t="shared" si="13"/>
        <v>23346.6</v>
      </c>
      <c r="Z18" s="17">
        <f t="shared" si="14"/>
        <v>24221.15</v>
      </c>
      <c r="AA18" s="17">
        <f t="shared" si="15"/>
        <v>70563.42</v>
      </c>
      <c r="AB18" s="31">
        <f t="shared" si="18"/>
        <v>323790.56837842806</v>
      </c>
      <c r="AC18" s="47"/>
      <c r="AE18" s="165"/>
    </row>
    <row r="19" spans="1:31" s="10" customFormat="1" ht="30" customHeight="1">
      <c r="A19" s="33" t="s">
        <v>46</v>
      </c>
      <c r="B19" s="79">
        <v>0</v>
      </c>
      <c r="C19" s="79">
        <f>'[7]Estimate Revenue'!$E$17</f>
        <v>0</v>
      </c>
      <c r="D19" s="79">
        <v>1851500000</v>
      </c>
      <c r="E19" s="79"/>
      <c r="F19" s="79"/>
      <c r="G19" s="79">
        <v>1851500000</v>
      </c>
      <c r="H19" s="79"/>
      <c r="I19" s="79"/>
      <c r="J19" s="79">
        <v>1851500000</v>
      </c>
      <c r="K19" s="79"/>
      <c r="L19" s="79"/>
      <c r="M19" s="79">
        <v>1851500000</v>
      </c>
      <c r="N19" s="28">
        <f t="shared" si="17"/>
        <v>7406000000</v>
      </c>
      <c r="O19" s="60">
        <f>N19+'Summary 2021'!P21</f>
        <v>12041000000</v>
      </c>
      <c r="P19" s="89">
        <f t="shared" si="4"/>
        <v>0</v>
      </c>
      <c r="Q19" s="17">
        <f t="shared" si="5"/>
        <v>0</v>
      </c>
      <c r="R19" s="17">
        <f t="shared" si="6"/>
        <v>81635.8024691358</v>
      </c>
      <c r="S19" s="17">
        <f t="shared" si="7"/>
        <v>0</v>
      </c>
      <c r="T19" s="89">
        <f>F19/T34</f>
        <v>0</v>
      </c>
      <c r="U19" s="17">
        <f t="shared" si="9"/>
        <v>80099.5</v>
      </c>
      <c r="V19" s="17">
        <f t="shared" si="10"/>
        <v>0</v>
      </c>
      <c r="W19" s="17">
        <f t="shared" si="11"/>
        <v>0</v>
      </c>
      <c r="X19" s="17">
        <f t="shared" si="12"/>
        <v>78089.41</v>
      </c>
      <c r="Y19" s="17">
        <f t="shared" si="13"/>
        <v>0</v>
      </c>
      <c r="Z19" s="17">
        <f t="shared" si="14"/>
        <v>0</v>
      </c>
      <c r="AA19" s="17">
        <f t="shared" si="15"/>
        <v>79157.759999999995</v>
      </c>
      <c r="AB19" s="31">
        <f t="shared" si="18"/>
        <v>318982.47246913577</v>
      </c>
      <c r="AC19" s="47"/>
      <c r="AE19" s="159"/>
    </row>
    <row r="20" spans="1:31" s="10" customFormat="1" ht="30" customHeight="1">
      <c r="A20" s="33" t="s">
        <v>116</v>
      </c>
      <c r="B20" s="79">
        <v>0</v>
      </c>
      <c r="C20" s="79">
        <v>0</v>
      </c>
      <c r="D20" s="79">
        <v>0</v>
      </c>
      <c r="E20" s="79">
        <v>0</v>
      </c>
      <c r="F20" s="79">
        <v>0</v>
      </c>
      <c r="G20" s="79">
        <v>0</v>
      </c>
      <c r="H20" s="79">
        <v>0</v>
      </c>
      <c r="I20" s="79">
        <v>0</v>
      </c>
      <c r="J20" s="79">
        <v>0</v>
      </c>
      <c r="K20" s="79">
        <v>0</v>
      </c>
      <c r="L20" s="79">
        <v>0</v>
      </c>
      <c r="M20" s="79">
        <f>'[9]Estimate Revenue'!$Q$17</f>
        <v>9945452000</v>
      </c>
      <c r="N20" s="28">
        <f t="shared" ref="N20:N21" si="19">SUM(B20:M20)</f>
        <v>9945452000</v>
      </c>
      <c r="O20" s="60">
        <f>N20</f>
        <v>9945452000</v>
      </c>
      <c r="P20" s="89">
        <f t="shared" si="4"/>
        <v>0</v>
      </c>
      <c r="Q20" s="89">
        <f t="shared" ref="Q20:Z21" si="20">C20/$P$34</f>
        <v>0</v>
      </c>
      <c r="R20" s="89">
        <f t="shared" si="20"/>
        <v>0</v>
      </c>
      <c r="S20" s="89">
        <f t="shared" si="20"/>
        <v>0</v>
      </c>
      <c r="T20" s="89">
        <f t="shared" si="20"/>
        <v>0</v>
      </c>
      <c r="U20" s="89">
        <f t="shared" si="20"/>
        <v>0</v>
      </c>
      <c r="V20" s="89">
        <f t="shared" si="20"/>
        <v>0</v>
      </c>
      <c r="W20" s="89">
        <f t="shared" si="20"/>
        <v>0</v>
      </c>
      <c r="X20" s="89">
        <f t="shared" si="20"/>
        <v>0</v>
      </c>
      <c r="Y20" s="89">
        <f t="shared" si="20"/>
        <v>0</v>
      </c>
      <c r="Z20" s="89">
        <f t="shared" si="20"/>
        <v>0</v>
      </c>
      <c r="AA20" s="17">
        <f t="shared" si="15"/>
        <v>425201.03</v>
      </c>
      <c r="AB20" s="31">
        <f t="shared" ref="AB20:AB21" si="21">SUM(P20:AA20)</f>
        <v>425201.03</v>
      </c>
      <c r="AC20" s="47"/>
      <c r="AE20" s="159"/>
    </row>
    <row r="21" spans="1:31" s="10" customFormat="1" ht="30" customHeight="1">
      <c r="A21" s="33" t="s">
        <v>117</v>
      </c>
      <c r="B21" s="79">
        <v>0</v>
      </c>
      <c r="C21" s="79">
        <v>0</v>
      </c>
      <c r="D21" s="79">
        <v>0</v>
      </c>
      <c r="E21" s="79">
        <v>0</v>
      </c>
      <c r="F21" s="79">
        <v>0</v>
      </c>
      <c r="G21" s="79">
        <v>0</v>
      </c>
      <c r="H21" s="79">
        <v>0</v>
      </c>
      <c r="I21" s="79">
        <v>0</v>
      </c>
      <c r="J21" s="79">
        <v>0</v>
      </c>
      <c r="K21" s="79">
        <v>0</v>
      </c>
      <c r="L21" s="79">
        <v>0</v>
      </c>
      <c r="M21" s="79">
        <f>'[9]Estimate Revenue'!$Q$18</f>
        <v>9945452000</v>
      </c>
      <c r="N21" s="28">
        <f t="shared" si="19"/>
        <v>9945452000</v>
      </c>
      <c r="O21" s="60">
        <f>N21</f>
        <v>9945452000</v>
      </c>
      <c r="P21" s="89">
        <f t="shared" si="4"/>
        <v>0</v>
      </c>
      <c r="Q21" s="89">
        <f t="shared" si="20"/>
        <v>0</v>
      </c>
      <c r="R21" s="89">
        <f t="shared" si="20"/>
        <v>0</v>
      </c>
      <c r="S21" s="89">
        <f t="shared" si="20"/>
        <v>0</v>
      </c>
      <c r="T21" s="89">
        <f t="shared" si="20"/>
        <v>0</v>
      </c>
      <c r="U21" s="89">
        <f t="shared" si="20"/>
        <v>0</v>
      </c>
      <c r="V21" s="89">
        <f t="shared" si="20"/>
        <v>0</v>
      </c>
      <c r="W21" s="89">
        <f t="shared" si="20"/>
        <v>0</v>
      </c>
      <c r="X21" s="89">
        <f t="shared" si="20"/>
        <v>0</v>
      </c>
      <c r="Y21" s="89">
        <f t="shared" si="20"/>
        <v>0</v>
      </c>
      <c r="Z21" s="89">
        <f t="shared" si="20"/>
        <v>0</v>
      </c>
      <c r="AA21" s="17">
        <f t="shared" si="15"/>
        <v>425201.03</v>
      </c>
      <c r="AB21" s="31">
        <f t="shared" si="21"/>
        <v>425201.03</v>
      </c>
      <c r="AC21" s="47"/>
      <c r="AE21" s="159"/>
    </row>
    <row r="22" spans="1:31" s="14" customFormat="1" ht="30" customHeight="1">
      <c r="A22" s="32" t="s">
        <v>15</v>
      </c>
      <c r="B22" s="27">
        <f t="shared" ref="B22:O22" si="22">SUM(B23:B31)</f>
        <v>4965820637</v>
      </c>
      <c r="C22" s="27">
        <f t="shared" si="22"/>
        <v>32619589747</v>
      </c>
      <c r="D22" s="27">
        <f t="shared" si="22"/>
        <v>24625341433</v>
      </c>
      <c r="E22" s="27">
        <f>SUM(E23:E31)</f>
        <v>40610021254</v>
      </c>
      <c r="F22" s="27">
        <f>SUM(F23:F31)</f>
        <v>45081057698</v>
      </c>
      <c r="G22" s="27">
        <f>SUM(G23:G31)</f>
        <v>52526899017</v>
      </c>
      <c r="H22" s="27">
        <f>SUM(H23:H31)</f>
        <v>45877509136</v>
      </c>
      <c r="I22" s="27">
        <f t="shared" si="22"/>
        <v>48460694880</v>
      </c>
      <c r="J22" s="27">
        <f t="shared" si="22"/>
        <v>60026176528</v>
      </c>
      <c r="K22" s="27">
        <f t="shared" si="22"/>
        <v>74546153484</v>
      </c>
      <c r="L22" s="27">
        <f>SUM(L23:L31)</f>
        <v>53947881567</v>
      </c>
      <c r="M22" s="27">
        <f>SUM(M23:M33)</f>
        <v>76844786496</v>
      </c>
      <c r="N22" s="27">
        <f>SUM(N23:N33)</f>
        <v>560131931877</v>
      </c>
      <c r="O22" s="27" t="e">
        <f t="shared" si="22"/>
        <v>#REF!</v>
      </c>
      <c r="P22" s="30">
        <f t="shared" ref="P22:Z22" si="23">SUM(P23:P33)</f>
        <v>220899.49452846975</v>
      </c>
      <c r="Q22" s="30">
        <f t="shared" si="23"/>
        <v>1440158.4877262693</v>
      </c>
      <c r="R22" s="30">
        <f t="shared" si="23"/>
        <v>1085773.4317901232</v>
      </c>
      <c r="S22" s="30">
        <f t="shared" si="23"/>
        <v>1781531.969905681</v>
      </c>
      <c r="T22" s="30">
        <f t="shared" si="23"/>
        <v>1957492.7354754668</v>
      </c>
      <c r="U22" s="30">
        <f t="shared" si="23"/>
        <v>2272416.14</v>
      </c>
      <c r="V22" s="30">
        <f t="shared" si="23"/>
        <v>1977478.8420689655</v>
      </c>
      <c r="W22" s="30">
        <f t="shared" si="23"/>
        <v>2079858.1600000001</v>
      </c>
      <c r="X22" s="30">
        <f t="shared" si="23"/>
        <v>2531681.84</v>
      </c>
      <c r="Y22" s="30">
        <f t="shared" si="23"/>
        <v>3030331.4499999997</v>
      </c>
      <c r="Z22" s="30">
        <f t="shared" si="23"/>
        <v>2201954.35</v>
      </c>
      <c r="AA22" s="30">
        <f>SUM(AA23:AA33)</f>
        <v>3285369.2400000007</v>
      </c>
      <c r="AB22" s="30">
        <f>SUM(AB23:AB33)</f>
        <v>23864946.141494974</v>
      </c>
      <c r="AC22" s="34">
        <f>+AB22-'[6]IS (01)'!$G$14</f>
        <v>978918.57206895947</v>
      </c>
      <c r="AD22" s="148"/>
      <c r="AE22" s="162"/>
    </row>
    <row r="23" spans="1:31" s="10" customFormat="1" ht="30" customHeight="1">
      <c r="A23" s="33" t="s">
        <v>1</v>
      </c>
      <c r="B23" s="15">
        <v>0</v>
      </c>
      <c r="C23" s="15">
        <f>'[7]Estimate Revenue'!$C$9</f>
        <v>1392321458</v>
      </c>
      <c r="D23" s="15">
        <v>1274958199</v>
      </c>
      <c r="E23" s="15">
        <v>1421271450</v>
      </c>
      <c r="F23" s="78">
        <v>1360846305</v>
      </c>
      <c r="G23" s="15">
        <v>1462633032</v>
      </c>
      <c r="H23" s="20">
        <v>1679492169</v>
      </c>
      <c r="I23" s="20">
        <v>1683745353</v>
      </c>
      <c r="J23" s="20">
        <v>1686238893</v>
      </c>
      <c r="K23" s="20">
        <v>1653696820</v>
      </c>
      <c r="L23" s="20">
        <v>1725378034</v>
      </c>
      <c r="M23" s="16">
        <v>3312853822</v>
      </c>
      <c r="N23" s="28">
        <f>SUM(B23:M23)</f>
        <v>18653435535</v>
      </c>
      <c r="O23" s="60" t="e">
        <f>'Summary 2021'!P25+N23</f>
        <v>#REF!</v>
      </c>
      <c r="P23" s="17">
        <f t="shared" ref="P23:P31" si="24">B23/$P$34</f>
        <v>0</v>
      </c>
      <c r="Q23" s="17">
        <f>C23/$Q$34</f>
        <v>61471.146048565119</v>
      </c>
      <c r="R23" s="17">
        <f>D23/$R$34</f>
        <v>56215.088139329804</v>
      </c>
      <c r="S23" s="17">
        <f t="shared" ref="S23:S31" si="25">E23/$S$34</f>
        <v>62350.140381662648</v>
      </c>
      <c r="T23" s="17">
        <f>F23/$T$34</f>
        <v>59090.156534954411</v>
      </c>
      <c r="U23" s="17">
        <f t="shared" ref="U23:U31" si="26">ROUND(G23/$U$34,2)</f>
        <v>63276.36</v>
      </c>
      <c r="V23" s="17">
        <f t="shared" ref="V23:V31" si="27">H23/$V$34</f>
        <v>72391.903836206897</v>
      </c>
      <c r="W23" s="17">
        <f t="shared" ref="W23:W31" si="28">ROUND(I23/$W$34,2)</f>
        <v>72263.75</v>
      </c>
      <c r="X23" s="17">
        <f t="shared" ref="X23:X31" si="29">ROUND(J23/$X$34,2)</f>
        <v>71119.31</v>
      </c>
      <c r="Y23" s="17">
        <f t="shared" ref="Y23:Y31" si="30">ROUND(K23/$Y$34,2)</f>
        <v>67223.45</v>
      </c>
      <c r="Z23" s="17">
        <f t="shared" ref="Z23:Z31" si="31">ROUND(L23/$Z$34,2)</f>
        <v>70423.59</v>
      </c>
      <c r="AA23" s="17">
        <f>ROUND(M23/$AA$34,2)</f>
        <v>141635.48000000001</v>
      </c>
      <c r="AB23" s="31">
        <f>SUM(P23:AA23)</f>
        <v>797460.37494071876</v>
      </c>
      <c r="AC23" s="47"/>
      <c r="AE23" s="159"/>
    </row>
    <row r="24" spans="1:31" s="10" customFormat="1" ht="30" customHeight="1">
      <c r="A24" s="33" t="s">
        <v>11</v>
      </c>
      <c r="B24" s="15">
        <f>'[8]Estimate Revenue'!$C$10</f>
        <v>274829024</v>
      </c>
      <c r="C24" s="16">
        <f>'[7]Estimate Revenue'!$C$10</f>
        <v>-57034296</v>
      </c>
      <c r="D24" s="15">
        <v>0</v>
      </c>
      <c r="E24" s="15"/>
      <c r="F24" s="78"/>
      <c r="G24" s="15"/>
      <c r="H24" s="20"/>
      <c r="I24" s="20"/>
      <c r="J24" s="20"/>
      <c r="K24" s="20"/>
      <c r="L24" s="20"/>
      <c r="M24" s="16"/>
      <c r="N24" s="28">
        <f t="shared" ref="N24:N29" si="32">SUM(B24:M24)</f>
        <v>217794728</v>
      </c>
      <c r="O24" s="60">
        <f>'Summary 2021'!P26+N24</f>
        <v>1968659877196</v>
      </c>
      <c r="P24" s="17">
        <f t="shared" si="24"/>
        <v>12225.490391459074</v>
      </c>
      <c r="Q24" s="17">
        <f t="shared" ref="Q24:Q31" si="33">C24/$Q$34</f>
        <v>-2518.070463576159</v>
      </c>
      <c r="R24" s="17">
        <f t="shared" ref="R24:R31" si="34">D24/$R$34</f>
        <v>0</v>
      </c>
      <c r="S24" s="17">
        <f t="shared" si="25"/>
        <v>0</v>
      </c>
      <c r="T24" s="17">
        <f>F24/$T$34</f>
        <v>0</v>
      </c>
      <c r="U24" s="17">
        <f t="shared" si="26"/>
        <v>0</v>
      </c>
      <c r="V24" s="17">
        <f t="shared" si="27"/>
        <v>0</v>
      </c>
      <c r="W24" s="17">
        <f t="shared" si="28"/>
        <v>0</v>
      </c>
      <c r="X24" s="17">
        <f t="shared" si="29"/>
        <v>0</v>
      </c>
      <c r="Y24" s="17">
        <f t="shared" si="30"/>
        <v>0</v>
      </c>
      <c r="Z24" s="17">
        <f t="shared" si="31"/>
        <v>0</v>
      </c>
      <c r="AA24" s="17">
        <f t="shared" ref="AA24:AA33" si="35">ROUND(M24/$AA$34,2)</f>
        <v>0</v>
      </c>
      <c r="AB24" s="31">
        <f>SUM(P24:AA24)</f>
        <v>9707.4199278829146</v>
      </c>
      <c r="AC24" s="47"/>
      <c r="AE24" s="159"/>
    </row>
    <row r="25" spans="1:31" s="10" customFormat="1" ht="30" customHeight="1">
      <c r="A25" s="33" t="s">
        <v>21</v>
      </c>
      <c r="B25" s="16">
        <f>'[8]Estimate Revenue'!$C$11</f>
        <v>176967182</v>
      </c>
      <c r="C25" s="16">
        <f>'[7]Estimate Revenue'!$C$11</f>
        <v>1310095748</v>
      </c>
      <c r="D25" s="16">
        <v>1255190094</v>
      </c>
      <c r="E25" s="16">
        <v>1428389289</v>
      </c>
      <c r="F25" s="79">
        <v>1314876193</v>
      </c>
      <c r="G25" s="15">
        <v>1347360945</v>
      </c>
      <c r="H25" s="20">
        <v>1328524400</v>
      </c>
      <c r="I25" s="20">
        <v>2415959649</v>
      </c>
      <c r="J25" s="20">
        <v>1435567212</v>
      </c>
      <c r="K25" s="20">
        <v>1345275711</v>
      </c>
      <c r="L25" s="20">
        <v>1461423770</v>
      </c>
      <c r="M25" s="16">
        <v>2787131595</v>
      </c>
      <c r="N25" s="28">
        <f t="shared" si="32"/>
        <v>17606761788</v>
      </c>
      <c r="O25" s="60">
        <f>'Summary 2021'!P28+N25</f>
        <v>57415470527</v>
      </c>
      <c r="P25" s="17">
        <f t="shared" si="24"/>
        <v>7872.2056049822068</v>
      </c>
      <c r="Q25" s="17">
        <f t="shared" si="33"/>
        <v>57840.871876379693</v>
      </c>
      <c r="R25" s="17">
        <f t="shared" si="34"/>
        <v>55343.478571428568</v>
      </c>
      <c r="S25" s="17">
        <f t="shared" si="25"/>
        <v>62662.394779556918</v>
      </c>
      <c r="T25" s="17">
        <f t="shared" ref="T25:T28" si="36">F25/$T$34</f>
        <v>57094.05961788971</v>
      </c>
      <c r="U25" s="17">
        <f t="shared" si="26"/>
        <v>58289.46</v>
      </c>
      <c r="V25" s="17">
        <f t="shared" si="27"/>
        <v>57263.982758620688</v>
      </c>
      <c r="W25" s="17">
        <f t="shared" si="28"/>
        <v>103689.26</v>
      </c>
      <c r="X25" s="17">
        <f t="shared" si="29"/>
        <v>60546.91</v>
      </c>
      <c r="Y25" s="17">
        <f t="shared" si="30"/>
        <v>54686</v>
      </c>
      <c r="Z25" s="17">
        <f t="shared" si="31"/>
        <v>59649.95</v>
      </c>
      <c r="AA25" s="17">
        <f t="shared" si="35"/>
        <v>119159.11</v>
      </c>
      <c r="AB25" s="31">
        <f t="shared" ref="AB25:AB26" si="37">SUM(P25:AA25)</f>
        <v>754097.68320885778</v>
      </c>
      <c r="AC25" s="47"/>
      <c r="AE25" s="159"/>
    </row>
    <row r="26" spans="1:31" s="10" customFormat="1" ht="30" customHeight="1">
      <c r="A26" s="33" t="s">
        <v>22</v>
      </c>
      <c r="B26" s="16">
        <f>'[8]Estimate Revenue'!$C$12</f>
        <v>2964832803</v>
      </c>
      <c r="C26" s="16">
        <f>'[7]Estimate Revenue'!$C$12</f>
        <v>15791075983</v>
      </c>
      <c r="D26" s="16">
        <v>8711657554</v>
      </c>
      <c r="E26" s="16">
        <v>11465040748</v>
      </c>
      <c r="F26" s="79">
        <v>9539991757</v>
      </c>
      <c r="G26" s="16">
        <v>11275246446</v>
      </c>
      <c r="H26" s="16">
        <v>10833566808</v>
      </c>
      <c r="I26" s="16">
        <v>7236787009</v>
      </c>
      <c r="J26" s="20">
        <v>8510275914</v>
      </c>
      <c r="K26" s="16">
        <v>7289178538</v>
      </c>
      <c r="L26" s="16">
        <v>10102453975</v>
      </c>
      <c r="M26" s="16">
        <v>25152930507</v>
      </c>
      <c r="N26" s="28">
        <f t="shared" si="32"/>
        <v>128873038042</v>
      </c>
      <c r="O26" s="60">
        <f>'Summary 2021'!P29+N26</f>
        <v>498039440450</v>
      </c>
      <c r="P26" s="17">
        <f t="shared" si="24"/>
        <v>131887.58020462634</v>
      </c>
      <c r="Q26" s="17">
        <f t="shared" si="33"/>
        <v>697177.74759381893</v>
      </c>
      <c r="R26" s="17">
        <f t="shared" si="34"/>
        <v>384111.88509700174</v>
      </c>
      <c r="S26" s="17">
        <f t="shared" si="25"/>
        <v>502962.96328142134</v>
      </c>
      <c r="T26" s="17">
        <f t="shared" si="36"/>
        <v>414241.93473729916</v>
      </c>
      <c r="U26" s="17">
        <f t="shared" si="26"/>
        <v>487789.16</v>
      </c>
      <c r="V26" s="17">
        <f t="shared" si="27"/>
        <v>466964.08655172412</v>
      </c>
      <c r="W26" s="17">
        <f t="shared" si="28"/>
        <v>310591.71999999997</v>
      </c>
      <c r="X26" s="17">
        <f t="shared" si="29"/>
        <v>358931.92</v>
      </c>
      <c r="Y26" s="17">
        <f t="shared" si="30"/>
        <v>296308.07</v>
      </c>
      <c r="Z26" s="17">
        <f t="shared" si="31"/>
        <v>412345.06</v>
      </c>
      <c r="AA26" s="17">
        <f t="shared" si="35"/>
        <v>1075371.1200000001</v>
      </c>
      <c r="AB26" s="31">
        <f t="shared" si="37"/>
        <v>5538683.2474658918</v>
      </c>
      <c r="AC26" s="47"/>
      <c r="AE26" s="159"/>
    </row>
    <row r="27" spans="1:31" s="10" customFormat="1" ht="30" customHeight="1">
      <c r="A27" s="33" t="s">
        <v>33</v>
      </c>
      <c r="B27" s="20">
        <f>'[8]Estimate Revenue'!$C$13</f>
        <v>0</v>
      </c>
      <c r="C27" s="20">
        <v>0</v>
      </c>
      <c r="D27" s="20">
        <v>0</v>
      </c>
      <c r="E27" s="20"/>
      <c r="F27" s="20">
        <v>2321764167</v>
      </c>
      <c r="G27" s="20"/>
      <c r="H27" s="20"/>
      <c r="I27" s="20">
        <v>1424183531</v>
      </c>
      <c r="J27" s="20"/>
      <c r="K27" s="16"/>
      <c r="L27" s="16">
        <v>1429699054</v>
      </c>
      <c r="M27" s="16">
        <v>568046840</v>
      </c>
      <c r="N27" s="28">
        <f t="shared" si="32"/>
        <v>5743693592</v>
      </c>
      <c r="O27" s="60">
        <f>'Summary 2021'!P31+N27</f>
        <v>14508255288</v>
      </c>
      <c r="P27" s="17">
        <f t="shared" si="24"/>
        <v>0</v>
      </c>
      <c r="Q27" s="17">
        <f t="shared" si="33"/>
        <v>0</v>
      </c>
      <c r="R27" s="17">
        <f t="shared" si="34"/>
        <v>0</v>
      </c>
      <c r="S27" s="17">
        <f t="shared" si="25"/>
        <v>0</v>
      </c>
      <c r="T27" s="17">
        <f t="shared" si="36"/>
        <v>100814.77060356057</v>
      </c>
      <c r="U27" s="17">
        <f t="shared" si="26"/>
        <v>0</v>
      </c>
      <c r="V27" s="17">
        <f t="shared" si="27"/>
        <v>0</v>
      </c>
      <c r="W27" s="17">
        <f t="shared" si="28"/>
        <v>61123.76</v>
      </c>
      <c r="X27" s="17">
        <f t="shared" si="29"/>
        <v>0</v>
      </c>
      <c r="Y27" s="17">
        <f t="shared" si="30"/>
        <v>0</v>
      </c>
      <c r="Z27" s="17">
        <f t="shared" si="31"/>
        <v>58355.06</v>
      </c>
      <c r="AA27" s="17">
        <f t="shared" si="35"/>
        <v>24285.88</v>
      </c>
      <c r="AB27" s="31">
        <f>SUM(P27:AA27)</f>
        <v>244579.47060356056</v>
      </c>
      <c r="AC27" s="47"/>
      <c r="AE27" s="159"/>
    </row>
    <row r="28" spans="1:31" s="10" customFormat="1" ht="30" customHeight="1">
      <c r="A28" s="33" t="s">
        <v>34</v>
      </c>
      <c r="B28" s="20">
        <f>'[8]Estimate Revenue'!$C$14</f>
        <v>41485486</v>
      </c>
      <c r="C28" s="20">
        <f>'[7]Estimate Revenue'!$C$14</f>
        <v>47640167</v>
      </c>
      <c r="D28" s="20">
        <v>48640167</v>
      </c>
      <c r="E28" s="20">
        <v>47976067</v>
      </c>
      <c r="F28" s="20">
        <v>47640167</v>
      </c>
      <c r="G28" s="20">
        <v>47640167</v>
      </c>
      <c r="H28" s="20">
        <v>48162871</v>
      </c>
      <c r="I28" s="20">
        <v>49426971</v>
      </c>
      <c r="J28" s="20">
        <v>47826971</v>
      </c>
      <c r="K28" s="20">
        <v>48536479</v>
      </c>
      <c r="L28" s="20">
        <v>48200579</v>
      </c>
      <c r="M28" s="16">
        <v>106436823</v>
      </c>
      <c r="N28" s="28">
        <f>SUM(B28:M28)</f>
        <v>629612915</v>
      </c>
      <c r="O28" s="60">
        <f>'Summary 2021'!P32+N28</f>
        <v>1217119091</v>
      </c>
      <c r="P28" s="17">
        <f t="shared" si="24"/>
        <v>1845.439768683274</v>
      </c>
      <c r="Q28" s="17">
        <f t="shared" si="33"/>
        <v>2103.3186313465785</v>
      </c>
      <c r="R28" s="17">
        <f t="shared" si="34"/>
        <v>2144.6281746031746</v>
      </c>
      <c r="S28" s="17">
        <f t="shared" si="25"/>
        <v>2104.6750164509763</v>
      </c>
      <c r="T28" s="17">
        <f t="shared" si="36"/>
        <v>2068.6134172818065</v>
      </c>
      <c r="U28" s="17">
        <f t="shared" si="26"/>
        <v>2061.0100000000002</v>
      </c>
      <c r="V28" s="17">
        <f t="shared" si="27"/>
        <v>2075.9858189655174</v>
      </c>
      <c r="W28" s="17">
        <f t="shared" si="28"/>
        <v>2121.33</v>
      </c>
      <c r="X28" s="17">
        <f t="shared" si="29"/>
        <v>2017.16</v>
      </c>
      <c r="Y28" s="17">
        <f t="shared" si="30"/>
        <v>1973.03</v>
      </c>
      <c r="Z28" s="17">
        <f t="shared" si="31"/>
        <v>1967.37</v>
      </c>
      <c r="AA28" s="17">
        <f t="shared" si="35"/>
        <v>4550.53</v>
      </c>
      <c r="AB28" s="31">
        <f>SUM(P28:AA28)</f>
        <v>27033.090827331322</v>
      </c>
      <c r="AC28" s="47"/>
      <c r="AE28" s="159"/>
    </row>
    <row r="29" spans="1:31" s="10" customFormat="1" ht="30" customHeight="1">
      <c r="A29" s="33" t="s">
        <v>45</v>
      </c>
      <c r="B29" s="20">
        <f>'[8]Estimate Revenue'!$C$15</f>
        <v>1507706142</v>
      </c>
      <c r="C29" s="20">
        <f>'[7]Estimate Revenue'!$C$15</f>
        <v>13614922875</v>
      </c>
      <c r="D29" s="20">
        <v>11489511657</v>
      </c>
      <c r="E29" s="20">
        <v>25737777505</v>
      </c>
      <c r="F29" s="20">
        <v>29992976767</v>
      </c>
      <c r="G29" s="20">
        <v>36400121590</v>
      </c>
      <c r="H29" s="20">
        <v>31434519151</v>
      </c>
      <c r="I29" s="20">
        <v>35064929318</v>
      </c>
      <c r="J29" s="20">
        <v>46519980618</v>
      </c>
      <c r="K29" s="20">
        <v>63687350963</v>
      </c>
      <c r="L29" s="20">
        <v>38641255106</v>
      </c>
      <c r="M29" s="16">
        <v>40100842084</v>
      </c>
      <c r="N29" s="28">
        <f t="shared" si="32"/>
        <v>374191893776</v>
      </c>
      <c r="O29" s="60">
        <f>'Summary 2021'!P33+N29</f>
        <v>507824833490</v>
      </c>
      <c r="P29" s="17">
        <f t="shared" si="24"/>
        <v>67068.778558718855</v>
      </c>
      <c r="Q29" s="17">
        <f t="shared" si="33"/>
        <v>601100.34768211923</v>
      </c>
      <c r="R29" s="17">
        <f>D29/$R$34</f>
        <v>506592.22473544971</v>
      </c>
      <c r="S29" s="17">
        <f t="shared" si="25"/>
        <v>1129097.4996709805</v>
      </c>
      <c r="T29" s="17">
        <f>F29/T34</f>
        <v>1302343.7588797221</v>
      </c>
      <c r="U29" s="17">
        <f t="shared" si="26"/>
        <v>1574740.28</v>
      </c>
      <c r="V29" s="17">
        <f t="shared" si="27"/>
        <v>1354936.1703017242</v>
      </c>
      <c r="W29" s="17">
        <f t="shared" si="28"/>
        <v>1504932.59</v>
      </c>
      <c r="X29" s="17">
        <f t="shared" si="29"/>
        <v>1962040.52</v>
      </c>
      <c r="Y29" s="17">
        <f t="shared" si="30"/>
        <v>2588916.71</v>
      </c>
      <c r="Z29" s="17">
        <f t="shared" si="31"/>
        <v>1577194.09</v>
      </c>
      <c r="AA29" s="17">
        <f t="shared" si="35"/>
        <v>1714443.87</v>
      </c>
      <c r="AB29" s="31">
        <f t="shared" ref="AB29:AB31" si="38">SUM(P29:AA29)</f>
        <v>15883406.839828715</v>
      </c>
      <c r="AC29" s="47"/>
      <c r="AE29" s="159"/>
    </row>
    <row r="30" spans="1:31" s="10" customFormat="1" ht="30" customHeight="1">
      <c r="A30" s="33" t="s">
        <v>50</v>
      </c>
      <c r="B30" s="120">
        <f>'[8]Estimate Revenue'!$C$16</f>
        <v>0</v>
      </c>
      <c r="C30" s="120">
        <f>'[7]Estimate Revenue'!$C$16</f>
        <v>520567812</v>
      </c>
      <c r="D30" s="120">
        <v>471258921</v>
      </c>
      <c r="E30" s="120">
        <v>509566195</v>
      </c>
      <c r="F30" s="120">
        <v>502962342</v>
      </c>
      <c r="G30" s="120">
        <v>616524630</v>
      </c>
      <c r="H30" s="120">
        <v>553243737</v>
      </c>
      <c r="I30" s="120">
        <v>585663049</v>
      </c>
      <c r="J30" s="120">
        <v>531728128</v>
      </c>
      <c r="K30" s="120">
        <v>522114973</v>
      </c>
      <c r="L30" s="120">
        <v>539471049</v>
      </c>
      <c r="M30" s="79">
        <v>1485750141</v>
      </c>
      <c r="N30" s="28">
        <f>SUM(B30:M30)</f>
        <v>6838850977</v>
      </c>
      <c r="O30" s="60">
        <f>'Summary 2021'!P34+N30</f>
        <v>10459307313</v>
      </c>
      <c r="P30" s="17">
        <f t="shared" si="24"/>
        <v>0</v>
      </c>
      <c r="Q30" s="17">
        <f t="shared" si="33"/>
        <v>22983.126357615893</v>
      </c>
      <c r="R30" s="17">
        <f t="shared" si="34"/>
        <v>20778.612037037037</v>
      </c>
      <c r="S30" s="17">
        <f t="shared" si="25"/>
        <v>22354.296775608687</v>
      </c>
      <c r="T30" s="17">
        <f>F30/$T$34</f>
        <v>21839.441684759011</v>
      </c>
      <c r="U30" s="17">
        <f t="shared" si="26"/>
        <v>26672.06</v>
      </c>
      <c r="V30" s="17">
        <f t="shared" si="27"/>
        <v>23846.712801724138</v>
      </c>
      <c r="W30" s="17">
        <f t="shared" si="28"/>
        <v>25135.75</v>
      </c>
      <c r="X30" s="17">
        <f t="shared" si="29"/>
        <v>22426.32</v>
      </c>
      <c r="Y30" s="17">
        <f t="shared" si="30"/>
        <v>21224.19</v>
      </c>
      <c r="Z30" s="17">
        <f t="shared" si="31"/>
        <v>22019.23</v>
      </c>
      <c r="AA30" s="17">
        <f t="shared" si="35"/>
        <v>63520.74</v>
      </c>
      <c r="AB30" s="31">
        <f>SUM(P30:AA30)</f>
        <v>292800.47965674481</v>
      </c>
      <c r="AC30" s="47"/>
      <c r="AE30" s="159"/>
    </row>
    <row r="31" spans="1:31" s="10" customFormat="1" ht="30" customHeight="1">
      <c r="A31" s="33" t="s">
        <v>46</v>
      </c>
      <c r="B31" s="20">
        <v>0</v>
      </c>
      <c r="C31" s="20">
        <v>0</v>
      </c>
      <c r="D31" s="20">
        <v>1374124841</v>
      </c>
      <c r="E31" s="20"/>
      <c r="F31" s="20"/>
      <c r="G31" s="20">
        <v>1377372207</v>
      </c>
      <c r="H31" s="211"/>
      <c r="I31" s="20"/>
      <c r="J31" s="20">
        <v>1294558792</v>
      </c>
      <c r="K31" s="20"/>
      <c r="L31" s="20"/>
      <c r="M31" s="16">
        <v>1639231172</v>
      </c>
      <c r="N31" s="28">
        <f>SUM(B31:M31)</f>
        <v>5685287012</v>
      </c>
      <c r="O31" s="60">
        <f>'Summary 2021'!P35+N31</f>
        <v>9487271225</v>
      </c>
      <c r="P31" s="17">
        <f t="shared" si="24"/>
        <v>0</v>
      </c>
      <c r="Q31" s="17">
        <f t="shared" si="33"/>
        <v>0</v>
      </c>
      <c r="R31" s="17">
        <f t="shared" si="34"/>
        <v>60587.515035273369</v>
      </c>
      <c r="S31" s="17">
        <f t="shared" si="25"/>
        <v>0</v>
      </c>
      <c r="T31" s="17">
        <f>F31/T34</f>
        <v>0</v>
      </c>
      <c r="U31" s="17">
        <f t="shared" si="26"/>
        <v>59587.81</v>
      </c>
      <c r="V31" s="17">
        <f t="shared" si="27"/>
        <v>0</v>
      </c>
      <c r="W31" s="17">
        <f t="shared" si="28"/>
        <v>0</v>
      </c>
      <c r="X31" s="17">
        <f t="shared" si="29"/>
        <v>54599.7</v>
      </c>
      <c r="Y31" s="17">
        <f t="shared" si="30"/>
        <v>0</v>
      </c>
      <c r="Z31" s="17">
        <f t="shared" si="31"/>
        <v>0</v>
      </c>
      <c r="AA31" s="17">
        <f t="shared" si="35"/>
        <v>70082.559999999998</v>
      </c>
      <c r="AB31" s="31">
        <f t="shared" si="38"/>
        <v>244857.58503527334</v>
      </c>
      <c r="AC31" s="47"/>
      <c r="AE31" s="159"/>
    </row>
    <row r="32" spans="1:31" s="10" customFormat="1" ht="30" customHeight="1">
      <c r="A32" s="33" t="s">
        <v>116</v>
      </c>
      <c r="B32" s="20">
        <v>0</v>
      </c>
      <c r="C32" s="20">
        <v>0</v>
      </c>
      <c r="D32" s="20">
        <v>0</v>
      </c>
      <c r="E32" s="20">
        <v>0</v>
      </c>
      <c r="F32" s="20">
        <v>0</v>
      </c>
      <c r="G32" s="20">
        <v>0</v>
      </c>
      <c r="H32" s="20">
        <v>0</v>
      </c>
      <c r="I32" s="20">
        <v>0</v>
      </c>
      <c r="J32" s="20">
        <v>0</v>
      </c>
      <c r="K32" s="20">
        <v>0</v>
      </c>
      <c r="L32" s="20">
        <v>0</v>
      </c>
      <c r="M32" s="79">
        <v>959337771</v>
      </c>
      <c r="N32" s="28">
        <f>SUM(B32:M32)</f>
        <v>959337771</v>
      </c>
      <c r="O32" s="60">
        <f>+N32</f>
        <v>959337771</v>
      </c>
      <c r="P32" s="17">
        <v>0</v>
      </c>
      <c r="Q32" s="17">
        <v>0</v>
      </c>
      <c r="R32" s="17">
        <v>0</v>
      </c>
      <c r="S32" s="17">
        <v>0</v>
      </c>
      <c r="T32" s="17">
        <v>0</v>
      </c>
      <c r="U32" s="17">
        <v>0</v>
      </c>
      <c r="V32" s="17">
        <v>0</v>
      </c>
      <c r="W32" s="17">
        <v>0</v>
      </c>
      <c r="X32" s="17">
        <v>0</v>
      </c>
      <c r="Y32" s="17">
        <v>0</v>
      </c>
      <c r="Z32" s="17">
        <v>0</v>
      </c>
      <c r="AA32" s="17">
        <f t="shared" si="35"/>
        <v>41014.870000000003</v>
      </c>
      <c r="AB32" s="31">
        <f>SUM(P32:AA32)</f>
        <v>41014.870000000003</v>
      </c>
      <c r="AC32" s="47"/>
      <c r="AE32" s="159"/>
    </row>
    <row r="33" spans="1:31" s="10" customFormat="1" ht="30" customHeight="1">
      <c r="A33" s="33" t="s">
        <v>117</v>
      </c>
      <c r="B33" s="20">
        <v>0</v>
      </c>
      <c r="C33" s="20">
        <v>0</v>
      </c>
      <c r="D33" s="20">
        <v>0</v>
      </c>
      <c r="E33" s="20">
        <v>0</v>
      </c>
      <c r="F33" s="20">
        <v>0</v>
      </c>
      <c r="G33" s="20">
        <v>0</v>
      </c>
      <c r="H33" s="20">
        <v>0</v>
      </c>
      <c r="I33" s="20">
        <v>0</v>
      </c>
      <c r="J33" s="20">
        <v>0</v>
      </c>
      <c r="K33" s="20">
        <v>0</v>
      </c>
      <c r="L33" s="20">
        <v>0</v>
      </c>
      <c r="M33" s="16">
        <v>732225741</v>
      </c>
      <c r="N33" s="28">
        <f>SUM(B33:M33)</f>
        <v>732225741</v>
      </c>
      <c r="O33" s="60">
        <f>+N33</f>
        <v>732225741</v>
      </c>
      <c r="P33" s="17">
        <v>0</v>
      </c>
      <c r="Q33" s="17">
        <v>0</v>
      </c>
      <c r="R33" s="17">
        <v>0</v>
      </c>
      <c r="S33" s="17">
        <v>0</v>
      </c>
      <c r="T33" s="17">
        <v>0</v>
      </c>
      <c r="U33" s="17">
        <v>0</v>
      </c>
      <c r="V33" s="17">
        <v>0</v>
      </c>
      <c r="W33" s="17">
        <v>0</v>
      </c>
      <c r="X33" s="17">
        <v>0</v>
      </c>
      <c r="Y33" s="17">
        <v>0</v>
      </c>
      <c r="Z33" s="17">
        <v>0</v>
      </c>
      <c r="AA33" s="17">
        <f t="shared" si="35"/>
        <v>31305.08</v>
      </c>
      <c r="AB33" s="31">
        <f t="shared" ref="AB33" si="39">SUM(P33:AA33)</f>
        <v>31305.08</v>
      </c>
      <c r="AC33" s="47"/>
      <c r="AE33" s="159"/>
    </row>
    <row r="34" spans="1:31" s="9" customFormat="1" ht="22.5" customHeight="1">
      <c r="A34" s="9" t="s">
        <v>19</v>
      </c>
      <c r="E34" s="40"/>
      <c r="F34" s="40"/>
      <c r="H34" s="210">
        <f>+H10-'[10]IS (01)'!$K$6</f>
        <v>0</v>
      </c>
      <c r="O34" s="215"/>
      <c r="P34" s="9">
        <v>22480</v>
      </c>
      <c r="Q34" s="9">
        <v>22650</v>
      </c>
      <c r="R34" s="9">
        <v>22680</v>
      </c>
      <c r="S34" s="9">
        <v>22795</v>
      </c>
      <c r="T34" s="9">
        <v>23030</v>
      </c>
      <c r="U34" s="9">
        <v>23115</v>
      </c>
      <c r="V34" s="9">
        <v>23200</v>
      </c>
      <c r="W34" s="9">
        <v>23300</v>
      </c>
      <c r="X34" s="50">
        <v>23710</v>
      </c>
      <c r="Y34" s="9">
        <v>24600</v>
      </c>
      <c r="Z34" s="9">
        <v>24500</v>
      </c>
      <c r="AA34" s="9">
        <v>23390</v>
      </c>
      <c r="AC34" s="46"/>
      <c r="AE34" s="157"/>
    </row>
    <row r="35" spans="1:31" s="5" customFormat="1">
      <c r="B35" s="6"/>
      <c r="C35" s="6"/>
      <c r="D35" s="6"/>
      <c r="E35" s="6"/>
      <c r="F35" s="6"/>
      <c r="H35" s="212">
        <f>+H22-'[10]IS (01)'!$K$14</f>
        <v>0</v>
      </c>
      <c r="N35" s="52"/>
      <c r="O35" s="38"/>
      <c r="T35" s="41"/>
      <c r="AC35" s="46"/>
      <c r="AE35" s="158"/>
    </row>
    <row r="36" spans="1:31" s="61" customFormat="1">
      <c r="A36" s="152"/>
      <c r="B36" s="105"/>
      <c r="C36" s="105"/>
      <c r="D36" s="105"/>
      <c r="E36" s="116"/>
      <c r="F36" s="105"/>
      <c r="G36" s="105"/>
      <c r="H36" s="105"/>
      <c r="I36" s="105"/>
      <c r="J36" s="105"/>
      <c r="K36" s="105"/>
      <c r="L36" s="105"/>
      <c r="M36" s="105"/>
      <c r="N36" s="105"/>
      <c r="O36" s="216"/>
      <c r="P36" s="217"/>
      <c r="Q36" s="156"/>
      <c r="R36" s="156"/>
      <c r="U36" s="117"/>
      <c r="AB36" s="105"/>
      <c r="AD36" s="118"/>
      <c r="AE36" s="158"/>
    </row>
    <row r="37" spans="1:31" s="5" customFormat="1">
      <c r="A37" s="150"/>
      <c r="B37" s="55"/>
      <c r="C37" s="81"/>
      <c r="D37" s="81"/>
      <c r="E37" s="81"/>
      <c r="F37" s="55"/>
      <c r="G37" s="55"/>
      <c r="H37" s="55"/>
      <c r="I37" s="55"/>
      <c r="J37" s="55"/>
      <c r="K37" s="55"/>
      <c r="L37" s="55"/>
      <c r="M37" s="55"/>
      <c r="N37" s="55"/>
      <c r="O37" s="55"/>
      <c r="Q37" s="38"/>
      <c r="R37" s="38"/>
      <c r="U37" s="41"/>
      <c r="AB37" s="55"/>
      <c r="AD37" s="46"/>
      <c r="AE37" s="158"/>
    </row>
    <row r="38" spans="1:31" s="106" customFormat="1">
      <c r="A38" s="151" t="s">
        <v>38</v>
      </c>
      <c r="B38" s="57">
        <f t="shared" ref="B38:O38" si="40">IFERROR(B26/B14,0)</f>
        <v>0.86959999989699133</v>
      </c>
      <c r="C38" s="57">
        <f t="shared" si="40"/>
        <v>0.86960000000044058</v>
      </c>
      <c r="D38" s="57">
        <f t="shared" si="40"/>
        <v>0.8695999999896985</v>
      </c>
      <c r="E38" s="107">
        <f>IFERROR(E26/E14,0)</f>
        <v>0.86960000002772997</v>
      </c>
      <c r="F38" s="57">
        <f>IFERROR(F26/F14,0)</f>
        <v>0.86960000003821136</v>
      </c>
      <c r="G38" s="57">
        <f t="shared" si="40"/>
        <v>0.86960000002073112</v>
      </c>
      <c r="H38" s="57">
        <f t="shared" si="40"/>
        <v>0.86960000000417403</v>
      </c>
      <c r="I38" s="57">
        <f t="shared" si="40"/>
        <v>0.86960000004835392</v>
      </c>
      <c r="J38" s="57">
        <f>IFERROR(J26/J14,0)</f>
        <v>0.86960000000588566</v>
      </c>
      <c r="K38" s="57">
        <f t="shared" si="40"/>
        <v>0.86959999998950155</v>
      </c>
      <c r="L38" s="57">
        <f t="shared" si="40"/>
        <v>0.86959999999662574</v>
      </c>
      <c r="M38" s="57">
        <f t="shared" si="40"/>
        <v>0.8695999999857561</v>
      </c>
      <c r="N38" s="57">
        <f t="shared" si="40"/>
        <v>0.86960000000391369</v>
      </c>
      <c r="O38" s="57">
        <f t="shared" si="40"/>
        <v>0.86960000000258131</v>
      </c>
      <c r="P38" s="57">
        <f t="shared" ref="P38:AA38" si="41">IFERROR(P26/P14,0)</f>
        <v>0.86959999989699133</v>
      </c>
      <c r="Q38" s="57">
        <f t="shared" si="41"/>
        <v>0.86960000000044047</v>
      </c>
      <c r="R38" s="57">
        <f t="shared" si="41"/>
        <v>0.8695999999896985</v>
      </c>
      <c r="S38" s="57">
        <f t="shared" si="41"/>
        <v>0.86960000002772997</v>
      </c>
      <c r="T38" s="57">
        <f>IFERROR(T26/T14,0)</f>
        <v>0.86960000003821136</v>
      </c>
      <c r="U38" s="57">
        <f t="shared" si="41"/>
        <v>0.86959999472309724</v>
      </c>
      <c r="V38" s="57">
        <f t="shared" si="41"/>
        <v>0.86960000000417392</v>
      </c>
      <c r="W38" s="57">
        <f t="shared" si="41"/>
        <v>0.8696000032925848</v>
      </c>
      <c r="X38" s="57">
        <f t="shared" si="41"/>
        <v>0.86959999534833232</v>
      </c>
      <c r="Y38" s="57">
        <f t="shared" si="41"/>
        <v>0.86960000223043532</v>
      </c>
      <c r="Z38" s="57">
        <f t="shared" si="41"/>
        <v>0.86960000345861799</v>
      </c>
      <c r="AA38" s="57">
        <f t="shared" si="41"/>
        <v>0.8696000020442699</v>
      </c>
      <c r="AB38" s="57">
        <f>IFERROR(AB26/AB14,0)</f>
        <v>0.86960000019479011</v>
      </c>
      <c r="AD38" s="111"/>
      <c r="AE38" s="163"/>
    </row>
    <row r="39" spans="1:31" s="106" customFormat="1">
      <c r="A39" s="151"/>
      <c r="B39" s="57"/>
      <c r="C39" s="107"/>
      <c r="D39" s="107"/>
      <c r="E39" s="107"/>
      <c r="F39" s="57"/>
      <c r="G39" s="57"/>
      <c r="H39" s="57"/>
      <c r="I39" s="57"/>
      <c r="J39" s="57"/>
      <c r="K39" s="57"/>
      <c r="L39" s="57"/>
      <c r="M39" s="57"/>
      <c r="N39" s="57"/>
      <c r="O39" s="105"/>
      <c r="P39" s="105"/>
      <c r="Q39" s="105"/>
      <c r="R39" s="105"/>
      <c r="S39" s="105"/>
      <c r="T39" s="105"/>
      <c r="U39" s="105"/>
      <c r="V39" s="105"/>
      <c r="W39" s="105"/>
      <c r="X39" s="105"/>
      <c r="Y39" s="105"/>
      <c r="Z39" s="105"/>
      <c r="AA39" s="105"/>
      <c r="AB39" s="105"/>
      <c r="AD39" s="111"/>
      <c r="AE39" s="158"/>
    </row>
    <row r="40" spans="1:31" s="5" customFormat="1">
      <c r="A40" s="150"/>
      <c r="B40" s="55"/>
      <c r="C40" s="55"/>
      <c r="D40" s="55"/>
      <c r="E40" s="81"/>
      <c r="F40" s="55"/>
      <c r="G40" s="55"/>
      <c r="H40" s="55"/>
      <c r="I40" s="55"/>
      <c r="J40" s="55"/>
      <c r="K40" s="55"/>
      <c r="L40" s="55"/>
      <c r="M40" s="55"/>
      <c r="N40" s="55"/>
      <c r="O40" s="55"/>
      <c r="P40" s="55"/>
      <c r="Q40" s="55"/>
      <c r="R40" s="55"/>
      <c r="S40" s="55"/>
      <c r="T40" s="55"/>
      <c r="U40" s="55"/>
      <c r="V40" s="55"/>
      <c r="W40" s="55"/>
      <c r="X40" s="55"/>
      <c r="Y40" s="55"/>
      <c r="Z40" s="55"/>
      <c r="AA40" s="55"/>
      <c r="AB40" s="55"/>
      <c r="AC40" s="46"/>
      <c r="AE40" s="158"/>
    </row>
    <row r="41" spans="1:31" s="5" customFormat="1">
      <c r="A41" s="150"/>
      <c r="B41" s="55"/>
      <c r="C41" s="81"/>
      <c r="D41" s="81"/>
      <c r="E41" s="81"/>
      <c r="F41" s="55"/>
      <c r="G41" s="55"/>
      <c r="H41" s="55"/>
      <c r="I41" s="55"/>
      <c r="J41" s="55"/>
      <c r="K41" s="55"/>
      <c r="L41" s="55"/>
      <c r="M41" s="55"/>
      <c r="N41" s="55"/>
      <c r="O41" s="55"/>
      <c r="P41" s="55"/>
      <c r="Q41" s="55"/>
      <c r="R41" s="55"/>
      <c r="S41" s="55"/>
      <c r="T41" s="55"/>
      <c r="U41" s="55"/>
      <c r="V41" s="55"/>
      <c r="W41" s="55"/>
      <c r="X41" s="55"/>
      <c r="Y41" s="55"/>
      <c r="Z41" s="55"/>
      <c r="AA41" s="55"/>
      <c r="AB41" s="55"/>
      <c r="AC41" s="46"/>
      <c r="AE41" s="158"/>
    </row>
    <row r="42" spans="1:31" s="106" customFormat="1">
      <c r="A42" s="151" t="s">
        <v>47</v>
      </c>
      <c r="B42" s="57">
        <f>IFERROR(B29/B17,0)</f>
        <v>0.86959999979513125</v>
      </c>
      <c r="C42" s="57">
        <f t="shared" ref="C42:M42" si="42">IFERROR(C29/C17,0)</f>
        <v>0.86959999999156901</v>
      </c>
      <c r="D42" s="57">
        <f t="shared" si="42"/>
        <v>0.86960000001011173</v>
      </c>
      <c r="E42" s="57">
        <f t="shared" si="42"/>
        <v>0.86960000001000093</v>
      </c>
      <c r="F42" s="57">
        <f>IFERROR(F29/F17,0)</f>
        <v>0.86960000000765425</v>
      </c>
      <c r="G42" s="57">
        <f t="shared" si="42"/>
        <v>0.86959999999751547</v>
      </c>
      <c r="H42" s="57">
        <f t="shared" si="42"/>
        <v>0.86959999999052795</v>
      </c>
      <c r="I42" s="57">
        <f t="shared" si="42"/>
        <v>0.86960000001009841</v>
      </c>
      <c r="J42" s="57">
        <f>IFERROR(J29/J17,0)</f>
        <v>0.86960000000300586</v>
      </c>
      <c r="K42" s="57">
        <f t="shared" si="42"/>
        <v>0.86960000000576754</v>
      </c>
      <c r="L42" s="57">
        <f>IFERROR(L29/L17,0)</f>
        <v>1.0329158238410019</v>
      </c>
      <c r="M42" s="57">
        <f t="shared" si="42"/>
        <v>0.86960000001219584</v>
      </c>
      <c r="N42" s="57">
        <f t="shared" ref="N42:AB42" si="43">IFERROR(N29/N17,0)</f>
        <v>0.88403408284825091</v>
      </c>
      <c r="O42" s="57">
        <f t="shared" si="43"/>
        <v>0.88018953340882466</v>
      </c>
      <c r="P42" s="57">
        <f t="shared" si="43"/>
        <v>0.86959999979513114</v>
      </c>
      <c r="Q42" s="57">
        <f t="shared" si="43"/>
        <v>0.86959999999156912</v>
      </c>
      <c r="R42" s="57">
        <f>IFERROR(R29/R17,0)</f>
        <v>0.86960000001011162</v>
      </c>
      <c r="S42" s="57">
        <f>IFERROR(S29/S17,0)</f>
        <v>0.86960000001000093</v>
      </c>
      <c r="T42" s="57">
        <f t="shared" si="43"/>
        <v>0.86960000000765436</v>
      </c>
      <c r="U42" s="57">
        <f t="shared" si="43"/>
        <v>0.8695999984847137</v>
      </c>
      <c r="V42" s="57">
        <f t="shared" si="43"/>
        <v>0.86959999999052795</v>
      </c>
      <c r="W42" s="57">
        <f t="shared" si="43"/>
        <v>0.86960000219576616</v>
      </c>
      <c r="X42" s="57">
        <f t="shared" si="43"/>
        <v>0.86960000298547646</v>
      </c>
      <c r="Y42" s="57">
        <f t="shared" si="43"/>
        <v>0.86960000031977047</v>
      </c>
      <c r="Z42" s="57">
        <f t="shared" si="43"/>
        <v>1.0329158277850683</v>
      </c>
      <c r="AA42" s="57">
        <f t="shared" si="43"/>
        <v>0.869599999663206</v>
      </c>
      <c r="AB42" s="57">
        <f t="shared" si="43"/>
        <v>0.88347065493714683</v>
      </c>
      <c r="AD42" s="111"/>
      <c r="AE42" s="163"/>
    </row>
    <row r="43" spans="1:31" s="5" customFormat="1">
      <c r="A43" s="150"/>
      <c r="B43" s="55"/>
      <c r="C43" s="81"/>
      <c r="D43" s="81"/>
      <c r="E43" s="55"/>
      <c r="F43" s="55"/>
      <c r="G43" s="55"/>
      <c r="H43" s="55"/>
      <c r="I43" s="55"/>
      <c r="J43" s="55"/>
      <c r="K43" s="55"/>
      <c r="L43" s="55" t="s">
        <v>115</v>
      </c>
      <c r="M43" s="55"/>
      <c r="N43" s="55"/>
      <c r="O43" s="55"/>
      <c r="T43" s="41"/>
      <c r="Z43" s="55" t="s">
        <v>115</v>
      </c>
      <c r="AB43" s="55"/>
      <c r="AC43" s="46"/>
      <c r="AE43" s="158"/>
    </row>
    <row r="44" spans="1:31" s="5" customFormat="1">
      <c r="A44" s="150"/>
      <c r="B44" s="55"/>
      <c r="C44" s="81"/>
      <c r="D44" s="81"/>
      <c r="E44" s="55"/>
      <c r="F44" s="55"/>
      <c r="G44" s="55"/>
      <c r="H44" s="55"/>
      <c r="I44" s="55"/>
      <c r="J44" s="55"/>
      <c r="K44" s="55"/>
      <c r="L44" s="55"/>
      <c r="M44" s="55"/>
      <c r="N44" s="55"/>
      <c r="O44" s="55"/>
      <c r="T44" s="41"/>
      <c r="AB44" s="55"/>
      <c r="AC44" s="46"/>
      <c r="AE44" s="158"/>
    </row>
    <row r="45" spans="1:31" s="5" customFormat="1">
      <c r="B45" s="6"/>
      <c r="C45" s="6"/>
      <c r="D45" s="6"/>
      <c r="E45" s="6"/>
      <c r="F45" s="6"/>
      <c r="T45" s="41"/>
      <c r="AC45" s="46"/>
      <c r="AE45" s="158"/>
    </row>
    <row r="46" spans="1:31" s="5" customFormat="1">
      <c r="B46" s="6"/>
      <c r="C46" s="6"/>
      <c r="D46" s="6"/>
      <c r="E46" s="6"/>
      <c r="F46" s="6"/>
      <c r="T46" s="41"/>
      <c r="AC46" s="46"/>
      <c r="AE46" s="158"/>
    </row>
    <row r="47" spans="1:31" s="5" customFormat="1">
      <c r="B47" s="6"/>
      <c r="C47" s="6"/>
      <c r="D47" s="6"/>
      <c r="E47" s="6"/>
      <c r="F47" s="6"/>
      <c r="T47" s="41"/>
      <c r="AC47" s="46"/>
      <c r="AE47" s="158"/>
    </row>
    <row r="48" spans="1:31" s="5" customFormat="1">
      <c r="B48" s="6"/>
      <c r="C48" s="6"/>
      <c r="D48" s="6"/>
      <c r="E48" s="6"/>
      <c r="F48" s="6"/>
      <c r="N48" s="6">
        <f>+N24+N26+N29</f>
        <v>503282726546</v>
      </c>
      <c r="T48" s="41"/>
      <c r="AC48" s="46"/>
      <c r="AE48" s="158"/>
    </row>
    <row r="49" spans="2:31" s="5" customFormat="1">
      <c r="B49" s="6"/>
      <c r="C49" s="6"/>
      <c r="D49" s="6"/>
      <c r="E49" s="6"/>
      <c r="F49" s="6"/>
      <c r="N49" s="6">
        <f>+N22-N48</f>
        <v>56849205331</v>
      </c>
      <c r="T49" s="41"/>
      <c r="AC49" s="46"/>
      <c r="AE49" s="158"/>
    </row>
    <row r="50" spans="2:31" s="5" customFormat="1">
      <c r="B50" s="6"/>
      <c r="C50" s="6"/>
      <c r="D50" s="6"/>
      <c r="E50" s="6"/>
      <c r="F50" s="6"/>
      <c r="T50" s="41"/>
      <c r="AC50" s="46"/>
      <c r="AE50" s="158"/>
    </row>
    <row r="51" spans="2:31" s="5" customFormat="1">
      <c r="B51" s="6"/>
      <c r="C51" s="6"/>
      <c r="D51" s="6"/>
      <c r="E51" s="6"/>
      <c r="F51" s="6"/>
      <c r="T51" s="41"/>
      <c r="AC51" s="46"/>
      <c r="AE51" s="158"/>
    </row>
    <row r="52" spans="2:31" s="5" customFormat="1">
      <c r="B52" s="6"/>
      <c r="C52" s="6"/>
      <c r="D52" s="6"/>
      <c r="E52" s="6"/>
      <c r="F52" s="6"/>
      <c r="T52" s="41"/>
      <c r="AC52" s="46"/>
      <c r="AE52" s="158"/>
    </row>
    <row r="53" spans="2:31" s="5" customFormat="1">
      <c r="B53" s="6"/>
      <c r="C53" s="6"/>
      <c r="D53" s="6"/>
      <c r="E53" s="6"/>
      <c r="F53" s="6"/>
      <c r="T53" s="41"/>
      <c r="AC53" s="46"/>
      <c r="AE53" s="158"/>
    </row>
    <row r="54" spans="2:31" s="5" customFormat="1">
      <c r="B54" s="6"/>
      <c r="C54" s="6"/>
      <c r="D54" s="6"/>
      <c r="E54" s="6"/>
      <c r="F54" s="6"/>
      <c r="T54" s="41"/>
      <c r="AC54" s="46"/>
      <c r="AE54" s="158"/>
    </row>
    <row r="55" spans="2:31" s="5" customFormat="1">
      <c r="B55" s="6"/>
      <c r="C55" s="6"/>
      <c r="D55" s="6"/>
      <c r="E55" s="6"/>
      <c r="F55" s="6"/>
      <c r="T55" s="41"/>
      <c r="AC55" s="46"/>
      <c r="AE55" s="158"/>
    </row>
    <row r="56" spans="2:31" s="5" customFormat="1">
      <c r="B56" s="6"/>
      <c r="C56" s="6"/>
      <c r="D56" s="6"/>
      <c r="E56" s="6"/>
      <c r="F56" s="6"/>
      <c r="T56" s="41"/>
      <c r="AC56" s="46"/>
      <c r="AE56" s="158"/>
    </row>
    <row r="57" spans="2:31" s="5" customFormat="1">
      <c r="B57" s="6"/>
      <c r="C57" s="6"/>
      <c r="D57" s="6"/>
      <c r="E57" s="6"/>
      <c r="F57" s="6"/>
      <c r="T57" s="41"/>
      <c r="AC57" s="46"/>
      <c r="AE57" s="158"/>
    </row>
    <row r="58" spans="2:31" s="5" customFormat="1">
      <c r="B58" s="6"/>
      <c r="C58" s="6"/>
      <c r="D58" s="6"/>
      <c r="E58" s="6"/>
      <c r="F58" s="6"/>
      <c r="T58" s="41"/>
      <c r="AC58" s="46"/>
      <c r="AE58" s="158"/>
    </row>
    <row r="59" spans="2:31" s="5" customFormat="1">
      <c r="B59" s="6"/>
      <c r="C59" s="6"/>
      <c r="D59" s="6"/>
      <c r="E59" s="6"/>
      <c r="F59" s="6"/>
      <c r="T59" s="41"/>
      <c r="AC59" s="46"/>
      <c r="AE59" s="158"/>
    </row>
    <row r="60" spans="2:31" s="5" customFormat="1">
      <c r="B60" s="6"/>
      <c r="C60" s="6"/>
      <c r="D60" s="6"/>
      <c r="E60" s="6"/>
      <c r="F60" s="6"/>
      <c r="T60" s="41"/>
      <c r="AC60" s="46"/>
      <c r="AE60" s="158"/>
    </row>
    <row r="61" spans="2:31" s="5" customFormat="1">
      <c r="B61" s="6"/>
      <c r="C61" s="6"/>
      <c r="D61" s="6"/>
      <c r="E61" s="6"/>
      <c r="F61" s="6"/>
      <c r="T61" s="41"/>
      <c r="AC61" s="46"/>
      <c r="AE61" s="158"/>
    </row>
    <row r="62" spans="2:31" s="5" customFormat="1">
      <c r="B62" s="6"/>
      <c r="C62" s="6"/>
      <c r="D62" s="6"/>
      <c r="E62" s="6"/>
      <c r="F62" s="6"/>
      <c r="T62" s="41"/>
      <c r="AC62" s="46"/>
      <c r="AE62" s="158"/>
    </row>
    <row r="63" spans="2:31" s="5" customFormat="1">
      <c r="B63" s="6"/>
      <c r="C63" s="6"/>
      <c r="D63" s="6"/>
      <c r="E63" s="6"/>
      <c r="F63" s="6"/>
      <c r="T63" s="41"/>
      <c r="AC63" s="46"/>
      <c r="AE63" s="158"/>
    </row>
    <row r="64" spans="2:31" s="5" customFormat="1">
      <c r="B64" s="6"/>
      <c r="C64" s="6"/>
      <c r="D64" s="6"/>
      <c r="E64" s="6"/>
      <c r="F64" s="6"/>
      <c r="T64" s="41"/>
      <c r="AC64" s="46"/>
      <c r="AE64" s="158"/>
    </row>
    <row r="65" spans="2:31" s="5" customFormat="1">
      <c r="B65" s="6"/>
      <c r="C65" s="6"/>
      <c r="D65" s="6"/>
      <c r="E65" s="6"/>
      <c r="F65" s="6"/>
      <c r="T65" s="41"/>
      <c r="AC65" s="46"/>
      <c r="AE65" s="158"/>
    </row>
    <row r="66" spans="2:31" s="5" customFormat="1">
      <c r="B66" s="6"/>
      <c r="C66" s="6"/>
      <c r="D66" s="6"/>
      <c r="E66" s="6"/>
      <c r="F66" s="6"/>
      <c r="T66" s="41"/>
      <c r="AC66" s="46"/>
      <c r="AE66" s="158"/>
    </row>
    <row r="67" spans="2:31" s="5" customFormat="1">
      <c r="B67" s="6"/>
      <c r="C67" s="6"/>
      <c r="D67" s="6"/>
      <c r="E67" s="6"/>
      <c r="F67" s="6"/>
      <c r="T67" s="41"/>
      <c r="AC67" s="46"/>
      <c r="AE67" s="158"/>
    </row>
    <row r="68" spans="2:31" s="5" customFormat="1">
      <c r="B68" s="6"/>
      <c r="C68" s="6"/>
      <c r="D68" s="6"/>
      <c r="E68" s="6"/>
      <c r="F68" s="6"/>
      <c r="T68" s="41"/>
      <c r="AC68" s="46"/>
      <c r="AE68" s="158"/>
    </row>
    <row r="69" spans="2:31" s="5" customFormat="1">
      <c r="B69" s="6"/>
      <c r="C69" s="6"/>
      <c r="D69" s="6"/>
      <c r="E69" s="6"/>
      <c r="F69" s="6"/>
      <c r="T69" s="41"/>
      <c r="AC69" s="46"/>
      <c r="AE69" s="158"/>
    </row>
    <row r="70" spans="2:31" s="5" customFormat="1">
      <c r="B70" s="6"/>
      <c r="C70" s="6"/>
      <c r="D70" s="6"/>
      <c r="E70" s="6"/>
      <c r="F70" s="6"/>
      <c r="T70" s="41"/>
      <c r="AC70" s="46"/>
      <c r="AE70" s="158"/>
    </row>
    <row r="71" spans="2:31" s="5" customFormat="1">
      <c r="B71" s="6"/>
      <c r="C71" s="6"/>
      <c r="D71" s="6"/>
      <c r="E71" s="6"/>
      <c r="F71" s="6"/>
      <c r="T71" s="41"/>
      <c r="AC71" s="46"/>
      <c r="AE71" s="158"/>
    </row>
    <row r="72" spans="2:31" s="5" customFormat="1">
      <c r="B72" s="6"/>
      <c r="C72" s="6"/>
      <c r="D72" s="6"/>
      <c r="E72" s="6"/>
      <c r="F72" s="6"/>
      <c r="T72" s="41"/>
      <c r="AC72" s="46"/>
      <c r="AE72" s="158"/>
    </row>
    <row r="73" spans="2:31" s="5" customFormat="1">
      <c r="B73" s="6"/>
      <c r="C73" s="6"/>
      <c r="D73" s="6"/>
      <c r="E73" s="6"/>
      <c r="F73" s="6"/>
      <c r="T73" s="41"/>
      <c r="AC73" s="46"/>
      <c r="AE73" s="158"/>
    </row>
    <row r="74" spans="2:31" s="5" customFormat="1">
      <c r="B74" s="6"/>
      <c r="C74" s="6"/>
      <c r="D74" s="6"/>
      <c r="E74" s="6"/>
      <c r="F74" s="6"/>
      <c r="T74" s="41"/>
      <c r="AC74" s="46"/>
      <c r="AE74" s="158"/>
    </row>
    <row r="75" spans="2:31" s="5" customFormat="1">
      <c r="B75" s="6"/>
      <c r="C75" s="6"/>
      <c r="D75" s="6"/>
      <c r="E75" s="6"/>
      <c r="F75" s="6"/>
      <c r="T75" s="41"/>
      <c r="AC75" s="46"/>
      <c r="AE75" s="158"/>
    </row>
    <row r="76" spans="2:31" s="5" customFormat="1">
      <c r="B76" s="6"/>
      <c r="C76" s="6"/>
      <c r="D76" s="6"/>
      <c r="E76" s="6"/>
      <c r="F76" s="6"/>
      <c r="T76" s="41"/>
      <c r="AC76" s="46"/>
      <c r="AE76" s="158"/>
    </row>
    <row r="77" spans="2:31" s="5" customFormat="1">
      <c r="B77" s="6"/>
      <c r="C77" s="6"/>
      <c r="D77" s="6"/>
      <c r="E77" s="6"/>
      <c r="F77" s="6"/>
      <c r="T77" s="41"/>
      <c r="AC77" s="46"/>
      <c r="AE77" s="158"/>
    </row>
    <row r="78" spans="2:31" s="5" customFormat="1">
      <c r="B78" s="6"/>
      <c r="C78" s="6"/>
      <c r="D78" s="6"/>
      <c r="E78" s="6"/>
      <c r="F78" s="6"/>
      <c r="T78" s="41"/>
      <c r="AC78" s="46"/>
      <c r="AE78" s="158"/>
    </row>
    <row r="79" spans="2:31" s="5" customFormat="1">
      <c r="B79" s="6"/>
      <c r="C79" s="6"/>
      <c r="D79" s="6"/>
      <c r="E79" s="6"/>
      <c r="F79" s="6"/>
      <c r="T79" s="41"/>
      <c r="AC79" s="46"/>
      <c r="AE79" s="158"/>
    </row>
    <row r="80" spans="2:31" s="5" customFormat="1">
      <c r="B80" s="6"/>
      <c r="C80" s="6"/>
      <c r="D80" s="6"/>
      <c r="E80" s="6"/>
      <c r="F80" s="6"/>
      <c r="T80" s="41"/>
      <c r="AC80" s="46"/>
      <c r="AE80" s="158"/>
    </row>
    <row r="81" spans="2:31" s="5" customFormat="1">
      <c r="B81" s="6"/>
      <c r="C81" s="6"/>
      <c r="D81" s="6"/>
      <c r="E81" s="6"/>
      <c r="F81" s="6"/>
      <c r="T81" s="41"/>
      <c r="AC81" s="46"/>
      <c r="AE81" s="158"/>
    </row>
    <row r="82" spans="2:31" s="5" customFormat="1">
      <c r="B82" s="6"/>
      <c r="C82" s="6"/>
      <c r="D82" s="6"/>
      <c r="E82" s="6"/>
      <c r="F82" s="6"/>
      <c r="T82" s="41"/>
      <c r="AC82" s="46"/>
      <c r="AE82" s="158"/>
    </row>
    <row r="83" spans="2:31" s="5" customFormat="1">
      <c r="B83" s="6"/>
      <c r="C83" s="6"/>
      <c r="D83" s="6"/>
      <c r="E83" s="6"/>
      <c r="F83" s="6"/>
      <c r="T83" s="41"/>
      <c r="AC83" s="46"/>
      <c r="AE83" s="158"/>
    </row>
    <row r="84" spans="2:31" s="5" customFormat="1">
      <c r="B84" s="6"/>
      <c r="C84" s="6"/>
      <c r="D84" s="6"/>
      <c r="E84" s="6"/>
      <c r="F84" s="6"/>
      <c r="T84" s="41"/>
      <c r="AC84" s="46"/>
      <c r="AE84" s="158"/>
    </row>
    <row r="85" spans="2:31" s="5" customFormat="1">
      <c r="B85" s="6"/>
      <c r="C85" s="6"/>
      <c r="D85" s="6"/>
      <c r="E85" s="6"/>
      <c r="F85" s="6"/>
      <c r="T85" s="41"/>
      <c r="AC85" s="46"/>
      <c r="AE85" s="158"/>
    </row>
    <row r="86" spans="2:31" s="5" customFormat="1">
      <c r="B86" s="6"/>
      <c r="C86" s="6"/>
      <c r="D86" s="6"/>
      <c r="E86" s="6"/>
      <c r="F86" s="6"/>
      <c r="T86" s="41"/>
      <c r="AC86" s="46"/>
      <c r="AE86" s="158"/>
    </row>
    <row r="87" spans="2:31" s="5" customFormat="1">
      <c r="B87" s="6"/>
      <c r="C87" s="6"/>
      <c r="D87" s="6"/>
      <c r="E87" s="6"/>
      <c r="F87" s="6"/>
      <c r="T87" s="41"/>
      <c r="AC87" s="46"/>
      <c r="AE87" s="158"/>
    </row>
    <row r="88" spans="2:31" s="5" customFormat="1">
      <c r="B88" s="6"/>
      <c r="C88" s="6"/>
      <c r="D88" s="6"/>
      <c r="E88" s="6"/>
      <c r="F88" s="6"/>
      <c r="T88" s="41"/>
      <c r="AC88" s="46"/>
      <c r="AE88" s="158"/>
    </row>
    <row r="89" spans="2:31" s="5" customFormat="1">
      <c r="B89" s="6"/>
      <c r="C89" s="6"/>
      <c r="D89" s="6"/>
      <c r="E89" s="6"/>
      <c r="F89" s="6"/>
      <c r="T89" s="41"/>
      <c r="AC89" s="46"/>
      <c r="AE89" s="158"/>
    </row>
    <row r="90" spans="2:31" s="5" customFormat="1">
      <c r="B90" s="6"/>
      <c r="C90" s="6"/>
      <c r="D90" s="6"/>
      <c r="E90" s="6"/>
      <c r="F90" s="6"/>
      <c r="T90" s="41"/>
      <c r="AC90" s="46"/>
      <c r="AE90" s="158"/>
    </row>
    <row r="91" spans="2:31" s="5" customFormat="1">
      <c r="B91" s="6"/>
      <c r="C91" s="6"/>
      <c r="D91" s="6"/>
      <c r="E91" s="6"/>
      <c r="F91" s="6"/>
      <c r="T91" s="41"/>
      <c r="AC91" s="46"/>
      <c r="AE91" s="158"/>
    </row>
    <row r="92" spans="2:31" s="5" customFormat="1">
      <c r="B92" s="6"/>
      <c r="C92" s="6"/>
      <c r="D92" s="6"/>
      <c r="E92" s="6"/>
      <c r="F92" s="6"/>
      <c r="T92" s="41"/>
      <c r="AC92" s="46"/>
      <c r="AE92" s="158"/>
    </row>
    <row r="93" spans="2:31" s="5" customFormat="1">
      <c r="B93" s="6"/>
      <c r="C93" s="6"/>
      <c r="D93" s="6"/>
      <c r="E93" s="6"/>
      <c r="F93" s="6"/>
      <c r="T93" s="41"/>
      <c r="AC93" s="46"/>
      <c r="AE93" s="158"/>
    </row>
    <row r="94" spans="2:31" s="5" customFormat="1">
      <c r="B94" s="6"/>
      <c r="C94" s="6"/>
      <c r="D94" s="6"/>
      <c r="E94" s="6"/>
      <c r="F94" s="6"/>
      <c r="T94" s="41"/>
      <c r="AC94" s="46"/>
      <c r="AE94" s="158"/>
    </row>
    <row r="95" spans="2:31" s="5" customFormat="1">
      <c r="B95" s="6"/>
      <c r="C95" s="6"/>
      <c r="D95" s="6"/>
      <c r="E95" s="6"/>
      <c r="F95" s="6"/>
      <c r="T95" s="41"/>
      <c r="AC95" s="46"/>
      <c r="AE95" s="158"/>
    </row>
    <row r="96" spans="2:31" s="5" customFormat="1">
      <c r="B96" s="6"/>
      <c r="C96" s="6"/>
      <c r="D96" s="6"/>
      <c r="E96" s="6"/>
      <c r="F96" s="6"/>
      <c r="T96" s="41"/>
      <c r="AC96" s="46"/>
      <c r="AE96" s="158"/>
    </row>
    <row r="97" spans="2:31" s="5" customFormat="1">
      <c r="B97" s="6"/>
      <c r="C97" s="6"/>
      <c r="D97" s="6"/>
      <c r="E97" s="6"/>
      <c r="F97" s="6"/>
      <c r="T97" s="41"/>
      <c r="AC97" s="46"/>
      <c r="AE97" s="158"/>
    </row>
    <row r="98" spans="2:31" s="5" customFormat="1">
      <c r="B98" s="6"/>
      <c r="C98" s="6"/>
      <c r="D98" s="6"/>
      <c r="E98" s="6"/>
      <c r="F98" s="6"/>
      <c r="T98" s="41"/>
      <c r="AC98" s="46"/>
      <c r="AE98" s="158"/>
    </row>
    <row r="99" spans="2:31" s="5" customFormat="1">
      <c r="B99" s="6"/>
      <c r="C99" s="6"/>
      <c r="D99" s="6"/>
      <c r="E99" s="6"/>
      <c r="F99" s="6"/>
      <c r="T99" s="41"/>
      <c r="AC99" s="46"/>
      <c r="AE99" s="158"/>
    </row>
    <row r="100" spans="2:31" s="5" customFormat="1">
      <c r="B100" s="6"/>
      <c r="C100" s="6"/>
      <c r="D100" s="6"/>
      <c r="E100" s="6"/>
      <c r="F100" s="6"/>
      <c r="T100" s="41"/>
      <c r="AC100" s="46"/>
      <c r="AE100" s="158"/>
    </row>
    <row r="101" spans="2:31" s="5" customFormat="1">
      <c r="B101" s="6"/>
      <c r="C101" s="6"/>
      <c r="D101" s="6"/>
      <c r="E101" s="6"/>
      <c r="F101" s="6"/>
      <c r="T101" s="41"/>
      <c r="AC101" s="46"/>
      <c r="AE101" s="158"/>
    </row>
    <row r="102" spans="2:31" s="5" customFormat="1">
      <c r="B102" s="6"/>
      <c r="C102" s="6"/>
      <c r="D102" s="6"/>
      <c r="E102" s="6"/>
      <c r="F102" s="6"/>
      <c r="T102" s="41"/>
      <c r="AC102" s="46"/>
      <c r="AE102" s="158"/>
    </row>
    <row r="103" spans="2:31" s="5" customFormat="1">
      <c r="B103" s="6"/>
      <c r="C103" s="6"/>
      <c r="D103" s="6"/>
      <c r="E103" s="6"/>
      <c r="F103" s="6"/>
      <c r="T103" s="41"/>
      <c r="AC103" s="46"/>
      <c r="AE103" s="158"/>
    </row>
    <row r="104" spans="2:31" s="5" customFormat="1">
      <c r="B104" s="6"/>
      <c r="C104" s="6"/>
      <c r="D104" s="6"/>
      <c r="E104" s="6"/>
      <c r="F104" s="6"/>
      <c r="T104" s="41"/>
      <c r="AC104" s="46"/>
      <c r="AE104" s="158"/>
    </row>
    <row r="105" spans="2:31" s="5" customFormat="1">
      <c r="B105" s="6"/>
      <c r="C105" s="6"/>
      <c r="D105" s="6"/>
      <c r="E105" s="6"/>
      <c r="F105" s="6"/>
      <c r="T105" s="41"/>
      <c r="AC105" s="46"/>
      <c r="AE105" s="158"/>
    </row>
    <row r="106" spans="2:31" s="5" customFormat="1">
      <c r="B106" s="6"/>
      <c r="C106" s="6"/>
      <c r="D106" s="6"/>
      <c r="E106" s="6"/>
      <c r="F106" s="6"/>
      <c r="T106" s="41"/>
      <c r="AC106" s="46"/>
      <c r="AE106" s="158"/>
    </row>
    <row r="107" spans="2:31" s="5" customFormat="1">
      <c r="B107" s="6"/>
      <c r="C107" s="6"/>
      <c r="D107" s="6"/>
      <c r="E107" s="6"/>
      <c r="F107" s="6"/>
      <c r="T107" s="41"/>
      <c r="AC107" s="46"/>
      <c r="AE107" s="158"/>
    </row>
    <row r="108" spans="2:31" s="5" customFormat="1">
      <c r="B108" s="6"/>
      <c r="C108" s="6"/>
      <c r="D108" s="6"/>
      <c r="E108" s="6"/>
      <c r="F108" s="6"/>
      <c r="T108" s="41"/>
      <c r="AC108" s="46"/>
      <c r="AE108" s="158"/>
    </row>
    <row r="109" spans="2:31" s="5" customFormat="1">
      <c r="B109" s="6"/>
      <c r="C109" s="6"/>
      <c r="D109" s="6"/>
      <c r="E109" s="6"/>
      <c r="F109" s="6"/>
      <c r="T109" s="41"/>
      <c r="AC109" s="46"/>
      <c r="AE109" s="158"/>
    </row>
    <row r="110" spans="2:31" s="5" customFormat="1">
      <c r="B110" s="6"/>
      <c r="C110" s="6"/>
      <c r="D110" s="6"/>
      <c r="E110" s="6"/>
      <c r="F110" s="6"/>
      <c r="T110" s="41"/>
      <c r="AC110" s="46"/>
      <c r="AE110" s="158"/>
    </row>
    <row r="111" spans="2:31" s="5" customFormat="1">
      <c r="B111" s="6"/>
      <c r="C111" s="6"/>
      <c r="D111" s="6"/>
      <c r="E111" s="6"/>
      <c r="F111" s="6"/>
      <c r="T111" s="41"/>
      <c r="AC111" s="46"/>
      <c r="AE111" s="158"/>
    </row>
    <row r="112" spans="2:31" s="5" customFormat="1">
      <c r="B112" s="6"/>
      <c r="C112" s="6"/>
      <c r="D112" s="6"/>
      <c r="E112" s="6"/>
      <c r="F112" s="6"/>
      <c r="T112" s="41"/>
      <c r="AC112" s="46"/>
      <c r="AE112" s="158"/>
    </row>
    <row r="113" spans="2:31" s="5" customFormat="1">
      <c r="B113" s="6"/>
      <c r="C113" s="6"/>
      <c r="D113" s="6"/>
      <c r="E113" s="6"/>
      <c r="F113" s="6"/>
      <c r="T113" s="41"/>
      <c r="AC113" s="46"/>
      <c r="AE113" s="158"/>
    </row>
    <row r="114" spans="2:31" s="5" customFormat="1">
      <c r="B114" s="6"/>
      <c r="C114" s="6"/>
      <c r="D114" s="6"/>
      <c r="E114" s="6"/>
      <c r="F114" s="6"/>
      <c r="T114" s="41"/>
      <c r="AC114" s="46"/>
      <c r="AE114" s="158"/>
    </row>
    <row r="115" spans="2:31" s="5" customFormat="1">
      <c r="B115" s="6"/>
      <c r="C115" s="6"/>
      <c r="D115" s="6"/>
      <c r="E115" s="6"/>
      <c r="F115" s="6"/>
      <c r="T115" s="41"/>
      <c r="AC115" s="46"/>
      <c r="AE115" s="158"/>
    </row>
    <row r="116" spans="2:31" s="5" customFormat="1">
      <c r="B116" s="6"/>
      <c r="C116" s="6"/>
      <c r="D116" s="6"/>
      <c r="E116" s="6"/>
      <c r="F116" s="6"/>
      <c r="T116" s="41"/>
      <c r="AC116" s="46"/>
      <c r="AE116" s="158"/>
    </row>
    <row r="117" spans="2:31" s="5" customFormat="1">
      <c r="B117" s="6"/>
      <c r="C117" s="6"/>
      <c r="D117" s="6"/>
      <c r="E117" s="6"/>
      <c r="F117" s="6"/>
      <c r="T117" s="41"/>
      <c r="AC117" s="46"/>
      <c r="AE117" s="158"/>
    </row>
    <row r="118" spans="2:31" s="5" customFormat="1">
      <c r="B118" s="6"/>
      <c r="C118" s="6"/>
      <c r="D118" s="6"/>
      <c r="E118" s="6"/>
      <c r="F118" s="6"/>
      <c r="T118" s="41"/>
      <c r="AC118" s="46"/>
      <c r="AE118" s="158"/>
    </row>
    <row r="119" spans="2:31" s="5" customFormat="1">
      <c r="B119" s="6"/>
      <c r="C119" s="6"/>
      <c r="D119" s="6"/>
      <c r="E119" s="6"/>
      <c r="F119" s="6"/>
      <c r="T119" s="41"/>
      <c r="AC119" s="46"/>
      <c r="AE119" s="158"/>
    </row>
    <row r="120" spans="2:31" s="5" customFormat="1">
      <c r="B120" s="6"/>
      <c r="C120" s="6"/>
      <c r="D120" s="6"/>
      <c r="E120" s="6"/>
      <c r="F120" s="6"/>
      <c r="T120" s="41"/>
      <c r="AC120" s="46"/>
      <c r="AE120" s="158"/>
    </row>
    <row r="121" spans="2:31" s="5" customFormat="1">
      <c r="B121" s="6"/>
      <c r="C121" s="6"/>
      <c r="D121" s="6"/>
      <c r="E121" s="6"/>
      <c r="F121" s="6"/>
      <c r="T121" s="41"/>
      <c r="AC121" s="46"/>
      <c r="AE121" s="158"/>
    </row>
    <row r="122" spans="2:31" s="5" customFormat="1">
      <c r="B122" s="6"/>
      <c r="C122" s="6"/>
      <c r="D122" s="6"/>
      <c r="E122" s="6"/>
      <c r="F122" s="6"/>
      <c r="T122" s="41"/>
      <c r="AC122" s="46"/>
      <c r="AE122" s="158"/>
    </row>
    <row r="123" spans="2:31" s="5" customFormat="1">
      <c r="B123" s="6"/>
      <c r="C123" s="6"/>
      <c r="D123" s="6"/>
      <c r="E123" s="6"/>
      <c r="F123" s="6"/>
      <c r="T123" s="41"/>
      <c r="AC123" s="46"/>
      <c r="AE123" s="158"/>
    </row>
    <row r="124" spans="2:31" s="5" customFormat="1">
      <c r="B124" s="6"/>
      <c r="C124" s="6"/>
      <c r="D124" s="6"/>
      <c r="E124" s="6"/>
      <c r="F124" s="6"/>
      <c r="T124" s="41"/>
      <c r="AC124" s="46"/>
      <c r="AE124" s="158"/>
    </row>
    <row r="125" spans="2:31" s="5" customFormat="1">
      <c r="B125" s="6"/>
      <c r="C125" s="6"/>
      <c r="D125" s="6"/>
      <c r="E125" s="6"/>
      <c r="F125" s="6"/>
      <c r="T125" s="41"/>
      <c r="AC125" s="46"/>
      <c r="AE125" s="158"/>
    </row>
    <row r="126" spans="2:31" s="5" customFormat="1">
      <c r="B126" s="6"/>
      <c r="C126" s="6"/>
      <c r="D126" s="6"/>
      <c r="E126" s="6"/>
      <c r="F126" s="6"/>
      <c r="T126" s="41"/>
      <c r="AC126" s="46"/>
      <c r="AE126" s="158"/>
    </row>
    <row r="127" spans="2:31" s="5" customFormat="1">
      <c r="B127" s="6"/>
      <c r="C127" s="6"/>
      <c r="D127" s="6"/>
      <c r="E127" s="6"/>
      <c r="F127" s="6"/>
      <c r="T127" s="41"/>
      <c r="AC127" s="46"/>
      <c r="AE127" s="158"/>
    </row>
    <row r="128" spans="2:31" s="5" customFormat="1">
      <c r="B128" s="6"/>
      <c r="C128" s="6"/>
      <c r="D128" s="6"/>
      <c r="E128" s="6"/>
      <c r="F128" s="6"/>
      <c r="T128" s="41"/>
      <c r="AC128" s="46"/>
      <c r="AE128" s="158"/>
    </row>
    <row r="129" spans="2:31" s="5" customFormat="1">
      <c r="B129" s="6"/>
      <c r="C129" s="6"/>
      <c r="D129" s="6"/>
      <c r="E129" s="6"/>
      <c r="F129" s="6"/>
      <c r="T129" s="41"/>
      <c r="AC129" s="46"/>
      <c r="AE129" s="158"/>
    </row>
    <row r="130" spans="2:31" s="5" customFormat="1">
      <c r="B130" s="6"/>
      <c r="C130" s="6"/>
      <c r="D130" s="6"/>
      <c r="E130" s="6"/>
      <c r="F130" s="6"/>
      <c r="T130" s="41"/>
      <c r="AC130" s="46"/>
      <c r="AE130" s="158"/>
    </row>
    <row r="131" spans="2:31" s="5" customFormat="1">
      <c r="B131" s="6"/>
      <c r="C131" s="6"/>
      <c r="D131" s="6"/>
      <c r="E131" s="6"/>
      <c r="F131" s="6"/>
      <c r="T131" s="41"/>
      <c r="AC131" s="46"/>
      <c r="AE131" s="158"/>
    </row>
    <row r="132" spans="2:31" s="5" customFormat="1">
      <c r="B132" s="6"/>
      <c r="C132" s="6"/>
      <c r="D132" s="6"/>
      <c r="E132" s="6"/>
      <c r="F132" s="6"/>
      <c r="T132" s="41"/>
      <c r="AC132" s="46"/>
      <c r="AE132" s="158"/>
    </row>
    <row r="133" spans="2:31" s="5" customFormat="1">
      <c r="B133" s="6"/>
      <c r="C133" s="6"/>
      <c r="D133" s="6"/>
      <c r="E133" s="6"/>
      <c r="F133" s="6"/>
      <c r="T133" s="41"/>
      <c r="AC133" s="46"/>
      <c r="AE133" s="158"/>
    </row>
    <row r="134" spans="2:31" s="5" customFormat="1">
      <c r="B134" s="6"/>
      <c r="C134" s="6"/>
      <c r="D134" s="6"/>
      <c r="E134" s="6"/>
      <c r="F134" s="6"/>
      <c r="T134" s="41"/>
      <c r="AC134" s="46"/>
      <c r="AE134" s="158"/>
    </row>
    <row r="135" spans="2:31" s="5" customFormat="1">
      <c r="B135" s="6"/>
      <c r="C135" s="6"/>
      <c r="D135" s="6"/>
      <c r="E135" s="6"/>
      <c r="F135" s="6"/>
      <c r="T135" s="41"/>
      <c r="AC135" s="46"/>
      <c r="AE135" s="158"/>
    </row>
    <row r="136" spans="2:31" s="5" customFormat="1">
      <c r="B136" s="6"/>
      <c r="C136" s="6"/>
      <c r="D136" s="6"/>
      <c r="E136" s="6"/>
      <c r="F136" s="6"/>
      <c r="T136" s="41"/>
      <c r="AC136" s="46"/>
      <c r="AE136" s="158"/>
    </row>
    <row r="137" spans="2:31" s="5" customFormat="1">
      <c r="B137" s="6"/>
      <c r="C137" s="6"/>
      <c r="D137" s="6"/>
      <c r="E137" s="6"/>
      <c r="F137" s="6"/>
      <c r="T137" s="41"/>
      <c r="AC137" s="46"/>
      <c r="AE137" s="158"/>
    </row>
    <row r="138" spans="2:31" s="5" customFormat="1">
      <c r="B138" s="6"/>
      <c r="C138" s="6"/>
      <c r="D138" s="6"/>
      <c r="E138" s="6"/>
      <c r="F138" s="6"/>
      <c r="T138" s="41"/>
      <c r="AC138" s="46"/>
      <c r="AE138" s="158"/>
    </row>
    <row r="139" spans="2:31" s="5" customFormat="1">
      <c r="B139" s="6"/>
      <c r="C139" s="6"/>
      <c r="D139" s="6"/>
      <c r="E139" s="6"/>
      <c r="F139" s="6"/>
      <c r="T139" s="41"/>
      <c r="AC139" s="46"/>
      <c r="AE139" s="158"/>
    </row>
    <row r="140" spans="2:31" s="5" customFormat="1">
      <c r="B140" s="6"/>
      <c r="C140" s="6"/>
      <c r="D140" s="6"/>
      <c r="E140" s="6"/>
      <c r="F140" s="6"/>
      <c r="T140" s="41"/>
      <c r="AC140" s="46"/>
      <c r="AE140" s="158"/>
    </row>
    <row r="141" spans="2:31" s="5" customFormat="1">
      <c r="B141" s="6"/>
      <c r="C141" s="6"/>
      <c r="D141" s="6"/>
      <c r="E141" s="6"/>
      <c r="F141" s="6"/>
      <c r="T141" s="41"/>
      <c r="AC141" s="46"/>
      <c r="AE141" s="158"/>
    </row>
    <row r="142" spans="2:31" s="5" customFormat="1">
      <c r="B142" s="6"/>
      <c r="C142" s="6"/>
      <c r="D142" s="6"/>
      <c r="E142" s="6"/>
      <c r="F142" s="6"/>
      <c r="T142" s="41"/>
      <c r="AC142" s="46"/>
      <c r="AE142" s="158"/>
    </row>
    <row r="143" spans="2:31" s="5" customFormat="1">
      <c r="B143" s="6"/>
      <c r="C143" s="6"/>
      <c r="D143" s="6"/>
      <c r="E143" s="6"/>
      <c r="F143" s="6"/>
      <c r="T143" s="41"/>
      <c r="AC143" s="46"/>
      <c r="AE143" s="158"/>
    </row>
    <row r="144" spans="2:31" s="5" customFormat="1">
      <c r="B144" s="6"/>
      <c r="C144" s="6"/>
      <c r="D144" s="6"/>
      <c r="E144" s="6"/>
      <c r="F144" s="6"/>
      <c r="T144" s="41"/>
      <c r="AC144" s="46"/>
      <c r="AE144" s="158"/>
    </row>
    <row r="145" spans="2:31" s="5" customFormat="1">
      <c r="B145" s="6"/>
      <c r="C145" s="6"/>
      <c r="D145" s="6"/>
      <c r="E145" s="6"/>
      <c r="F145" s="6"/>
      <c r="T145" s="41"/>
      <c r="AC145" s="46"/>
      <c r="AE145" s="158"/>
    </row>
    <row r="146" spans="2:31" s="5" customFormat="1">
      <c r="B146" s="6"/>
      <c r="C146" s="6"/>
      <c r="D146" s="6"/>
      <c r="E146" s="6"/>
      <c r="F146" s="6"/>
      <c r="T146" s="41"/>
      <c r="AC146" s="46"/>
      <c r="AE146" s="158"/>
    </row>
    <row r="147" spans="2:31" s="5" customFormat="1">
      <c r="B147" s="6"/>
      <c r="C147" s="6"/>
      <c r="D147" s="6"/>
      <c r="E147" s="6"/>
      <c r="F147" s="6"/>
      <c r="T147" s="41"/>
      <c r="AC147" s="46"/>
      <c r="AE147" s="158"/>
    </row>
    <row r="148" spans="2:31" s="5" customFormat="1">
      <c r="B148" s="6"/>
      <c r="C148" s="6"/>
      <c r="D148" s="6"/>
      <c r="E148" s="6"/>
      <c r="F148" s="6"/>
      <c r="T148" s="41"/>
      <c r="AC148" s="46"/>
      <c r="AE148" s="158"/>
    </row>
    <row r="149" spans="2:31" s="5" customFormat="1">
      <c r="B149" s="6"/>
      <c r="C149" s="6"/>
      <c r="D149" s="6"/>
      <c r="E149" s="6"/>
      <c r="F149" s="6"/>
      <c r="T149" s="41"/>
      <c r="AC149" s="46"/>
      <c r="AE149" s="158"/>
    </row>
    <row r="150" spans="2:31" s="5" customFormat="1">
      <c r="B150" s="6"/>
      <c r="C150" s="6"/>
      <c r="D150" s="6"/>
      <c r="E150" s="6"/>
      <c r="F150" s="6"/>
      <c r="T150" s="41"/>
      <c r="AC150" s="46"/>
      <c r="AE150" s="158"/>
    </row>
    <row r="151" spans="2:31" s="5" customFormat="1">
      <c r="B151" s="6"/>
      <c r="C151" s="6"/>
      <c r="D151" s="6"/>
      <c r="E151" s="6"/>
      <c r="F151" s="6"/>
      <c r="T151" s="41"/>
      <c r="AC151" s="46"/>
      <c r="AE151" s="158"/>
    </row>
    <row r="152" spans="2:31" s="5" customFormat="1">
      <c r="B152" s="6"/>
      <c r="C152" s="6"/>
      <c r="D152" s="6"/>
      <c r="E152" s="6"/>
      <c r="F152" s="6"/>
      <c r="T152" s="41"/>
      <c r="AC152" s="46"/>
      <c r="AE152" s="158"/>
    </row>
    <row r="153" spans="2:31" s="5" customFormat="1">
      <c r="B153" s="6"/>
      <c r="C153" s="6"/>
      <c r="D153" s="6"/>
      <c r="E153" s="6"/>
      <c r="F153" s="6"/>
      <c r="T153" s="41"/>
      <c r="AC153" s="46"/>
      <c r="AE153" s="158"/>
    </row>
    <row r="154" spans="2:31" s="5" customFormat="1">
      <c r="B154" s="6"/>
      <c r="C154" s="6"/>
      <c r="D154" s="6"/>
      <c r="E154" s="6"/>
      <c r="F154" s="6"/>
      <c r="T154" s="41"/>
      <c r="AC154" s="46"/>
      <c r="AE154" s="158"/>
    </row>
    <row r="155" spans="2:31" s="5" customFormat="1">
      <c r="B155" s="6"/>
      <c r="C155" s="6"/>
      <c r="D155" s="6"/>
      <c r="E155" s="6"/>
      <c r="F155" s="6"/>
      <c r="T155" s="41"/>
      <c r="AC155" s="46"/>
      <c r="AE155" s="158"/>
    </row>
    <row r="156" spans="2:31" s="5" customFormat="1">
      <c r="B156" s="6"/>
      <c r="C156" s="6"/>
      <c r="D156" s="6"/>
      <c r="E156" s="6"/>
      <c r="F156" s="6"/>
      <c r="T156" s="41"/>
      <c r="AC156" s="46"/>
      <c r="AE156" s="158"/>
    </row>
    <row r="157" spans="2:31" s="5" customFormat="1">
      <c r="B157" s="6"/>
      <c r="C157" s="6"/>
      <c r="D157" s="6"/>
      <c r="E157" s="6"/>
      <c r="F157" s="6"/>
      <c r="T157" s="41"/>
      <c r="AC157" s="46"/>
      <c r="AE157" s="158"/>
    </row>
    <row r="158" spans="2:31" s="5" customFormat="1">
      <c r="B158" s="6"/>
      <c r="C158" s="6"/>
      <c r="D158" s="6"/>
      <c r="E158" s="6"/>
      <c r="F158" s="6"/>
      <c r="T158" s="41"/>
      <c r="AC158" s="46"/>
      <c r="AE158" s="158"/>
    </row>
    <row r="159" spans="2:31" s="5" customFormat="1">
      <c r="B159" s="6"/>
      <c r="C159" s="6"/>
      <c r="D159" s="6"/>
      <c r="E159" s="6"/>
      <c r="F159" s="6"/>
      <c r="T159" s="41"/>
      <c r="AC159" s="46"/>
      <c r="AE159" s="158"/>
    </row>
    <row r="160" spans="2:31" s="5" customFormat="1">
      <c r="B160" s="6"/>
      <c r="C160" s="6"/>
      <c r="D160" s="6"/>
      <c r="E160" s="6"/>
      <c r="F160" s="6"/>
      <c r="T160" s="41"/>
      <c r="AC160" s="46"/>
      <c r="AE160" s="158"/>
    </row>
    <row r="161" spans="2:31" s="5" customFormat="1">
      <c r="B161" s="6"/>
      <c r="C161" s="6"/>
      <c r="D161" s="6"/>
      <c r="E161" s="6"/>
      <c r="F161" s="6"/>
      <c r="T161" s="41"/>
      <c r="AC161" s="46"/>
      <c r="AE161" s="158"/>
    </row>
    <row r="162" spans="2:31" s="5" customFormat="1">
      <c r="B162" s="6"/>
      <c r="C162" s="6"/>
      <c r="D162" s="6"/>
      <c r="E162" s="6"/>
      <c r="F162" s="6"/>
      <c r="T162" s="41"/>
      <c r="AC162" s="46"/>
      <c r="AE162" s="158"/>
    </row>
    <row r="163" spans="2:31" s="5" customFormat="1">
      <c r="B163" s="6"/>
      <c r="C163" s="6"/>
      <c r="D163" s="6"/>
      <c r="E163" s="6"/>
      <c r="F163" s="6"/>
      <c r="T163" s="41"/>
      <c r="AC163" s="46"/>
      <c r="AE163" s="158"/>
    </row>
    <row r="164" spans="2:31" s="5" customFormat="1">
      <c r="B164" s="6"/>
      <c r="C164" s="6"/>
      <c r="D164" s="6"/>
      <c r="E164" s="6"/>
      <c r="F164" s="6"/>
      <c r="T164" s="41"/>
      <c r="AC164" s="46"/>
      <c r="AE164" s="158"/>
    </row>
    <row r="165" spans="2:31" s="5" customFormat="1">
      <c r="B165" s="6"/>
      <c r="C165" s="6"/>
      <c r="D165" s="6"/>
      <c r="E165" s="6"/>
      <c r="F165" s="6"/>
      <c r="T165" s="41"/>
      <c r="AC165" s="46"/>
      <c r="AE165" s="158"/>
    </row>
    <row r="166" spans="2:31" s="5" customFormat="1">
      <c r="B166" s="6"/>
      <c r="C166" s="6"/>
      <c r="D166" s="6"/>
      <c r="E166" s="6"/>
      <c r="F166" s="6"/>
      <c r="T166" s="41"/>
      <c r="AC166" s="46"/>
      <c r="AE166" s="158"/>
    </row>
    <row r="167" spans="2:31" s="5" customFormat="1">
      <c r="B167" s="6"/>
      <c r="C167" s="6"/>
      <c r="D167" s="6"/>
      <c r="E167" s="6"/>
      <c r="F167" s="6"/>
      <c r="T167" s="41"/>
      <c r="AC167" s="46"/>
      <c r="AE167" s="158"/>
    </row>
    <row r="168" spans="2:31" s="5" customFormat="1">
      <c r="B168" s="6"/>
      <c r="C168" s="6"/>
      <c r="D168" s="6"/>
      <c r="E168" s="6"/>
      <c r="F168" s="6"/>
      <c r="T168" s="41"/>
      <c r="AC168" s="46"/>
      <c r="AE168" s="158"/>
    </row>
    <row r="169" spans="2:31" s="5" customFormat="1">
      <c r="B169" s="6"/>
      <c r="C169" s="6"/>
      <c r="D169" s="6"/>
      <c r="E169" s="6"/>
      <c r="F169" s="6"/>
      <c r="T169" s="41"/>
      <c r="AC169" s="46"/>
      <c r="AE169" s="158"/>
    </row>
  </sheetData>
  <autoFilter ref="A9:AE35" xr:uid="{00000000-0009-0000-0000-000008000000}"/>
  <mergeCells count="5">
    <mergeCell ref="A7:A9"/>
    <mergeCell ref="B7:AB7"/>
    <mergeCell ref="B8:N8"/>
    <mergeCell ref="O8:O9"/>
    <mergeCell ref="P8:AB8"/>
  </mergeCells>
  <printOptions horizontalCentered="1"/>
  <pageMargins left="0.2" right="0.2" top="0" bottom="0.25" header="0.3" footer="0.3"/>
  <pageSetup paperSize="9" scale="35"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F178"/>
  <sheetViews>
    <sheetView workbookViewId="0"/>
  </sheetViews>
  <sheetFormatPr defaultColWidth="9.33203125" defaultRowHeight="12.4"/>
  <cols>
    <col min="1" max="1" width="19.6640625" style="1" customWidth="1"/>
    <col min="2" max="2" width="28.33203125" style="3" customWidth="1"/>
    <col min="3" max="3" width="29.5" style="3" customWidth="1"/>
    <col min="4" max="4" width="30" style="3" customWidth="1"/>
    <col min="5" max="5" width="30.5" style="3" customWidth="1"/>
    <col min="6" max="6" width="27.33203125" style="3" customWidth="1"/>
    <col min="7" max="7" width="31.1640625" style="3" customWidth="1"/>
    <col min="8" max="8" width="30.83203125" style="1" customWidth="1"/>
    <col min="9" max="9" width="32.5" style="1" customWidth="1"/>
    <col min="10" max="10" width="30.83203125" style="1" customWidth="1"/>
    <col min="11" max="11" width="29" style="1" customWidth="1"/>
    <col min="12" max="12" width="30.5" style="1" customWidth="1"/>
    <col min="13" max="13" width="31.5" style="1" customWidth="1"/>
    <col min="14" max="14" width="33" style="1" customWidth="1"/>
    <col min="15" max="15" width="35.33203125" style="1" customWidth="1"/>
    <col min="16" max="16" width="38.83203125" style="1" customWidth="1"/>
    <col min="17" max="17" width="22.33203125" style="1" customWidth="1"/>
    <col min="18" max="20" width="26" style="1" customWidth="1"/>
    <col min="21" max="21" width="26" style="43" customWidth="1"/>
    <col min="22" max="23" width="26" style="1" customWidth="1"/>
    <col min="24" max="24" width="25.5" style="1" customWidth="1"/>
    <col min="25" max="25" width="25.33203125" style="1" customWidth="1"/>
    <col min="26" max="26" width="22.1640625" style="1" customWidth="1"/>
    <col min="27" max="27" width="26.5" style="1" customWidth="1"/>
    <col min="28" max="28" width="26.1640625" style="1" customWidth="1"/>
    <col min="29" max="29" width="33.1640625" style="1" customWidth="1"/>
    <col min="30" max="30" width="29.1640625" style="49" customWidth="1"/>
    <col min="31" max="31" width="64" style="1" customWidth="1"/>
    <col min="32" max="32" width="19.33203125" style="1" customWidth="1"/>
    <col min="33" max="16384" width="9.33203125" style="1"/>
  </cols>
  <sheetData>
    <row r="1" spans="1:32" s="5" customFormat="1" ht="24" customHeight="1">
      <c r="A1" s="21" t="s">
        <v>16</v>
      </c>
      <c r="B1" s="6"/>
      <c r="C1" s="6"/>
      <c r="D1" s="6"/>
      <c r="E1" s="6"/>
      <c r="F1" s="6"/>
      <c r="G1" s="6"/>
      <c r="U1" s="41"/>
      <c r="AD1" s="46"/>
    </row>
    <row r="2" spans="1:32" s="5" customFormat="1" ht="30.75" customHeight="1">
      <c r="A2" s="153" t="s">
        <v>35</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46"/>
    </row>
    <row r="3" spans="1:32" s="5" customFormat="1">
      <c r="B3" s="87"/>
      <c r="C3" s="87"/>
      <c r="D3" s="87"/>
      <c r="E3" s="87"/>
      <c r="F3" s="87"/>
      <c r="G3" s="87"/>
      <c r="H3" s="35"/>
      <c r="I3" s="35"/>
      <c r="J3" s="35"/>
      <c r="K3" s="35"/>
      <c r="L3" s="35"/>
      <c r="M3" s="35"/>
      <c r="N3" s="85"/>
      <c r="O3" s="35"/>
      <c r="P3" s="35"/>
      <c r="Q3" s="35"/>
      <c r="R3" s="35"/>
      <c r="S3" s="35"/>
      <c r="T3" s="35"/>
      <c r="U3" s="86"/>
      <c r="V3" s="35"/>
      <c r="W3" s="35"/>
      <c r="X3" s="35"/>
      <c r="Y3" s="35"/>
      <c r="Z3" s="35"/>
      <c r="AA3" s="35"/>
      <c r="AB3" s="85"/>
      <c r="AC3" s="35"/>
      <c r="AD3" s="46"/>
    </row>
    <row r="4" spans="1:32" s="5" customFormat="1">
      <c r="B4" s="87"/>
      <c r="C4" s="87"/>
      <c r="D4" s="87"/>
      <c r="E4" s="87"/>
      <c r="F4" s="87"/>
      <c r="G4" s="87"/>
      <c r="H4" s="35"/>
      <c r="I4" s="35"/>
      <c r="J4" s="35"/>
      <c r="K4" s="35"/>
      <c r="L4" s="35"/>
      <c r="M4" s="35"/>
      <c r="N4" s="85"/>
      <c r="O4" s="35"/>
      <c r="P4" s="35"/>
      <c r="Q4" s="35"/>
      <c r="R4" s="35"/>
      <c r="S4" s="35"/>
      <c r="T4" s="35"/>
      <c r="U4" s="86"/>
      <c r="V4" s="35"/>
      <c r="W4" s="35"/>
      <c r="X4" s="35"/>
      <c r="Y4" s="35"/>
      <c r="Z4" s="35"/>
      <c r="AA4" s="35"/>
      <c r="AB4" s="85"/>
      <c r="AC4" s="35"/>
      <c r="AD4" s="46"/>
    </row>
    <row r="5" spans="1:32" s="5" customFormat="1">
      <c r="B5" s="87"/>
      <c r="C5" s="87"/>
      <c r="D5" s="87"/>
      <c r="E5" s="87"/>
      <c r="F5" s="87"/>
      <c r="G5" s="87"/>
      <c r="H5" s="35"/>
      <c r="I5" s="35"/>
      <c r="J5" s="35"/>
      <c r="K5" s="35"/>
      <c r="L5" s="35"/>
      <c r="M5" s="35"/>
      <c r="N5" s="85"/>
      <c r="O5" s="35"/>
      <c r="P5" s="35"/>
      <c r="Q5" s="35"/>
      <c r="R5" s="35"/>
      <c r="S5" s="35"/>
      <c r="T5" s="35"/>
      <c r="U5" s="86"/>
      <c r="V5" s="35"/>
      <c r="W5" s="35"/>
      <c r="X5" s="35"/>
      <c r="Y5" s="35"/>
      <c r="Z5" s="35"/>
      <c r="AA5" s="35"/>
      <c r="AB5" s="85"/>
      <c r="AC5" s="35"/>
      <c r="AD5" s="46"/>
    </row>
    <row r="6" spans="1:32" s="10" customFormat="1" ht="27.75" customHeight="1">
      <c r="A6" s="427" t="s">
        <v>2</v>
      </c>
      <c r="B6" s="430">
        <v>2021</v>
      </c>
      <c r="C6" s="430"/>
      <c r="D6" s="430"/>
      <c r="E6" s="430"/>
      <c r="F6" s="431"/>
      <c r="G6" s="431"/>
      <c r="H6" s="430"/>
      <c r="I6" s="430"/>
      <c r="J6" s="430"/>
      <c r="K6" s="430"/>
      <c r="L6" s="430"/>
      <c r="M6" s="430"/>
      <c r="N6" s="430"/>
      <c r="O6" s="430"/>
      <c r="P6" s="431"/>
      <c r="Q6" s="430"/>
      <c r="R6" s="430"/>
      <c r="S6" s="430"/>
      <c r="T6" s="430"/>
      <c r="U6" s="430"/>
      <c r="V6" s="430"/>
      <c r="W6" s="430"/>
      <c r="X6" s="430"/>
      <c r="Y6" s="430"/>
      <c r="Z6" s="430"/>
      <c r="AA6" s="430"/>
      <c r="AB6" s="430"/>
      <c r="AC6" s="430"/>
      <c r="AD6" s="47"/>
    </row>
    <row r="7" spans="1:32" s="11" customFormat="1" ht="27.75" customHeight="1">
      <c r="A7" s="428"/>
      <c r="B7" s="432" t="s">
        <v>5</v>
      </c>
      <c r="C7" s="433"/>
      <c r="D7" s="433"/>
      <c r="E7" s="433"/>
      <c r="F7" s="434"/>
      <c r="G7" s="434"/>
      <c r="H7" s="433"/>
      <c r="I7" s="433"/>
      <c r="J7" s="433"/>
      <c r="K7" s="433"/>
      <c r="L7" s="433"/>
      <c r="M7" s="433"/>
      <c r="N7" s="433"/>
      <c r="O7" s="435"/>
      <c r="P7" s="436" t="s">
        <v>36</v>
      </c>
      <c r="Q7" s="432" t="s">
        <v>6</v>
      </c>
      <c r="R7" s="433"/>
      <c r="S7" s="433"/>
      <c r="T7" s="433"/>
      <c r="U7" s="433"/>
      <c r="V7" s="433"/>
      <c r="W7" s="433"/>
      <c r="X7" s="433"/>
      <c r="Y7" s="433"/>
      <c r="Z7" s="433"/>
      <c r="AA7" s="433"/>
      <c r="AB7" s="433"/>
      <c r="AC7" s="435"/>
      <c r="AD7" s="48"/>
    </row>
    <row r="8" spans="1:32" s="11" customFormat="1" ht="27.75" customHeight="1">
      <c r="A8" s="429"/>
      <c r="B8" s="2">
        <v>44197</v>
      </c>
      <c r="C8" s="2">
        <v>44228</v>
      </c>
      <c r="D8" s="2">
        <v>44256</v>
      </c>
      <c r="E8" s="2">
        <v>44287</v>
      </c>
      <c r="F8" s="84" t="s">
        <v>44</v>
      </c>
      <c r="G8" s="84">
        <v>44317</v>
      </c>
      <c r="H8" s="2">
        <v>44348</v>
      </c>
      <c r="I8" s="2">
        <v>44378</v>
      </c>
      <c r="J8" s="2">
        <v>44409</v>
      </c>
      <c r="K8" s="2">
        <v>44440</v>
      </c>
      <c r="L8" s="2">
        <v>44470</v>
      </c>
      <c r="M8" s="2">
        <v>44501</v>
      </c>
      <c r="N8" s="2">
        <v>44531</v>
      </c>
      <c r="O8" s="4" t="s">
        <v>8</v>
      </c>
      <c r="P8" s="437"/>
      <c r="Q8" s="2">
        <v>44197</v>
      </c>
      <c r="R8" s="2">
        <v>44228</v>
      </c>
      <c r="S8" s="2">
        <v>44256</v>
      </c>
      <c r="T8" s="2">
        <v>44287</v>
      </c>
      <c r="U8" s="84">
        <v>44317</v>
      </c>
      <c r="V8" s="2">
        <v>44348</v>
      </c>
      <c r="W8" s="2">
        <v>44378</v>
      </c>
      <c r="X8" s="2">
        <v>44409</v>
      </c>
      <c r="Y8" s="2">
        <v>44440</v>
      </c>
      <c r="Z8" s="2">
        <v>44470</v>
      </c>
      <c r="AA8" s="2">
        <v>44501</v>
      </c>
      <c r="AB8" s="2">
        <v>44531</v>
      </c>
      <c r="AC8" s="4" t="s">
        <v>7</v>
      </c>
      <c r="AD8" s="48"/>
    </row>
    <row r="9" spans="1:32" s="14" customFormat="1" ht="30" customHeight="1">
      <c r="A9" s="32" t="s">
        <v>3</v>
      </c>
      <c r="B9" s="27">
        <f>SUM(B10:B21)</f>
        <v>5761484783</v>
      </c>
      <c r="C9" s="27">
        <f>SUM(C10:C21)</f>
        <v>40292486833</v>
      </c>
      <c r="D9" s="27">
        <f>SUM(D10:D21)</f>
        <v>43363643434</v>
      </c>
      <c r="E9" s="27">
        <f>SUM(E10:E21)</f>
        <v>103655674323</v>
      </c>
      <c r="F9" s="27">
        <f>SUM(F10:F21)</f>
        <v>5894898060.7714539</v>
      </c>
      <c r="G9" s="27">
        <f>SUM(G10:G22)</f>
        <v>87779067114</v>
      </c>
      <c r="H9" s="27">
        <f>SUM(H10:H22)</f>
        <v>68903943554</v>
      </c>
      <c r="I9" s="27">
        <f t="shared" ref="I9:M9" si="0">SUM(I10:I21)</f>
        <v>61052972546</v>
      </c>
      <c r="J9" s="27">
        <f t="shared" si="0"/>
        <v>45432842998</v>
      </c>
      <c r="K9" s="27">
        <f t="shared" si="0"/>
        <v>25955297413</v>
      </c>
      <c r="L9" s="27">
        <f t="shared" si="0"/>
        <v>18137154081</v>
      </c>
      <c r="M9" s="27">
        <f t="shared" si="0"/>
        <v>52845085623</v>
      </c>
      <c r="N9" s="27">
        <f>SUM(N10:N22)</f>
        <v>181444632323</v>
      </c>
      <c r="O9" s="27">
        <f>O10+O11+O13+O12+O14+O15+O16+O17+O18+O19+O21+O22+O20</f>
        <v>740519183085.77148</v>
      </c>
      <c r="P9" s="27" t="e">
        <f>P10+P11+P13+P12+P14+P15+P16+P17+P18+P19+P21+P22+P20</f>
        <v>#REF!</v>
      </c>
      <c r="Q9" s="30">
        <f>Q10+Q11+Q13+Q12+Q14+Q15+Q16+Q17+Q18+Q19+Q21+Q22</f>
        <v>251045.08858387798</v>
      </c>
      <c r="R9" s="30">
        <f>R10+R11+R13+R12+R14+R15+R16+R17+R18+R19+R21+R22</f>
        <v>1759497.2416157206</v>
      </c>
      <c r="S9" s="30">
        <f>S10+S11+S13+S12+S14+S15+S16+S17+S18+S19+S21+S22</f>
        <v>1887838.199129299</v>
      </c>
      <c r="T9" s="30">
        <f>T10+T11+T13+T12+T14+T15+T16+T17+T18+T19+T21+T22</f>
        <v>4775526.2591007613</v>
      </c>
      <c r="U9" s="30">
        <f>U10+U11+U13+U12+U14+U15+U16+U17+U18+U19+U21+U22</f>
        <v>3828966.940632497</v>
      </c>
      <c r="V9" s="30">
        <f t="shared" ref="V9:X9" si="1">SUM(V10:V22)</f>
        <v>3010220.3399999994</v>
      </c>
      <c r="W9" s="30">
        <f t="shared" si="1"/>
        <v>2674243.212702584</v>
      </c>
      <c r="X9" s="30">
        <f t="shared" si="1"/>
        <v>2005865.0299999998</v>
      </c>
      <c r="Y9" s="30">
        <f>SUM(Y10:Y22)</f>
        <v>1146435.3899999999</v>
      </c>
      <c r="Z9" s="30">
        <f>SUM(Z10:Z22)</f>
        <v>801465.04999999993</v>
      </c>
      <c r="AA9" s="30">
        <f>SUM(AA10:AA22)</f>
        <v>2340349.23</v>
      </c>
      <c r="AB9" s="30">
        <f>SUM(AB10:AB22)</f>
        <v>8021424.959999999</v>
      </c>
      <c r="AC9" s="30">
        <f>SUM(AC10:AC22)</f>
        <v>32502876.941764735</v>
      </c>
      <c r="AD9" s="34">
        <f>AC9-'[11]IS (01)'!$G$6</f>
        <v>1.7549954354763031E-3</v>
      </c>
      <c r="AF9" s="149">
        <f>O9-'[11]IS (01)'!$L$6</f>
        <v>0</v>
      </c>
    </row>
    <row r="10" spans="1:32" s="10" customFormat="1" ht="30" customHeight="1">
      <c r="A10" s="33" t="s">
        <v>4</v>
      </c>
      <c r="B10" s="15">
        <v>0</v>
      </c>
      <c r="C10" s="15">
        <v>0</v>
      </c>
      <c r="D10" s="15">
        <v>0</v>
      </c>
      <c r="E10" s="15">
        <v>0</v>
      </c>
      <c r="F10" s="78">
        <v>0</v>
      </c>
      <c r="G10" s="15">
        <v>0</v>
      </c>
      <c r="H10" s="15">
        <v>0</v>
      </c>
      <c r="I10" s="15">
        <v>0</v>
      </c>
      <c r="J10" s="15">
        <v>0</v>
      </c>
      <c r="K10" s="15">
        <v>0</v>
      </c>
      <c r="L10" s="15">
        <v>0</v>
      </c>
      <c r="M10" s="15">
        <v>0</v>
      </c>
      <c r="N10" s="15">
        <v>0</v>
      </c>
      <c r="O10" s="28">
        <f t="shared" ref="O10:O21" si="2">SUM(B10:N10)</f>
        <v>0</v>
      </c>
      <c r="P10" s="154">
        <f>'Summary 2020'!P10+'Summary 2019'!N10+'Summary 2018'!N10+'Summary 2017'!J10+O10</f>
        <v>1311159373244.0864</v>
      </c>
      <c r="Q10" s="17">
        <f t="shared" ref="Q10:Q18" si="3">B10/$Q$37</f>
        <v>0</v>
      </c>
      <c r="R10" s="17">
        <f t="shared" ref="R10:R18" si="4">C10/$R$37</f>
        <v>0</v>
      </c>
      <c r="S10" s="17">
        <f t="shared" ref="S10:S18" si="5">D10/$S$37</f>
        <v>0</v>
      </c>
      <c r="T10" s="17">
        <v>0</v>
      </c>
      <c r="U10" s="17">
        <v>0</v>
      </c>
      <c r="V10" s="17">
        <f>ROUND(H10/$V$37,2)</f>
        <v>0</v>
      </c>
      <c r="W10" s="17">
        <v>0</v>
      </c>
      <c r="X10" s="17">
        <f>ROUND(J10/$X$37,2)</f>
        <v>0</v>
      </c>
      <c r="Y10" s="17">
        <f t="shared" ref="Y10" si="6">ROUND(K10/$Y$37,2)</f>
        <v>0</v>
      </c>
      <c r="Z10" s="17">
        <f>ROUND(L10/$Z$37,2)</f>
        <v>0</v>
      </c>
      <c r="AA10" s="17">
        <f>ROUND(M10/$AA$37,2)</f>
        <v>0</v>
      </c>
      <c r="AB10" s="17">
        <f>ROUND(N10/$AB$37,2)</f>
        <v>0</v>
      </c>
      <c r="AC10" s="31">
        <f>SUM(Q10:AB10)</f>
        <v>0</v>
      </c>
      <c r="AD10" s="47"/>
    </row>
    <row r="11" spans="1:32" s="10" customFormat="1" ht="30" customHeight="1">
      <c r="A11" s="33" t="s">
        <v>1</v>
      </c>
      <c r="B11" s="15">
        <v>-4095</v>
      </c>
      <c r="C11" s="15">
        <v>1497796469</v>
      </c>
      <c r="D11" s="15">
        <v>1282980833</v>
      </c>
      <c r="E11" s="15">
        <v>1426747623</v>
      </c>
      <c r="F11" s="78">
        <v>0</v>
      </c>
      <c r="G11" s="78">
        <v>1428023097</v>
      </c>
      <c r="H11" s="15">
        <v>1435218334</v>
      </c>
      <c r="I11" s="20">
        <v>1397336546</v>
      </c>
      <c r="J11" s="20">
        <f>'[12]Estimate Revenue'!$E$8</f>
        <v>1705844945</v>
      </c>
      <c r="K11" s="20">
        <v>1375211410</v>
      </c>
      <c r="L11" s="20">
        <v>1361728288</v>
      </c>
      <c r="M11" s="20">
        <v>1484537931</v>
      </c>
      <c r="N11" s="16">
        <v>3097405746</v>
      </c>
      <c r="O11" s="28">
        <f>SUM(B11:N11)</f>
        <v>17492827127</v>
      </c>
      <c r="P11" s="60" t="e">
        <f>'Summary 2020'!P11+'Summary 2019'!N11+'Summary 2018'!N11+'Summary 2017'!J11+O11</f>
        <v>#REF!</v>
      </c>
      <c r="Q11" s="17">
        <f t="shared" si="3"/>
        <v>-0.17843137254901961</v>
      </c>
      <c r="R11" s="17">
        <f t="shared" si="4"/>
        <v>65405.959344978168</v>
      </c>
      <c r="S11" s="17">
        <f t="shared" si="5"/>
        <v>55854.629212015672</v>
      </c>
      <c r="T11" s="17">
        <f>E11/$T$37</f>
        <v>62194.752528334786</v>
      </c>
      <c r="U11" s="17">
        <f t="shared" ref="U11:U18" si="7">G11/$U$37</f>
        <v>62291.083838604143</v>
      </c>
      <c r="V11" s="17">
        <f t="shared" ref="V11:V22" si="8">ROUND(H11/$V$37,2)</f>
        <v>62700.67</v>
      </c>
      <c r="W11" s="17">
        <f>I11/$W$37</f>
        <v>61206.15619798511</v>
      </c>
      <c r="X11" s="17">
        <f t="shared" ref="X11:X36" si="9">ROUND(J11/$X$37,2)</f>
        <v>75313.240000000005</v>
      </c>
      <c r="Y11" s="17">
        <f>ROUND(K11/$Y$37,2)</f>
        <v>60742.55</v>
      </c>
      <c r="Z11" s="17">
        <f>ROUND(L11/$Z$37,2)</f>
        <v>60173.59</v>
      </c>
      <c r="AA11" s="17">
        <f t="shared" ref="AA11:AA22" si="10">ROUND(M11/$AA$37,2)</f>
        <v>65745.7</v>
      </c>
      <c r="AB11" s="17">
        <f t="shared" ref="AB11:AB36" si="11">ROUND(N11/$AB$37,2)</f>
        <v>136932.17000000001</v>
      </c>
      <c r="AC11" s="31">
        <f>SUM(Q11:AB11)</f>
        <v>768560.32269054523</v>
      </c>
      <c r="AD11" s="146">
        <f>O9+68903943554</f>
        <v>809423126639.77148</v>
      </c>
      <c r="AE11" s="187">
        <v>677295414357.77148</v>
      </c>
      <c r="AF11" s="185" t="s">
        <v>108</v>
      </c>
    </row>
    <row r="12" spans="1:32" s="10" customFormat="1" ht="30" customHeight="1">
      <c r="A12" s="33" t="s">
        <v>11</v>
      </c>
      <c r="B12" s="15">
        <v>1427717845</v>
      </c>
      <c r="C12" s="16">
        <v>3099908226</v>
      </c>
      <c r="D12" s="15">
        <v>1870172081</v>
      </c>
      <c r="E12" s="15">
        <v>1102274561</v>
      </c>
      <c r="F12" s="78">
        <v>950158526.95361328</v>
      </c>
      <c r="G12" s="78">
        <v>1320299409</v>
      </c>
      <c r="H12" s="15">
        <v>1102114946</v>
      </c>
      <c r="I12" s="20">
        <v>1309701391</v>
      </c>
      <c r="J12" s="20">
        <v>543426577</v>
      </c>
      <c r="K12" s="20">
        <v>579323711</v>
      </c>
      <c r="L12" s="20">
        <v>869845064</v>
      </c>
      <c r="M12" s="20">
        <v>739717395</v>
      </c>
      <c r="N12" s="16">
        <f>'[13]Estimate Revenue'!$R$10+16335462813</f>
        <v>34394000466</v>
      </c>
      <c r="O12" s="155">
        <f>SUM(B12:N12)</f>
        <v>49308660198.953613</v>
      </c>
      <c r="P12" s="154">
        <f>O12+'Summary 2019'!N12+'Summary 2018'!N12+'Summary 2020'!P12</f>
        <v>2195820072771.5618</v>
      </c>
      <c r="Q12" s="17">
        <f t="shared" si="3"/>
        <v>62209.92788671024</v>
      </c>
      <c r="R12" s="17">
        <f t="shared" si="4"/>
        <v>135367.17144104803</v>
      </c>
      <c r="S12" s="17">
        <f t="shared" si="5"/>
        <v>81418.027035263382</v>
      </c>
      <c r="T12" s="17">
        <f>(E12+F12)/$T$37</f>
        <v>89469.620224656202</v>
      </c>
      <c r="U12" s="17">
        <f t="shared" si="7"/>
        <v>57592.122529989094</v>
      </c>
      <c r="V12" s="17">
        <f t="shared" si="8"/>
        <v>48148.32</v>
      </c>
      <c r="W12" s="17">
        <f t="shared" ref="W12:W22" si="12">I12/$W$37</f>
        <v>57367.559833552346</v>
      </c>
      <c r="X12" s="17">
        <f t="shared" si="9"/>
        <v>23992.34</v>
      </c>
      <c r="Y12" s="17">
        <f t="shared" ref="Y12:Y22" si="13">ROUND(K12/$Y$37,2)</f>
        <v>25588.5</v>
      </c>
      <c r="Z12" s="17">
        <f t="shared" ref="Z12:Z22" si="14">ROUND(L12/$Z$37,2)</f>
        <v>38437.699999999997</v>
      </c>
      <c r="AA12" s="17">
        <f t="shared" si="10"/>
        <v>32759.85</v>
      </c>
      <c r="AB12" s="17">
        <f t="shared" si="11"/>
        <v>1520512.84</v>
      </c>
      <c r="AC12" s="31">
        <f t="shared" ref="AC12:AC22" si="15">SUM(Q12:AB12)</f>
        <v>2172863.9789512195</v>
      </c>
      <c r="AD12" s="146" t="e">
        <f>AD11+AF11</f>
        <v>#VALUE!</v>
      </c>
      <c r="AE12" s="185"/>
      <c r="AF12" s="186"/>
    </row>
    <row r="13" spans="1:32" s="10" customFormat="1" ht="30" customHeight="1">
      <c r="A13" s="33" t="s">
        <v>9</v>
      </c>
      <c r="B13" s="15">
        <v>0</v>
      </c>
      <c r="C13" s="15">
        <v>0</v>
      </c>
      <c r="D13" s="15">
        <v>0</v>
      </c>
      <c r="E13" s="15">
        <v>0</v>
      </c>
      <c r="F13" s="78">
        <v>0</v>
      </c>
      <c r="G13" s="15">
        <v>0</v>
      </c>
      <c r="H13" s="15">
        <v>0</v>
      </c>
      <c r="I13" s="15">
        <v>0</v>
      </c>
      <c r="J13" s="15">
        <v>0</v>
      </c>
      <c r="K13" s="15">
        <v>0</v>
      </c>
      <c r="L13" s="15">
        <v>0</v>
      </c>
      <c r="M13" s="15">
        <v>0</v>
      </c>
      <c r="N13" s="15">
        <v>0</v>
      </c>
      <c r="O13" s="28">
        <f t="shared" si="2"/>
        <v>0</v>
      </c>
      <c r="P13" s="154" t="e">
        <f>'Summary 2019'!N13+'Summary 2018'!N13+'Summary 2017'!J12+O13+'Summary 2020'!P13</f>
        <v>#REF!</v>
      </c>
      <c r="Q13" s="17">
        <f t="shared" si="3"/>
        <v>0</v>
      </c>
      <c r="R13" s="17">
        <f t="shared" si="4"/>
        <v>0</v>
      </c>
      <c r="S13" s="17">
        <f t="shared" si="5"/>
        <v>0</v>
      </c>
      <c r="T13" s="17">
        <f>E13/$T$37</f>
        <v>0</v>
      </c>
      <c r="U13" s="17">
        <f t="shared" si="7"/>
        <v>0</v>
      </c>
      <c r="V13" s="17">
        <f t="shared" si="8"/>
        <v>0</v>
      </c>
      <c r="W13" s="17">
        <f t="shared" si="12"/>
        <v>0</v>
      </c>
      <c r="X13" s="17">
        <f t="shared" si="9"/>
        <v>0</v>
      </c>
      <c r="Y13" s="17">
        <f t="shared" si="13"/>
        <v>0</v>
      </c>
      <c r="Z13" s="17">
        <f t="shared" si="14"/>
        <v>0</v>
      </c>
      <c r="AA13" s="17">
        <f t="shared" si="10"/>
        <v>0</v>
      </c>
      <c r="AB13" s="17">
        <f t="shared" si="11"/>
        <v>0</v>
      </c>
      <c r="AC13" s="31">
        <f t="shared" si="15"/>
        <v>0</v>
      </c>
      <c r="AD13" s="146">
        <v>35726958487</v>
      </c>
      <c r="AE13" s="185">
        <v>42309568728</v>
      </c>
      <c r="AF13" s="185" t="s">
        <v>109</v>
      </c>
    </row>
    <row r="14" spans="1:32" s="10" customFormat="1" ht="30" customHeight="1">
      <c r="A14" s="33" t="s">
        <v>21</v>
      </c>
      <c r="B14" s="79">
        <v>-103712926</v>
      </c>
      <c r="C14" s="16">
        <v>2010431488</v>
      </c>
      <c r="D14" s="16">
        <v>1532583305</v>
      </c>
      <c r="E14" s="16">
        <v>1492616314</v>
      </c>
      <c r="F14" s="79">
        <v>0</v>
      </c>
      <c r="G14" s="79">
        <v>1754222966</v>
      </c>
      <c r="H14" s="16">
        <v>1681255258</v>
      </c>
      <c r="I14" s="16">
        <v>1583375100</v>
      </c>
      <c r="J14" s="20">
        <v>1393125920</v>
      </c>
      <c r="K14" s="20">
        <v>1363660392</v>
      </c>
      <c r="L14" s="16">
        <v>1456952056</v>
      </c>
      <c r="M14" s="16">
        <v>1703652070</v>
      </c>
      <c r="N14" s="16">
        <v>2873444566</v>
      </c>
      <c r="O14" s="28">
        <f t="shared" si="2"/>
        <v>18741606509</v>
      </c>
      <c r="P14" s="60">
        <f>'Summary 2019'!N14+O14+'Summary 2020'!P14</f>
        <v>42894861917</v>
      </c>
      <c r="Q14" s="17">
        <f t="shared" si="3"/>
        <v>-4519.0817429193903</v>
      </c>
      <c r="R14" s="17">
        <f t="shared" si="4"/>
        <v>87791.768034934503</v>
      </c>
      <c r="S14" s="17">
        <f t="shared" si="5"/>
        <v>66721.084240313459</v>
      </c>
      <c r="T14" s="17">
        <f>E14/$T$37</f>
        <v>65066.099128160422</v>
      </c>
      <c r="U14" s="17">
        <f t="shared" si="7"/>
        <v>76520.085757906214</v>
      </c>
      <c r="V14" s="17">
        <f t="shared" si="8"/>
        <v>73449.33</v>
      </c>
      <c r="W14" s="17">
        <f t="shared" si="12"/>
        <v>69355.019710906708</v>
      </c>
      <c r="X14" s="17">
        <f t="shared" si="9"/>
        <v>61506.66</v>
      </c>
      <c r="Y14" s="17">
        <f t="shared" si="13"/>
        <v>60232.35</v>
      </c>
      <c r="Z14" s="17">
        <f t="shared" si="14"/>
        <v>64381.440000000002</v>
      </c>
      <c r="AA14" s="17">
        <f t="shared" si="10"/>
        <v>75449.600000000006</v>
      </c>
      <c r="AB14" s="17">
        <f t="shared" si="11"/>
        <v>127031.15</v>
      </c>
      <c r="AC14" s="31">
        <f t="shared" si="15"/>
        <v>822985.50512930192</v>
      </c>
      <c r="AD14" s="146" t="e">
        <f>AD13+AF13+AF14</f>
        <v>#VALUE!</v>
      </c>
      <c r="AE14" s="185">
        <v>20914200000</v>
      </c>
      <c r="AF14" s="185" t="s">
        <v>110</v>
      </c>
    </row>
    <row r="15" spans="1:32" s="10" customFormat="1" ht="30" customHeight="1">
      <c r="A15" s="33" t="s">
        <v>22</v>
      </c>
      <c r="B15" s="16">
        <v>1064087822</v>
      </c>
      <c r="C15" s="16">
        <v>7686007658</v>
      </c>
      <c r="D15" s="16">
        <v>4682652348</v>
      </c>
      <c r="E15" s="16">
        <v>32848632668</v>
      </c>
      <c r="F15" s="78">
        <v>1270048549.8951111</v>
      </c>
      <c r="G15" s="79">
        <v>25043763065</v>
      </c>
      <c r="H15" s="16">
        <v>23603060168</v>
      </c>
      <c r="I15" s="16">
        <v>19846248706</v>
      </c>
      <c r="J15" s="16">
        <v>17627431953</v>
      </c>
      <c r="K15" s="20">
        <v>5130927019</v>
      </c>
      <c r="L15" s="16">
        <v>11066742089</v>
      </c>
      <c r="M15" s="16">
        <v>25032745774</v>
      </c>
      <c r="N15" s="16">
        <f>'[14]Estimate Revenue'!$Q$12</f>
        <v>45910195397</v>
      </c>
      <c r="O15" s="155">
        <f t="shared" si="2"/>
        <v>220812543216.89511</v>
      </c>
      <c r="P15" s="154">
        <f>'Summary 2019'!N15+O15+'Summary 2020'!P15</f>
        <v>424524381792.89514</v>
      </c>
      <c r="Q15" s="17">
        <f t="shared" si="3"/>
        <v>46365.482440087144</v>
      </c>
      <c r="R15" s="17">
        <f t="shared" si="4"/>
        <v>335633.52218340611</v>
      </c>
      <c r="S15" s="17">
        <f t="shared" si="5"/>
        <v>203859.48402263824</v>
      </c>
      <c r="T15" s="17">
        <f>(E15+F15)/$T$37</f>
        <v>1487300.8377460816</v>
      </c>
      <c r="U15" s="17">
        <f t="shared" si="7"/>
        <v>1092421.5077426389</v>
      </c>
      <c r="V15" s="17">
        <f t="shared" si="8"/>
        <v>1031151.6</v>
      </c>
      <c r="W15" s="17">
        <f t="shared" si="12"/>
        <v>869305.68138414365</v>
      </c>
      <c r="X15" s="17">
        <f t="shared" si="9"/>
        <v>778253.07</v>
      </c>
      <c r="Y15" s="17">
        <f t="shared" si="13"/>
        <v>226631.05</v>
      </c>
      <c r="Z15" s="17">
        <f t="shared" si="14"/>
        <v>489029.7</v>
      </c>
      <c r="AA15" s="17">
        <f t="shared" si="10"/>
        <v>1108624.7</v>
      </c>
      <c r="AB15" s="17">
        <f t="shared" si="11"/>
        <v>2029628.44</v>
      </c>
      <c r="AC15" s="31">
        <f t="shared" si="15"/>
        <v>9698205.0755189955</v>
      </c>
      <c r="AD15" s="146" t="e">
        <f>AD13+AF13</f>
        <v>#VALUE!</v>
      </c>
      <c r="AE15" s="186"/>
      <c r="AF15" s="185"/>
    </row>
    <row r="16" spans="1:32" s="10" customFormat="1" ht="30" customHeight="1">
      <c r="A16" s="33" t="s">
        <v>23</v>
      </c>
      <c r="B16" s="16">
        <v>3286653835</v>
      </c>
      <c r="C16" s="16">
        <v>25965783856</v>
      </c>
      <c r="D16" s="16">
        <v>33962597352</v>
      </c>
      <c r="E16" s="16">
        <v>66752745642</v>
      </c>
      <c r="F16" s="78">
        <v>3674690983.9227295</v>
      </c>
      <c r="G16" s="79">
        <v>46279420466</v>
      </c>
      <c r="H16" s="16">
        <v>36380672079</v>
      </c>
      <c r="I16" s="16">
        <v>13345452345</v>
      </c>
      <c r="J16" s="16">
        <v>5912777428</v>
      </c>
      <c r="K16" s="16">
        <v>12801682170</v>
      </c>
      <c r="L16" s="16">
        <v>294448926</v>
      </c>
      <c r="M16" s="16">
        <v>1870776196</v>
      </c>
      <c r="N16" s="16">
        <f>'[13]Estimate Revenue'!$R$13+2498710407</f>
        <v>2974775861</v>
      </c>
      <c r="O16" s="155">
        <f t="shared" si="2"/>
        <v>253502477139.92273</v>
      </c>
      <c r="P16" s="154">
        <f>'Summary 2019'!N16+O16+'Summary 2020'!P16</f>
        <v>516092416152.92273</v>
      </c>
      <c r="Q16" s="17">
        <f t="shared" si="3"/>
        <v>143209.31742919391</v>
      </c>
      <c r="R16" s="17">
        <f t="shared" si="4"/>
        <v>1133877.0242794759</v>
      </c>
      <c r="S16" s="17">
        <f t="shared" si="5"/>
        <v>1478563.2282107095</v>
      </c>
      <c r="T16" s="17">
        <f>(E16+F16)/$T$37</f>
        <v>3070071.3437629784</v>
      </c>
      <c r="U16" s="17">
        <f t="shared" si="7"/>
        <v>2018731.5361395855</v>
      </c>
      <c r="V16" s="17">
        <f t="shared" si="8"/>
        <v>1589369.68</v>
      </c>
      <c r="W16" s="17">
        <f t="shared" si="12"/>
        <v>584557.70236530877</v>
      </c>
      <c r="X16" s="17">
        <f t="shared" si="9"/>
        <v>261049.78</v>
      </c>
      <c r="Y16" s="17">
        <f t="shared" si="13"/>
        <v>565445.32999999996</v>
      </c>
      <c r="Z16" s="17">
        <f t="shared" si="14"/>
        <v>13011.44</v>
      </c>
      <c r="AA16" s="17">
        <f t="shared" si="10"/>
        <v>82851.03</v>
      </c>
      <c r="AB16" s="17">
        <f t="shared" si="11"/>
        <v>131510.87</v>
      </c>
      <c r="AC16" s="31">
        <f t="shared" si="15"/>
        <v>11072248.28218725</v>
      </c>
      <c r="AD16" s="146"/>
      <c r="AE16" s="147"/>
      <c r="AF16" s="147"/>
    </row>
    <row r="17" spans="1:32" s="10" customFormat="1" ht="30" customHeight="1">
      <c r="A17" s="33" t="s">
        <v>33</v>
      </c>
      <c r="B17" s="79">
        <v>0</v>
      </c>
      <c r="C17" s="79">
        <v>0</v>
      </c>
      <c r="D17" s="79">
        <v>0</v>
      </c>
      <c r="E17" s="79">
        <v>0</v>
      </c>
      <c r="F17" s="79">
        <v>0</v>
      </c>
      <c r="G17" s="79">
        <v>0</v>
      </c>
      <c r="H17" s="79">
        <v>0</v>
      </c>
      <c r="I17" s="79">
        <v>0</v>
      </c>
      <c r="J17" s="79">
        <v>0</v>
      </c>
      <c r="K17" s="79">
        <v>0</v>
      </c>
      <c r="L17" s="79">
        <v>0</v>
      </c>
      <c r="M17" s="79"/>
      <c r="N17" s="79">
        <v>16279200000</v>
      </c>
      <c r="O17" s="28">
        <f t="shared" si="2"/>
        <v>16279200000</v>
      </c>
      <c r="P17" s="60">
        <f>O17+'Summary 2020'!P17</f>
        <v>44767800000</v>
      </c>
      <c r="Q17" s="89">
        <f t="shared" si="3"/>
        <v>0</v>
      </c>
      <c r="R17" s="17">
        <f t="shared" si="4"/>
        <v>0</v>
      </c>
      <c r="S17" s="17">
        <f t="shared" si="5"/>
        <v>0</v>
      </c>
      <c r="T17" s="17">
        <f>E17/$T$37</f>
        <v>0</v>
      </c>
      <c r="U17" s="17">
        <f t="shared" si="7"/>
        <v>0</v>
      </c>
      <c r="V17" s="17">
        <f t="shared" si="8"/>
        <v>0</v>
      </c>
      <c r="W17" s="17">
        <f t="shared" si="12"/>
        <v>0</v>
      </c>
      <c r="X17" s="17">
        <f t="shared" si="9"/>
        <v>0</v>
      </c>
      <c r="Y17" s="17">
        <f t="shared" si="13"/>
        <v>0</v>
      </c>
      <c r="Z17" s="17">
        <f t="shared" si="14"/>
        <v>0</v>
      </c>
      <c r="AA17" s="17">
        <f t="shared" si="10"/>
        <v>0</v>
      </c>
      <c r="AB17" s="17">
        <f t="shared" si="11"/>
        <v>719681.7</v>
      </c>
      <c r="AC17" s="31">
        <f t="shared" si="15"/>
        <v>719681.7</v>
      </c>
      <c r="AD17" s="146"/>
      <c r="AE17" s="147"/>
      <c r="AF17" s="147"/>
    </row>
    <row r="18" spans="1:32" s="10" customFormat="1" ht="30" customHeight="1">
      <c r="A18" s="33" t="s">
        <v>34</v>
      </c>
      <c r="B18" s="79">
        <v>86742302</v>
      </c>
      <c r="C18" s="79">
        <v>32559136</v>
      </c>
      <c r="D18" s="79">
        <v>32657515</v>
      </c>
      <c r="E18" s="79">
        <v>32657515</v>
      </c>
      <c r="F18" s="79">
        <v>0</v>
      </c>
      <c r="G18" s="79">
        <v>32657515</v>
      </c>
      <c r="H18" s="79">
        <v>32657515</v>
      </c>
      <c r="I18" s="79">
        <v>38084514</v>
      </c>
      <c r="J18" s="79">
        <v>46937220</v>
      </c>
      <c r="K18" s="79">
        <v>47238378</v>
      </c>
      <c r="L18" s="79">
        <v>48095520</v>
      </c>
      <c r="M18" s="79">
        <v>53278373</v>
      </c>
      <c r="N18" s="79">
        <v>95448862</v>
      </c>
      <c r="O18" s="28">
        <f t="shared" si="2"/>
        <v>579014365</v>
      </c>
      <c r="P18" s="60">
        <f>O18+'Summary 2020'!P18</f>
        <v>682727291</v>
      </c>
      <c r="Q18" s="89">
        <f t="shared" si="3"/>
        <v>3779.6210021786492</v>
      </c>
      <c r="R18" s="17">
        <f t="shared" si="4"/>
        <v>1421.7963318777292</v>
      </c>
      <c r="S18" s="17">
        <f t="shared" si="5"/>
        <v>1421.7464083587288</v>
      </c>
      <c r="T18" s="17">
        <f>E18/$T$37</f>
        <v>1423.6057105492589</v>
      </c>
      <c r="U18" s="17">
        <f t="shared" si="7"/>
        <v>1424.5371864776446</v>
      </c>
      <c r="V18" s="17">
        <f t="shared" si="8"/>
        <v>1426.72</v>
      </c>
      <c r="W18" s="17">
        <f t="shared" si="12"/>
        <v>1668.1784494086728</v>
      </c>
      <c r="X18" s="17">
        <f t="shared" si="9"/>
        <v>2072.2800000000002</v>
      </c>
      <c r="Y18" s="17">
        <f t="shared" si="13"/>
        <v>2086.5</v>
      </c>
      <c r="Z18" s="17">
        <f t="shared" si="14"/>
        <v>2125.3000000000002</v>
      </c>
      <c r="AA18" s="17">
        <f t="shared" si="10"/>
        <v>2359.54</v>
      </c>
      <c r="AB18" s="17">
        <f t="shared" si="11"/>
        <v>4219.67</v>
      </c>
      <c r="AC18" s="31">
        <f t="shared" si="15"/>
        <v>25429.495088850686</v>
      </c>
      <c r="AD18" s="146"/>
      <c r="AE18" s="147"/>
      <c r="AF18" s="147"/>
    </row>
    <row r="19" spans="1:32" s="10" customFormat="1" ht="30" customHeight="1">
      <c r="A19" s="33" t="s">
        <v>45</v>
      </c>
      <c r="B19" s="79">
        <v>0</v>
      </c>
      <c r="C19" s="79">
        <v>0</v>
      </c>
      <c r="D19" s="79">
        <v>0</v>
      </c>
      <c r="E19" s="79">
        <v>0</v>
      </c>
      <c r="F19" s="79">
        <v>0</v>
      </c>
      <c r="G19" s="79">
        <v>9471814596</v>
      </c>
      <c r="H19" s="79">
        <v>4212114491</v>
      </c>
      <c r="I19" s="79">
        <v>22838355052</v>
      </c>
      <c r="J19" s="79">
        <v>17356908728</v>
      </c>
      <c r="K19" s="79">
        <v>3783024316</v>
      </c>
      <c r="L19" s="79">
        <v>1867784701</v>
      </c>
      <c r="M19" s="79">
        <v>20738534997</v>
      </c>
      <c r="N19" s="79">
        <f>'[14]Estimate Revenue'!$Q$16</f>
        <v>73403196921</v>
      </c>
      <c r="O19" s="155">
        <f>SUM(B19:N19)</f>
        <v>153671733802</v>
      </c>
      <c r="P19" s="154">
        <f>O19</f>
        <v>153671733802</v>
      </c>
      <c r="Q19" s="89">
        <v>0</v>
      </c>
      <c r="R19" s="89">
        <v>0</v>
      </c>
      <c r="S19" s="89">
        <v>0</v>
      </c>
      <c r="T19" s="89">
        <v>0</v>
      </c>
      <c r="U19" s="89">
        <f>G19/U37</f>
        <v>413165.3040785169</v>
      </c>
      <c r="V19" s="17">
        <f t="shared" si="8"/>
        <v>184015.49</v>
      </c>
      <c r="W19" s="17">
        <f t="shared" si="12"/>
        <v>1000365.9681121332</v>
      </c>
      <c r="X19" s="17">
        <f t="shared" si="9"/>
        <v>766309.44</v>
      </c>
      <c r="Y19" s="17">
        <f t="shared" si="13"/>
        <v>167094.71</v>
      </c>
      <c r="Z19" s="17">
        <f t="shared" si="14"/>
        <v>82535.78</v>
      </c>
      <c r="AA19" s="17">
        <f t="shared" si="10"/>
        <v>918447.08</v>
      </c>
      <c r="AB19" s="17">
        <f t="shared" si="11"/>
        <v>3245057.34</v>
      </c>
      <c r="AC19" s="31">
        <f t="shared" si="15"/>
        <v>6776991.1121906498</v>
      </c>
      <c r="AD19" s="47"/>
    </row>
    <row r="20" spans="1:32" s="10" customFormat="1" ht="30" customHeight="1">
      <c r="A20" s="33" t="s">
        <v>50</v>
      </c>
      <c r="B20" s="79">
        <v>0</v>
      </c>
      <c r="C20" s="79">
        <v>0</v>
      </c>
      <c r="D20" s="79">
        <v>0</v>
      </c>
      <c r="E20" s="79">
        <v>0</v>
      </c>
      <c r="F20" s="79">
        <v>0</v>
      </c>
      <c r="G20" s="79">
        <v>0</v>
      </c>
      <c r="H20" s="79">
        <v>147600763</v>
      </c>
      <c r="I20" s="79">
        <v>385168892</v>
      </c>
      <c r="J20" s="79">
        <v>537140227</v>
      </c>
      <c r="K20" s="79">
        <v>564980017</v>
      </c>
      <c r="L20" s="79">
        <v>554307437</v>
      </c>
      <c r="M20" s="79">
        <v>604592887</v>
      </c>
      <c r="N20" s="79">
        <v>1197970504</v>
      </c>
      <c r="O20" s="28">
        <f t="shared" ref="O20" si="16">SUM(B20:N20)</f>
        <v>3991760727</v>
      </c>
      <c r="P20" s="60">
        <f>O20</f>
        <v>3991760727</v>
      </c>
      <c r="Q20" s="89">
        <f>B20/$Q$37</f>
        <v>0</v>
      </c>
      <c r="R20" s="17">
        <f>C20/$R$37</f>
        <v>0</v>
      </c>
      <c r="S20" s="17">
        <f>D20/$S$37</f>
        <v>0</v>
      </c>
      <c r="T20" s="17">
        <f>E20/$T$37</f>
        <v>0</v>
      </c>
      <c r="U20" s="17">
        <f>G20/$U$37</f>
        <v>0</v>
      </c>
      <c r="V20" s="17">
        <f t="shared" si="8"/>
        <v>6448.26</v>
      </c>
      <c r="W20" s="17">
        <f t="shared" si="12"/>
        <v>16871.173543583005</v>
      </c>
      <c r="X20" s="17">
        <f t="shared" si="9"/>
        <v>23714.799999999999</v>
      </c>
      <c r="Y20" s="17">
        <f t="shared" si="13"/>
        <v>24954.95</v>
      </c>
      <c r="Z20" s="17">
        <f t="shared" si="14"/>
        <v>24494.36</v>
      </c>
      <c r="AA20" s="17">
        <f t="shared" si="10"/>
        <v>26775.59</v>
      </c>
      <c r="AB20" s="17">
        <f t="shared" si="11"/>
        <v>52960.68</v>
      </c>
      <c r="AC20" s="31">
        <f t="shared" si="15"/>
        <v>176219.813543583</v>
      </c>
      <c r="AD20" s="47"/>
    </row>
    <row r="21" spans="1:32" s="10" customFormat="1" ht="30" customHeight="1">
      <c r="A21" s="33" t="s">
        <v>46</v>
      </c>
      <c r="B21" s="79">
        <v>0</v>
      </c>
      <c r="C21" s="79">
        <v>0</v>
      </c>
      <c r="D21" s="79">
        <v>0</v>
      </c>
      <c r="E21" s="79">
        <v>0</v>
      </c>
      <c r="F21" s="79">
        <v>0</v>
      </c>
      <c r="G21" s="79">
        <v>1546250000</v>
      </c>
      <c r="H21" s="79">
        <v>309250000</v>
      </c>
      <c r="I21" s="79">
        <v>309250000</v>
      </c>
      <c r="J21" s="79">
        <v>309250000</v>
      </c>
      <c r="K21" s="79">
        <v>309250000</v>
      </c>
      <c r="L21" s="79">
        <v>617250000</v>
      </c>
      <c r="M21" s="79">
        <v>617250000</v>
      </c>
      <c r="N21" s="79">
        <v>617250000</v>
      </c>
      <c r="O21" s="28">
        <f t="shared" si="2"/>
        <v>4635000000</v>
      </c>
      <c r="P21" s="60">
        <f>O21</f>
        <v>4635000000</v>
      </c>
      <c r="Q21" s="89">
        <v>0</v>
      </c>
      <c r="R21" s="89">
        <v>0</v>
      </c>
      <c r="S21" s="89">
        <v>0</v>
      </c>
      <c r="T21" s="89">
        <v>0</v>
      </c>
      <c r="U21" s="89">
        <f>G21/U37</f>
        <v>67448.200654307526</v>
      </c>
      <c r="V21" s="17">
        <f t="shared" si="8"/>
        <v>13510.27</v>
      </c>
      <c r="W21" s="17">
        <f t="shared" si="12"/>
        <v>13545.773105562856</v>
      </c>
      <c r="X21" s="17">
        <f t="shared" si="9"/>
        <v>13653.42</v>
      </c>
      <c r="Y21" s="17">
        <f t="shared" si="13"/>
        <v>13659.45</v>
      </c>
      <c r="Z21" s="17">
        <f t="shared" si="14"/>
        <v>27275.74</v>
      </c>
      <c r="AA21" s="17">
        <f t="shared" si="10"/>
        <v>27336.14</v>
      </c>
      <c r="AB21" s="17">
        <f t="shared" si="11"/>
        <v>27287.8</v>
      </c>
      <c r="AC21" s="31">
        <f t="shared" si="15"/>
        <v>203716.79375987034</v>
      </c>
      <c r="AD21" s="47"/>
    </row>
    <row r="22" spans="1:32" s="10" customFormat="1" ht="30" customHeight="1">
      <c r="A22" s="119" t="s">
        <v>49</v>
      </c>
      <c r="B22" s="79">
        <v>0</v>
      </c>
      <c r="C22" s="79">
        <v>0</v>
      </c>
      <c r="D22" s="79">
        <v>0</v>
      </c>
      <c r="E22" s="79">
        <v>0</v>
      </c>
      <c r="F22" s="79">
        <v>0</v>
      </c>
      <c r="G22" s="79">
        <v>902616000</v>
      </c>
      <c r="H22" s="79">
        <v>0</v>
      </c>
      <c r="I22" s="79">
        <v>0</v>
      </c>
      <c r="J22" s="79">
        <v>0</v>
      </c>
      <c r="K22" s="79">
        <v>0</v>
      </c>
      <c r="L22" s="79">
        <v>0</v>
      </c>
      <c r="M22" s="79">
        <v>0</v>
      </c>
      <c r="N22" s="79">
        <v>601744000</v>
      </c>
      <c r="O22" s="28">
        <f t="shared" ref="O22" si="17">SUM(B22:N22)</f>
        <v>1504360000</v>
      </c>
      <c r="P22" s="60">
        <f>O22</f>
        <v>1504360000</v>
      </c>
      <c r="Q22" s="89">
        <v>0</v>
      </c>
      <c r="R22" s="89">
        <v>0</v>
      </c>
      <c r="S22" s="89">
        <v>0</v>
      </c>
      <c r="T22" s="89">
        <v>0</v>
      </c>
      <c r="U22" s="89">
        <f>G22/U37</f>
        <v>39372.5627044711</v>
      </c>
      <c r="V22" s="17">
        <f t="shared" si="8"/>
        <v>0</v>
      </c>
      <c r="W22" s="17">
        <f t="shared" si="12"/>
        <v>0</v>
      </c>
      <c r="X22" s="17">
        <f t="shared" si="9"/>
        <v>0</v>
      </c>
      <c r="Y22" s="17">
        <f t="shared" si="13"/>
        <v>0</v>
      </c>
      <c r="Z22" s="17">
        <f t="shared" si="14"/>
        <v>0</v>
      </c>
      <c r="AA22" s="17">
        <f t="shared" si="10"/>
        <v>0</v>
      </c>
      <c r="AB22" s="17">
        <f t="shared" si="11"/>
        <v>26602.3</v>
      </c>
      <c r="AC22" s="31">
        <f t="shared" si="15"/>
        <v>65974.862704471103</v>
      </c>
      <c r="AD22" s="47" t="s">
        <v>81</v>
      </c>
    </row>
    <row r="23" spans="1:32" s="14" customFormat="1" ht="30" customHeight="1">
      <c r="A23" s="32" t="s">
        <v>15</v>
      </c>
      <c r="B23" s="27">
        <f>SUM(B24:B35)</f>
        <v>8759942279</v>
      </c>
      <c r="C23" s="27">
        <f t="shared" ref="C23:I23" si="18">SUM(C24:C35)</f>
        <v>36898460063</v>
      </c>
      <c r="D23" s="27">
        <f t="shared" si="18"/>
        <v>38928215723</v>
      </c>
      <c r="E23" s="27">
        <f t="shared" si="18"/>
        <v>90590348806</v>
      </c>
      <c r="F23" s="27">
        <f t="shared" si="18"/>
        <v>0</v>
      </c>
      <c r="G23" s="27">
        <f>SUM(G24:G36)</f>
        <v>76178390668</v>
      </c>
      <c r="H23" s="27">
        <f>SUM(H24:H36)</f>
        <v>60062094100</v>
      </c>
      <c r="I23" s="27">
        <f t="shared" si="18"/>
        <v>53281729906</v>
      </c>
      <c r="J23" s="27">
        <f>SUM(J24:J36)</f>
        <v>39625190135</v>
      </c>
      <c r="K23" s="27">
        <f>SUM(K24:K36)</f>
        <v>22707298411</v>
      </c>
      <c r="L23" s="27">
        <f>SUM(L24:L36)</f>
        <v>16013447233</v>
      </c>
      <c r="M23" s="27">
        <f>SUM(M24:M36)</f>
        <v>46089635052</v>
      </c>
      <c r="N23" s="27">
        <f t="shared" ref="N23" si="19">SUM(N24:N36)</f>
        <v>129162659852</v>
      </c>
      <c r="O23" s="27">
        <f>SUM(O24:O36)</f>
        <v>618297412228</v>
      </c>
      <c r="P23" s="27" t="e">
        <f>SUM(P24:P36)</f>
        <v>#REF!</v>
      </c>
      <c r="Q23" s="30">
        <f>SUM(Q24:Q35)</f>
        <v>381696.83132897603</v>
      </c>
      <c r="R23" s="30">
        <f t="shared" ref="R23:T23" si="20">SUM(R24:R35)</f>
        <v>1611286.4656331877</v>
      </c>
      <c r="S23" s="30">
        <f t="shared" si="20"/>
        <v>1694741.6509795384</v>
      </c>
      <c r="T23" s="30">
        <f t="shared" si="20"/>
        <v>3949012.5896251085</v>
      </c>
      <c r="U23" s="30">
        <f>SUM(U24:U36)</f>
        <v>3322939.6147437291</v>
      </c>
      <c r="V23" s="30">
        <f t="shared" ref="V23:AB23" si="21">SUM(V24:V36)</f>
        <v>2623944.6899999995</v>
      </c>
      <c r="W23" s="30">
        <f t="shared" si="21"/>
        <v>2333847.1268506348</v>
      </c>
      <c r="X23" s="30">
        <f t="shared" si="21"/>
        <v>1749456.5199999998</v>
      </c>
      <c r="Y23" s="30">
        <f t="shared" si="21"/>
        <v>1002972.55</v>
      </c>
      <c r="Z23" s="30">
        <f t="shared" si="21"/>
        <v>707620.3</v>
      </c>
      <c r="AA23" s="30">
        <f>SUM(AA24:AA36)</f>
        <v>2041170.7299999995</v>
      </c>
      <c r="AB23" s="30">
        <f t="shared" si="21"/>
        <v>5710108.7400000002</v>
      </c>
      <c r="AC23" s="30">
        <f>SUM(AC24:AC36)</f>
        <v>27128797.809161179</v>
      </c>
      <c r="AD23" s="34">
        <f>AC23-'[11]IS (01)'!$G$14</f>
        <v>2.3803673684597015E-3</v>
      </c>
      <c r="AE23" s="148">
        <f>O23-'[11]IS (01)'!$L$14</f>
        <v>0</v>
      </c>
    </row>
    <row r="24" spans="1:32" s="10" customFormat="1" ht="30" customHeight="1">
      <c r="A24" s="33" t="s">
        <v>4</v>
      </c>
      <c r="B24" s="15">
        <v>0</v>
      </c>
      <c r="C24" s="15">
        <v>0</v>
      </c>
      <c r="D24" s="15">
        <v>0</v>
      </c>
      <c r="E24" s="15">
        <v>0</v>
      </c>
      <c r="F24" s="78">
        <v>0</v>
      </c>
      <c r="G24" s="15">
        <v>0</v>
      </c>
      <c r="H24" s="15">
        <v>0</v>
      </c>
      <c r="I24" s="15">
        <v>0</v>
      </c>
      <c r="J24" s="15">
        <v>0</v>
      </c>
      <c r="K24" s="15">
        <v>0</v>
      </c>
      <c r="L24" s="15">
        <v>0</v>
      </c>
      <c r="M24" s="15">
        <v>0</v>
      </c>
      <c r="N24" s="15">
        <v>0</v>
      </c>
      <c r="O24" s="28">
        <f t="shared" ref="O24:O35" si="22">SUM(B24:N24)</f>
        <v>0</v>
      </c>
      <c r="P24" s="60" t="e">
        <f>O24+'Summary 2020'!Q20</f>
        <v>#REF!</v>
      </c>
      <c r="Q24" s="17">
        <f t="shared" ref="Q24:Q32" si="23">B24/$Q$37</f>
        <v>0</v>
      </c>
      <c r="R24" s="17">
        <f t="shared" ref="R24:R32" si="24">C24/$R$37</f>
        <v>0</v>
      </c>
      <c r="S24" s="17">
        <f t="shared" ref="S24:S32" si="25">D24/$S$37</f>
        <v>0</v>
      </c>
      <c r="T24" s="17">
        <f t="shared" ref="T24:T32" si="26">E24/$T$37</f>
        <v>0</v>
      </c>
      <c r="U24" s="17">
        <f t="shared" ref="U24:U32" si="27">G24/$U$37</f>
        <v>0</v>
      </c>
      <c r="V24" s="17">
        <f>ROUND(H24/$V$37,2)</f>
        <v>0</v>
      </c>
      <c r="W24" s="17">
        <f t="shared" ref="W24:W36" si="28">I24/$W$37</f>
        <v>0</v>
      </c>
      <c r="X24" s="17">
        <f t="shared" si="9"/>
        <v>0</v>
      </c>
      <c r="Y24" s="17">
        <f t="shared" ref="Y24:Y36" si="29">ROUND(K24/$Y$37,2)</f>
        <v>0</v>
      </c>
      <c r="Z24" s="17">
        <f>ROUND(L24/$Z$37,2)</f>
        <v>0</v>
      </c>
      <c r="AA24" s="17">
        <f>ROUND(M24/$AA$37,2)</f>
        <v>0</v>
      </c>
      <c r="AB24" s="17">
        <f t="shared" si="11"/>
        <v>0</v>
      </c>
      <c r="AC24" s="31">
        <f>SUM(Q24:AB24)</f>
        <v>0</v>
      </c>
      <c r="AD24" s="47"/>
    </row>
    <row r="25" spans="1:32" s="10" customFormat="1" ht="30" customHeight="1">
      <c r="A25" s="33" t="s">
        <v>1</v>
      </c>
      <c r="B25" s="15">
        <v>1943229</v>
      </c>
      <c r="C25" s="15">
        <v>1363576383</v>
      </c>
      <c r="D25" s="15">
        <v>1168293016</v>
      </c>
      <c r="E25" s="15">
        <v>1298986523</v>
      </c>
      <c r="F25" s="78">
        <v>0</v>
      </c>
      <c r="G25" s="78">
        <v>1300146044</v>
      </c>
      <c r="H25" s="15">
        <v>1306687177</v>
      </c>
      <c r="I25" s="20">
        <v>1270305951</v>
      </c>
      <c r="J25" s="20">
        <v>1550768132</v>
      </c>
      <c r="K25" s="20">
        <v>1250192191</v>
      </c>
      <c r="L25" s="20">
        <v>1237934807</v>
      </c>
      <c r="M25" s="20">
        <v>1349579938</v>
      </c>
      <c r="N25" s="16">
        <v>2815823406</v>
      </c>
      <c r="O25" s="28">
        <f t="shared" si="22"/>
        <v>15914236797</v>
      </c>
      <c r="P25" s="60" t="e">
        <f>O25+'Summary 2020'!Q21</f>
        <v>#REF!</v>
      </c>
      <c r="Q25" s="17">
        <f t="shared" si="23"/>
        <v>84.672287581699351</v>
      </c>
      <c r="R25" s="17">
        <f t="shared" si="24"/>
        <v>59544.82021834061</v>
      </c>
      <c r="S25" s="17">
        <f t="shared" si="25"/>
        <v>50861.689856334349</v>
      </c>
      <c r="T25" s="17">
        <f t="shared" si="26"/>
        <v>56625.3933304272</v>
      </c>
      <c r="U25" s="17">
        <f t="shared" si="27"/>
        <v>56713.022639040348</v>
      </c>
      <c r="V25" s="17">
        <f>ROUND(H25/$V$37,2)</f>
        <v>57085.5</v>
      </c>
      <c r="W25" s="17">
        <f t="shared" si="28"/>
        <v>55641.960183968462</v>
      </c>
      <c r="X25" s="17">
        <f t="shared" si="9"/>
        <v>68466.58</v>
      </c>
      <c r="Y25" s="17">
        <f t="shared" si="29"/>
        <v>55220.5</v>
      </c>
      <c r="Z25" s="17">
        <f t="shared" ref="Z25:Z36" si="30">ROUND(L25/$Z$37,2)</f>
        <v>54703.26</v>
      </c>
      <c r="AA25" s="17">
        <f t="shared" ref="AA25:AA36" si="31">ROUND(M25/$AA$37,2)</f>
        <v>59768.82</v>
      </c>
      <c r="AB25" s="17">
        <f t="shared" si="11"/>
        <v>124483.79</v>
      </c>
      <c r="AC25" s="31">
        <f>SUM(Q25:AB25)</f>
        <v>699200.00851569267</v>
      </c>
      <c r="AD25" s="47"/>
    </row>
    <row r="26" spans="1:32" s="10" customFormat="1" ht="30" customHeight="1">
      <c r="A26" s="33" t="s">
        <v>11</v>
      </c>
      <c r="B26" s="15">
        <v>2161727413</v>
      </c>
      <c r="C26" s="16">
        <v>2818126568</v>
      </c>
      <c r="D26" s="15">
        <v>1700173439</v>
      </c>
      <c r="E26" s="15">
        <v>1002077803</v>
      </c>
      <c r="F26" s="78">
        <v>0</v>
      </c>
      <c r="G26" s="78">
        <v>1200284193</v>
      </c>
      <c r="H26" s="15">
        <v>1001932697</v>
      </c>
      <c r="I26" s="20">
        <v>1190649535</v>
      </c>
      <c r="J26" s="20">
        <v>494029101</v>
      </c>
      <c r="K26" s="20">
        <v>526663186</v>
      </c>
      <c r="L26" s="20">
        <v>790776148</v>
      </c>
      <c r="M26" s="20">
        <v>672477084</v>
      </c>
      <c r="N26" s="16">
        <v>3489640134</v>
      </c>
      <c r="O26" s="28">
        <f>SUM(B26:N26)</f>
        <v>17048557301</v>
      </c>
      <c r="P26" s="60">
        <f>O26+'Summary 2020'!Q22</f>
        <v>1968442082468</v>
      </c>
      <c r="Q26" s="17">
        <f t="shared" si="23"/>
        <v>94192.915599128537</v>
      </c>
      <c r="R26" s="17">
        <f t="shared" si="24"/>
        <v>123062.29554585154</v>
      </c>
      <c r="S26" s="17">
        <f t="shared" si="25"/>
        <v>74017.128384849799</v>
      </c>
      <c r="T26" s="17">
        <f t="shared" si="26"/>
        <v>43682.554620749783</v>
      </c>
      <c r="U26" s="17">
        <f t="shared" si="27"/>
        <v>52356.998604143948</v>
      </c>
      <c r="V26" s="17">
        <f t="shared" ref="V26:V36" si="32">ROUND(H26/$V$37,2)</f>
        <v>43771.63</v>
      </c>
      <c r="W26" s="17">
        <f t="shared" si="28"/>
        <v>52152.848664038545</v>
      </c>
      <c r="X26" s="17">
        <f t="shared" si="9"/>
        <v>21811.439999999999</v>
      </c>
      <c r="Y26" s="17">
        <f t="shared" si="29"/>
        <v>23262.51</v>
      </c>
      <c r="Z26" s="17">
        <f t="shared" si="30"/>
        <v>34943.71</v>
      </c>
      <c r="AA26" s="17">
        <f t="shared" si="31"/>
        <v>29781.98</v>
      </c>
      <c r="AB26" s="17">
        <f t="shared" si="11"/>
        <v>154272.32999999999</v>
      </c>
      <c r="AC26" s="31">
        <f>SUM(Q26:AB26)</f>
        <v>747308.34141876199</v>
      </c>
      <c r="AD26" s="47"/>
    </row>
    <row r="27" spans="1:32" s="10" customFormat="1" ht="30" customHeight="1">
      <c r="A27" s="33" t="s">
        <v>9</v>
      </c>
      <c r="B27" s="15">
        <v>0</v>
      </c>
      <c r="C27" s="15">
        <v>0</v>
      </c>
      <c r="D27" s="15">
        <v>0</v>
      </c>
      <c r="E27" s="15">
        <v>0</v>
      </c>
      <c r="F27" s="78">
        <v>0</v>
      </c>
      <c r="G27" s="15">
        <v>0</v>
      </c>
      <c r="H27" s="15">
        <v>0</v>
      </c>
      <c r="I27" s="15">
        <v>0</v>
      </c>
      <c r="J27" s="15">
        <v>0</v>
      </c>
      <c r="K27" s="15">
        <v>0</v>
      </c>
      <c r="L27" s="15">
        <v>0</v>
      </c>
      <c r="M27" s="15">
        <v>0</v>
      </c>
      <c r="N27" s="15">
        <v>0</v>
      </c>
      <c r="O27" s="28">
        <f t="shared" si="22"/>
        <v>0</v>
      </c>
      <c r="P27" s="60" t="e">
        <f>O27+'Summary 2020'!Q23</f>
        <v>#REF!</v>
      </c>
      <c r="Q27" s="17">
        <f t="shared" si="23"/>
        <v>0</v>
      </c>
      <c r="R27" s="17">
        <f t="shared" si="24"/>
        <v>0</v>
      </c>
      <c r="S27" s="17">
        <f t="shared" si="25"/>
        <v>0</v>
      </c>
      <c r="T27" s="17">
        <f t="shared" si="26"/>
        <v>0</v>
      </c>
      <c r="U27" s="17">
        <f t="shared" si="27"/>
        <v>0</v>
      </c>
      <c r="V27" s="17">
        <f t="shared" si="32"/>
        <v>0</v>
      </c>
      <c r="W27" s="17">
        <f t="shared" si="28"/>
        <v>0</v>
      </c>
      <c r="X27" s="17">
        <f t="shared" si="9"/>
        <v>0</v>
      </c>
      <c r="Y27" s="17">
        <f t="shared" si="29"/>
        <v>0</v>
      </c>
      <c r="Z27" s="17">
        <f t="shared" si="30"/>
        <v>0</v>
      </c>
      <c r="AA27" s="17">
        <f t="shared" si="31"/>
        <v>0</v>
      </c>
      <c r="AB27" s="17">
        <f t="shared" si="11"/>
        <v>0</v>
      </c>
      <c r="AC27" s="31">
        <f t="shared" ref="AC27:AC29" si="33">SUM(Q27:AB27)</f>
        <v>0</v>
      </c>
      <c r="AD27" s="47"/>
    </row>
    <row r="28" spans="1:32" s="10" customFormat="1" ht="30" customHeight="1">
      <c r="A28" s="33" t="s">
        <v>21</v>
      </c>
      <c r="B28" s="16">
        <v>154322576</v>
      </c>
      <c r="C28" s="16">
        <v>1816757754</v>
      </c>
      <c r="D28" s="16">
        <v>1367941351</v>
      </c>
      <c r="E28" s="16">
        <v>1646237252</v>
      </c>
      <c r="F28" s="78">
        <v>0</v>
      </c>
      <c r="G28" s="79">
        <v>1323635621</v>
      </c>
      <c r="H28" s="15">
        <v>1522893494</v>
      </c>
      <c r="I28" s="20">
        <v>1445806674</v>
      </c>
      <c r="J28" s="20">
        <v>1268765174</v>
      </c>
      <c r="K28" s="20">
        <v>1248556211</v>
      </c>
      <c r="L28" s="20">
        <v>1323273755</v>
      </c>
      <c r="M28" s="20">
        <v>1558203339</v>
      </c>
      <c r="N28" s="16">
        <v>2629708031</v>
      </c>
      <c r="O28" s="28">
        <f>SUM(B28:N28)</f>
        <v>17306101232</v>
      </c>
      <c r="P28" s="60">
        <f>O28+'Summary 2020'!Q24</f>
        <v>39808708739</v>
      </c>
      <c r="Q28" s="17">
        <f t="shared" si="23"/>
        <v>6724.2952505446619</v>
      </c>
      <c r="R28" s="17">
        <f t="shared" si="24"/>
        <v>79334.399737991262</v>
      </c>
      <c r="S28" s="17">
        <f t="shared" si="25"/>
        <v>59553.389246843712</v>
      </c>
      <c r="T28" s="17">
        <f t="shared" si="26"/>
        <v>71762.739843068877</v>
      </c>
      <c r="U28" s="17">
        <f t="shared" si="27"/>
        <v>57737.649770992364</v>
      </c>
      <c r="V28" s="17">
        <f t="shared" si="32"/>
        <v>66530.95</v>
      </c>
      <c r="W28" s="17">
        <f t="shared" si="28"/>
        <v>63329.245466491462</v>
      </c>
      <c r="X28" s="17">
        <f t="shared" si="9"/>
        <v>56016.12</v>
      </c>
      <c r="Y28" s="17">
        <f t="shared" si="29"/>
        <v>55148.24</v>
      </c>
      <c r="Z28" s="17">
        <f t="shared" si="30"/>
        <v>58474.32</v>
      </c>
      <c r="AA28" s="17">
        <f t="shared" si="31"/>
        <v>69008.12</v>
      </c>
      <c r="AB28" s="17">
        <f t="shared" si="11"/>
        <v>116255.88</v>
      </c>
      <c r="AC28" s="31">
        <f t="shared" si="33"/>
        <v>759875.34931593225</v>
      </c>
      <c r="AD28" s="47"/>
    </row>
    <row r="29" spans="1:32" s="10" customFormat="1" ht="30" customHeight="1">
      <c r="A29" s="33" t="s">
        <v>22</v>
      </c>
      <c r="B29" s="16">
        <v>1784463947</v>
      </c>
      <c r="C29" s="16">
        <v>7041264801</v>
      </c>
      <c r="D29" s="16">
        <v>4220141114</v>
      </c>
      <c r="E29" s="16">
        <v>28565170968</v>
      </c>
      <c r="F29" s="78">
        <v>0</v>
      </c>
      <c r="G29" s="79">
        <v>21778056361</v>
      </c>
      <c r="H29" s="16">
        <v>20525221122</v>
      </c>
      <c r="I29" s="16">
        <v>17258297875</v>
      </c>
      <c r="J29" s="16">
        <v>15328814826</v>
      </c>
      <c r="K29" s="20">
        <v>4461854136</v>
      </c>
      <c r="L29" s="16">
        <v>9623638921</v>
      </c>
      <c r="M29" s="16">
        <v>21768475725</v>
      </c>
      <c r="N29" s="16">
        <v>39923505918</v>
      </c>
      <c r="O29" s="28">
        <f>SUM(B29:N29)</f>
        <v>192278905714</v>
      </c>
      <c r="P29" s="60">
        <f>O29+'Summary 2020'!Q25</f>
        <v>369166402408</v>
      </c>
      <c r="Q29" s="17">
        <f t="shared" si="23"/>
        <v>77754.420348583881</v>
      </c>
      <c r="R29" s="17">
        <f t="shared" si="24"/>
        <v>307478.81227074238</v>
      </c>
      <c r="S29" s="17">
        <f t="shared" si="25"/>
        <v>183724.03630822813</v>
      </c>
      <c r="T29" s="17">
        <f t="shared" si="26"/>
        <v>1245212.3351351351</v>
      </c>
      <c r="U29" s="17">
        <f t="shared" si="27"/>
        <v>949969.74311886588</v>
      </c>
      <c r="V29" s="17">
        <f t="shared" si="32"/>
        <v>896689.43</v>
      </c>
      <c r="W29" s="17">
        <f t="shared" si="28"/>
        <v>755948.22054314497</v>
      </c>
      <c r="X29" s="17">
        <f t="shared" si="9"/>
        <v>676768.87</v>
      </c>
      <c r="Y29" s="17">
        <f t="shared" si="29"/>
        <v>197078.36</v>
      </c>
      <c r="Z29" s="17">
        <f t="shared" si="30"/>
        <v>425260.23</v>
      </c>
      <c r="AA29" s="17">
        <f t="shared" si="31"/>
        <v>964060.04</v>
      </c>
      <c r="AB29" s="17">
        <f t="shared" si="11"/>
        <v>1764964.89</v>
      </c>
      <c r="AC29" s="31">
        <f t="shared" si="33"/>
        <v>8444909.3877247013</v>
      </c>
      <c r="AD29" s="47"/>
    </row>
    <row r="30" spans="1:32" s="10" customFormat="1" ht="30" customHeight="1">
      <c r="A30" s="33" t="s">
        <v>23</v>
      </c>
      <c r="B30" s="16">
        <v>4627885900</v>
      </c>
      <c r="C30" s="16">
        <v>23837365907</v>
      </c>
      <c r="D30" s="16">
        <v>30441978153</v>
      </c>
      <c r="E30" s="16">
        <v>58048187610</v>
      </c>
      <c r="F30" s="78">
        <v>0</v>
      </c>
      <c r="G30" s="79">
        <v>40244584037</v>
      </c>
      <c r="H30" s="16">
        <v>31636632440</v>
      </c>
      <c r="I30" s="16">
        <v>11605205359</v>
      </c>
      <c r="J30" s="20">
        <v>5141751251</v>
      </c>
      <c r="K30" s="20">
        <v>11132342815</v>
      </c>
      <c r="L30" s="16">
        <v>256052786</v>
      </c>
      <c r="M30" s="16">
        <v>1626826980</v>
      </c>
      <c r="N30" s="16">
        <v>6301617899</v>
      </c>
      <c r="O30" s="28">
        <f t="shared" si="22"/>
        <v>224900431137</v>
      </c>
      <c r="P30" s="60">
        <f>O30+'Summary 2020'!Q26</f>
        <v>452508717896</v>
      </c>
      <c r="Q30" s="17">
        <f t="shared" si="23"/>
        <v>201650.8017429194</v>
      </c>
      <c r="R30" s="17">
        <f t="shared" si="24"/>
        <v>1040933.0090393013</v>
      </c>
      <c r="S30" s="17">
        <f t="shared" si="25"/>
        <v>1325292.910448411</v>
      </c>
      <c r="T30" s="17">
        <f t="shared" si="26"/>
        <v>2530435.3796861377</v>
      </c>
      <c r="U30" s="17">
        <f t="shared" si="27"/>
        <v>1755488.9438167938</v>
      </c>
      <c r="V30" s="17">
        <f t="shared" si="32"/>
        <v>1382115.88</v>
      </c>
      <c r="W30" s="17">
        <f t="shared" si="28"/>
        <v>508331.37796758651</v>
      </c>
      <c r="X30" s="17">
        <f t="shared" si="9"/>
        <v>227008.89</v>
      </c>
      <c r="Y30" s="17">
        <f t="shared" si="29"/>
        <v>491711.26</v>
      </c>
      <c r="Z30" s="17">
        <f t="shared" si="30"/>
        <v>11314.75</v>
      </c>
      <c r="AA30" s="17">
        <f t="shared" si="31"/>
        <v>72047.25</v>
      </c>
      <c r="AB30" s="17">
        <f t="shared" si="11"/>
        <v>278586.11</v>
      </c>
      <c r="AC30" s="31">
        <f>SUM(Q30:AB30)</f>
        <v>9824916.5627011489</v>
      </c>
      <c r="AD30" s="47"/>
    </row>
    <row r="31" spans="1:32" s="10" customFormat="1" ht="30" customHeight="1">
      <c r="A31" s="33" t="s">
        <v>33</v>
      </c>
      <c r="B31" s="20">
        <v>0</v>
      </c>
      <c r="C31" s="20">
        <v>0</v>
      </c>
      <c r="D31" s="20">
        <v>0</v>
      </c>
      <c r="E31" s="20">
        <v>0</v>
      </c>
      <c r="F31" s="78">
        <v>0</v>
      </c>
      <c r="G31" s="20">
        <v>0</v>
      </c>
      <c r="H31" s="20">
        <v>0</v>
      </c>
      <c r="I31" s="20">
        <v>0</v>
      </c>
      <c r="J31" s="20">
        <v>0</v>
      </c>
      <c r="K31" s="20">
        <v>0</v>
      </c>
      <c r="L31" s="16">
        <v>0</v>
      </c>
      <c r="M31" s="16">
        <v>0</v>
      </c>
      <c r="N31" s="16">
        <v>7932978086</v>
      </c>
      <c r="O31" s="28">
        <f t="shared" si="22"/>
        <v>7932978086</v>
      </c>
      <c r="P31" s="60">
        <f>O31+'Summary 2020'!Q27</f>
        <v>8764561696</v>
      </c>
      <c r="Q31" s="17">
        <f t="shared" si="23"/>
        <v>0</v>
      </c>
      <c r="R31" s="17">
        <f t="shared" si="24"/>
        <v>0</v>
      </c>
      <c r="S31" s="17">
        <f t="shared" si="25"/>
        <v>0</v>
      </c>
      <c r="T31" s="17">
        <f t="shared" si="26"/>
        <v>0</v>
      </c>
      <c r="U31" s="17">
        <f t="shared" si="27"/>
        <v>0</v>
      </c>
      <c r="V31" s="17">
        <f t="shared" si="32"/>
        <v>0</v>
      </c>
      <c r="W31" s="17">
        <f t="shared" si="28"/>
        <v>0</v>
      </c>
      <c r="X31" s="17">
        <f t="shared" si="9"/>
        <v>0</v>
      </c>
      <c r="Y31" s="17">
        <f t="shared" si="29"/>
        <v>0</v>
      </c>
      <c r="Z31" s="17">
        <f t="shared" si="30"/>
        <v>0</v>
      </c>
      <c r="AA31" s="17">
        <f t="shared" si="31"/>
        <v>0</v>
      </c>
      <c r="AB31" s="17">
        <f t="shared" si="11"/>
        <v>350706.37</v>
      </c>
      <c r="AC31" s="31">
        <f>SUM(Q31:AB31)</f>
        <v>350706.37</v>
      </c>
      <c r="AD31" s="47"/>
    </row>
    <row r="32" spans="1:32" s="10" customFormat="1" ht="30" customHeight="1">
      <c r="A32" s="33" t="s">
        <v>34</v>
      </c>
      <c r="B32" s="20">
        <v>29599214</v>
      </c>
      <c r="C32" s="20">
        <v>21368650</v>
      </c>
      <c r="D32" s="20">
        <v>29688650</v>
      </c>
      <c r="E32" s="20">
        <v>29688650</v>
      </c>
      <c r="F32" s="78">
        <v>0</v>
      </c>
      <c r="G32" s="20">
        <v>29688650</v>
      </c>
      <c r="H32" s="20">
        <v>34622285</v>
      </c>
      <c r="I32" s="20">
        <v>42670200</v>
      </c>
      <c r="J32" s="20">
        <v>42943980</v>
      </c>
      <c r="K32" s="20">
        <v>45323200</v>
      </c>
      <c r="L32" s="20">
        <v>48434884</v>
      </c>
      <c r="M32" s="20">
        <v>43385846</v>
      </c>
      <c r="N32" s="16">
        <v>95807489</v>
      </c>
      <c r="O32" s="28">
        <f t="shared" si="22"/>
        <v>493221698</v>
      </c>
      <c r="P32" s="60">
        <f>O32+'Summary 2020'!Q28</f>
        <v>587506176</v>
      </c>
      <c r="Q32" s="17">
        <f t="shared" si="23"/>
        <v>1289.726100217865</v>
      </c>
      <c r="R32" s="17">
        <f t="shared" si="24"/>
        <v>933.1288209606987</v>
      </c>
      <c r="S32" s="17">
        <f t="shared" si="25"/>
        <v>1292.4967348715716</v>
      </c>
      <c r="T32" s="17">
        <f t="shared" si="26"/>
        <v>1294.1870095902354</v>
      </c>
      <c r="U32" s="17">
        <f t="shared" si="27"/>
        <v>1295.0338058887678</v>
      </c>
      <c r="V32" s="17">
        <f t="shared" si="32"/>
        <v>1512.55</v>
      </c>
      <c r="W32" s="17">
        <f t="shared" si="28"/>
        <v>1869.0407358738503</v>
      </c>
      <c r="X32" s="17">
        <f t="shared" si="9"/>
        <v>1895.98</v>
      </c>
      <c r="Y32" s="17">
        <f t="shared" si="29"/>
        <v>2001.91</v>
      </c>
      <c r="Z32" s="17">
        <f t="shared" si="30"/>
        <v>2140.3000000000002</v>
      </c>
      <c r="AA32" s="17">
        <f t="shared" si="31"/>
        <v>1921.43</v>
      </c>
      <c r="AB32" s="17">
        <f t="shared" si="11"/>
        <v>4235.5200000000004</v>
      </c>
      <c r="AC32" s="31">
        <f>SUM(Q32:AB32)</f>
        <v>21681.303207402991</v>
      </c>
      <c r="AD32" s="47"/>
    </row>
    <row r="33" spans="1:31" s="10" customFormat="1" ht="30" customHeight="1">
      <c r="A33" s="33" t="s">
        <v>45</v>
      </c>
      <c r="B33" s="20">
        <v>0</v>
      </c>
      <c r="C33" s="20">
        <v>0</v>
      </c>
      <c r="D33" s="20">
        <v>0</v>
      </c>
      <c r="E33" s="20">
        <v>0</v>
      </c>
      <c r="F33" s="20">
        <v>0</v>
      </c>
      <c r="G33" s="20">
        <v>8236689973</v>
      </c>
      <c r="H33" s="20">
        <v>3662854761</v>
      </c>
      <c r="I33" s="20">
        <v>19860233553</v>
      </c>
      <c r="J33" s="20">
        <v>15093567830</v>
      </c>
      <c r="K33" s="20">
        <v>3289717945</v>
      </c>
      <c r="L33" s="20">
        <v>1624225576</v>
      </c>
      <c r="M33" s="20">
        <v>18034230033</v>
      </c>
      <c r="N33" s="16">
        <v>63831420043</v>
      </c>
      <c r="O33" s="28">
        <f t="shared" si="22"/>
        <v>133632939714</v>
      </c>
      <c r="P33" s="60">
        <f>O33</f>
        <v>133632939714</v>
      </c>
      <c r="Q33" s="17">
        <v>0</v>
      </c>
      <c r="R33" s="17">
        <v>0</v>
      </c>
      <c r="S33" s="17">
        <v>0</v>
      </c>
      <c r="T33" s="17">
        <v>0</v>
      </c>
      <c r="U33" s="17">
        <f>G33/U37</f>
        <v>359288.54844056704</v>
      </c>
      <c r="V33" s="17">
        <f t="shared" si="32"/>
        <v>160019.87</v>
      </c>
      <c r="W33" s="17">
        <f t="shared" si="28"/>
        <v>869918.24586070958</v>
      </c>
      <c r="X33" s="17">
        <f t="shared" si="9"/>
        <v>666382.68999999994</v>
      </c>
      <c r="Y33" s="17">
        <f t="shared" si="29"/>
        <v>145305.56</v>
      </c>
      <c r="Z33" s="17">
        <f t="shared" si="30"/>
        <v>71773.11</v>
      </c>
      <c r="AA33" s="17">
        <f t="shared" si="31"/>
        <v>798681.58</v>
      </c>
      <c r="AB33" s="17">
        <f t="shared" si="11"/>
        <v>2821901.86</v>
      </c>
      <c r="AC33" s="31">
        <f t="shared" ref="AC33:AC36" si="34">SUM(Q33:AB33)</f>
        <v>5893271.464301277</v>
      </c>
      <c r="AD33" s="47"/>
    </row>
    <row r="34" spans="1:31" s="10" customFormat="1" ht="30" customHeight="1">
      <c r="A34" s="33" t="s">
        <v>50</v>
      </c>
      <c r="B34" s="120">
        <v>0</v>
      </c>
      <c r="C34" s="120">
        <v>0</v>
      </c>
      <c r="D34" s="120">
        <v>0</v>
      </c>
      <c r="E34" s="120">
        <v>0</v>
      </c>
      <c r="F34" s="120">
        <v>0</v>
      </c>
      <c r="G34" s="120">
        <v>0</v>
      </c>
      <c r="H34" s="120">
        <v>134182512</v>
      </c>
      <c r="I34" s="120">
        <v>350153538</v>
      </c>
      <c r="J34" s="120">
        <v>488309297</v>
      </c>
      <c r="K34" s="120">
        <v>513618197</v>
      </c>
      <c r="L34" s="120">
        <v>503915852</v>
      </c>
      <c r="M34" s="120">
        <v>514764897</v>
      </c>
      <c r="N34" s="79">
        <v>1115512043</v>
      </c>
      <c r="O34" s="28">
        <f t="shared" ref="O34" si="35">SUM(B34:N34)</f>
        <v>3620456336</v>
      </c>
      <c r="P34" s="60">
        <f>O34+'Summary 2020'!Q30</f>
        <v>3620456336</v>
      </c>
      <c r="Q34" s="17">
        <f>B34/$Q$37</f>
        <v>0</v>
      </c>
      <c r="R34" s="17">
        <f>C34/$R$37</f>
        <v>0</v>
      </c>
      <c r="S34" s="17">
        <f>D34/$S$37</f>
        <v>0</v>
      </c>
      <c r="T34" s="17">
        <f>E34/$T$37</f>
        <v>0</v>
      </c>
      <c r="U34" s="17">
        <f>G34/$U$37</f>
        <v>0</v>
      </c>
      <c r="V34" s="17">
        <f t="shared" si="32"/>
        <v>5862.06</v>
      </c>
      <c r="W34" s="17">
        <f t="shared" si="28"/>
        <v>15337.430486202366</v>
      </c>
      <c r="X34" s="17">
        <f t="shared" si="9"/>
        <v>21558.91</v>
      </c>
      <c r="Y34" s="17">
        <f t="shared" si="29"/>
        <v>22686.32</v>
      </c>
      <c r="Z34" s="17">
        <f t="shared" si="30"/>
        <v>22267.599999999999</v>
      </c>
      <c r="AA34" s="17">
        <f t="shared" si="31"/>
        <v>22797.38</v>
      </c>
      <c r="AB34" s="17">
        <f t="shared" si="11"/>
        <v>49315.3</v>
      </c>
      <c r="AC34" s="31">
        <f>SUM(Q34:AB34)</f>
        <v>159825.00048620236</v>
      </c>
      <c r="AD34" s="47"/>
    </row>
    <row r="35" spans="1:31" s="10" customFormat="1" ht="30" customHeight="1">
      <c r="A35" s="33" t="s">
        <v>46</v>
      </c>
      <c r="B35" s="20">
        <v>0</v>
      </c>
      <c r="C35" s="20">
        <v>0</v>
      </c>
      <c r="D35" s="20">
        <v>0</v>
      </c>
      <c r="E35" s="20">
        <v>0</v>
      </c>
      <c r="F35" s="20">
        <v>0</v>
      </c>
      <c r="G35" s="20">
        <v>1244745789</v>
      </c>
      <c r="H35" s="20">
        <v>237067612</v>
      </c>
      <c r="I35" s="20">
        <v>258407221</v>
      </c>
      <c r="J35" s="20">
        <v>216240544</v>
      </c>
      <c r="K35" s="20">
        <v>239030530</v>
      </c>
      <c r="L35" s="20">
        <v>605194504</v>
      </c>
      <c r="M35" s="20">
        <v>521691210</v>
      </c>
      <c r="N35" s="16">
        <v>479606803</v>
      </c>
      <c r="O35" s="28">
        <f t="shared" si="22"/>
        <v>3801984213</v>
      </c>
      <c r="P35" s="60">
        <f>O35</f>
        <v>3801984213</v>
      </c>
      <c r="Q35" s="17">
        <v>0</v>
      </c>
      <c r="R35" s="17">
        <v>0</v>
      </c>
      <c r="S35" s="17">
        <v>0</v>
      </c>
      <c r="T35" s="17">
        <v>0</v>
      </c>
      <c r="U35" s="17">
        <f>G35/U37</f>
        <v>54296.435725190837</v>
      </c>
      <c r="V35" s="17">
        <f t="shared" si="32"/>
        <v>10356.82</v>
      </c>
      <c r="W35" s="17">
        <f t="shared" si="28"/>
        <v>11318.75694261936</v>
      </c>
      <c r="X35" s="17">
        <f t="shared" si="9"/>
        <v>9547.0400000000009</v>
      </c>
      <c r="Y35" s="17">
        <f t="shared" si="29"/>
        <v>10557.89</v>
      </c>
      <c r="Z35" s="17">
        <f t="shared" si="30"/>
        <v>26743.02</v>
      </c>
      <c r="AA35" s="17">
        <f t="shared" si="31"/>
        <v>23104.13</v>
      </c>
      <c r="AB35" s="17">
        <f t="shared" si="11"/>
        <v>21202.78</v>
      </c>
      <c r="AC35" s="31">
        <f t="shared" si="34"/>
        <v>167126.87266781021</v>
      </c>
      <c r="AD35" s="47"/>
    </row>
    <row r="36" spans="1:31" s="10" customFormat="1" ht="30" customHeight="1">
      <c r="A36" s="33" t="s">
        <v>49</v>
      </c>
      <c r="B36" s="20">
        <v>0</v>
      </c>
      <c r="C36" s="20">
        <v>0</v>
      </c>
      <c r="D36" s="20">
        <v>0</v>
      </c>
      <c r="E36" s="20">
        <v>0</v>
      </c>
      <c r="F36" s="20">
        <v>0</v>
      </c>
      <c r="G36" s="20">
        <v>820560000</v>
      </c>
      <c r="H36" s="20">
        <v>0</v>
      </c>
      <c r="I36" s="20">
        <v>0</v>
      </c>
      <c r="J36" s="20">
        <v>0</v>
      </c>
      <c r="K36" s="20">
        <v>0</v>
      </c>
      <c r="L36" s="20">
        <v>0</v>
      </c>
      <c r="M36" s="20">
        <v>0</v>
      </c>
      <c r="N36" s="16">
        <v>547040000</v>
      </c>
      <c r="O36" s="28">
        <f t="shared" ref="O36" si="36">SUM(B36:N36)</f>
        <v>1367600000</v>
      </c>
      <c r="P36" s="60">
        <f>O36</f>
        <v>1367600000</v>
      </c>
      <c r="Q36" s="17">
        <v>0</v>
      </c>
      <c r="R36" s="17">
        <v>0</v>
      </c>
      <c r="S36" s="17">
        <v>0</v>
      </c>
      <c r="T36" s="17">
        <v>0</v>
      </c>
      <c r="U36" s="17">
        <f>G36/U37</f>
        <v>35793.238822246458</v>
      </c>
      <c r="V36" s="17">
        <f t="shared" si="32"/>
        <v>0</v>
      </c>
      <c r="W36" s="17">
        <f t="shared" si="28"/>
        <v>0</v>
      </c>
      <c r="X36" s="17">
        <f t="shared" si="9"/>
        <v>0</v>
      </c>
      <c r="Y36" s="17">
        <f t="shared" si="29"/>
        <v>0</v>
      </c>
      <c r="Z36" s="17">
        <f t="shared" si="30"/>
        <v>0</v>
      </c>
      <c r="AA36" s="17">
        <f t="shared" si="31"/>
        <v>0</v>
      </c>
      <c r="AB36" s="17">
        <f t="shared" si="11"/>
        <v>24183.91</v>
      </c>
      <c r="AC36" s="31">
        <f t="shared" si="34"/>
        <v>59977.148822246454</v>
      </c>
      <c r="AD36" s="47"/>
    </row>
    <row r="37" spans="1:31" s="9" customFormat="1" ht="22.5" customHeight="1">
      <c r="A37" s="9" t="s">
        <v>19</v>
      </c>
      <c r="E37" s="40"/>
      <c r="F37" s="40"/>
      <c r="G37" s="40"/>
      <c r="O37" s="9">
        <f>+O26+O29+O33+O30</f>
        <v>567860833866</v>
      </c>
      <c r="P37" s="213">
        <f>+P30/P16</f>
        <v>0.87679784420997509</v>
      </c>
      <c r="Q37" s="9">
        <v>22950</v>
      </c>
      <c r="R37" s="9">
        <v>22900</v>
      </c>
      <c r="S37" s="9">
        <v>22970</v>
      </c>
      <c r="T37" s="9">
        <v>22940</v>
      </c>
      <c r="U37" s="9">
        <v>22925</v>
      </c>
      <c r="V37" s="9">
        <v>22890</v>
      </c>
      <c r="W37" s="9">
        <v>22830</v>
      </c>
      <c r="X37" s="9">
        <v>22650</v>
      </c>
      <c r="Y37" s="50">
        <v>22640</v>
      </c>
      <c r="Z37" s="9">
        <v>22630</v>
      </c>
      <c r="AA37" s="9">
        <v>22580</v>
      </c>
      <c r="AB37" s="9">
        <v>22620</v>
      </c>
      <c r="AD37" s="46"/>
    </row>
    <row r="38" spans="1:31" s="5" customFormat="1">
      <c r="B38" s="6"/>
      <c r="C38" s="6"/>
      <c r="D38" s="6"/>
      <c r="E38" s="6">
        <f>E23-'[15]Estimate Revenue'!$C$14</f>
        <v>0</v>
      </c>
      <c r="F38" s="6"/>
      <c r="G38" s="6"/>
      <c r="O38" s="52">
        <f>+O23-O37</f>
        <v>50436578362</v>
      </c>
      <c r="P38" s="38" t="e">
        <f>P23-O23-'Summary 2020'!Q19</f>
        <v>#REF!</v>
      </c>
      <c r="U38" s="41"/>
      <c r="AD38" s="46"/>
    </row>
    <row r="39" spans="1:31" s="5" customFormat="1">
      <c r="B39" s="6"/>
      <c r="C39" s="6"/>
      <c r="D39" s="6"/>
      <c r="E39" s="44"/>
      <c r="F39" s="44"/>
      <c r="G39" s="44"/>
      <c r="O39" s="52"/>
      <c r="P39" s="52"/>
      <c r="U39" s="41"/>
      <c r="AD39" s="46"/>
    </row>
    <row r="40" spans="1:31" s="5" customFormat="1" ht="15.4">
      <c r="B40" s="6"/>
      <c r="C40" s="6"/>
      <c r="D40" s="6"/>
      <c r="E40" s="44"/>
      <c r="F40" s="44"/>
      <c r="G40" s="44"/>
      <c r="O40" s="53"/>
      <c r="P40" s="53"/>
      <c r="Q40" s="39"/>
      <c r="U40" s="41"/>
      <c r="V40" s="53"/>
      <c r="W40" s="53"/>
      <c r="X40" s="53"/>
      <c r="Y40" s="53"/>
      <c r="Z40" s="53"/>
      <c r="AA40" s="53"/>
      <c r="AC40" s="54"/>
      <c r="AD40" s="46"/>
    </row>
    <row r="41" spans="1:31" s="5" customFormat="1" ht="15.4">
      <c r="B41" s="6"/>
      <c r="C41" s="6"/>
      <c r="D41" s="6"/>
      <c r="E41" s="53"/>
      <c r="F41" s="53"/>
      <c r="G41" s="53"/>
      <c r="H41" s="53"/>
      <c r="I41" s="53"/>
      <c r="J41" s="53"/>
      <c r="K41" s="53"/>
      <c r="L41" s="53"/>
      <c r="M41" s="53"/>
      <c r="O41" s="38"/>
      <c r="P41" s="38"/>
      <c r="Q41" s="39"/>
      <c r="U41" s="41"/>
      <c r="V41" s="53"/>
      <c r="W41" s="53"/>
      <c r="X41" s="53"/>
      <c r="Y41" s="53"/>
      <c r="Z41" s="53"/>
      <c r="AA41" s="53"/>
      <c r="AD41" s="46"/>
    </row>
    <row r="42" spans="1:31" s="5" customFormat="1" ht="15.4">
      <c r="A42" s="150"/>
      <c r="B42" s="55">
        <f t="shared" ref="B42:E50" si="37">IFERROR(B24/B10,0)</f>
        <v>0</v>
      </c>
      <c r="C42" s="55">
        <f t="shared" si="37"/>
        <v>0</v>
      </c>
      <c r="D42" s="55">
        <f t="shared" si="37"/>
        <v>0</v>
      </c>
      <c r="E42" s="81">
        <f t="shared" si="37"/>
        <v>0</v>
      </c>
      <c r="F42" s="55"/>
      <c r="G42" s="55">
        <f t="shared" ref="G42:P42" si="38">IFERROR(G24/G10,0)</f>
        <v>0</v>
      </c>
      <c r="H42" s="55">
        <f t="shared" si="38"/>
        <v>0</v>
      </c>
      <c r="I42" s="55">
        <f t="shared" si="38"/>
        <v>0</v>
      </c>
      <c r="J42" s="55">
        <f t="shared" si="38"/>
        <v>0</v>
      </c>
      <c r="K42" s="55">
        <f t="shared" si="38"/>
        <v>0</v>
      </c>
      <c r="L42" s="55">
        <f t="shared" si="38"/>
        <v>0</v>
      </c>
      <c r="M42" s="55">
        <f t="shared" si="38"/>
        <v>0</v>
      </c>
      <c r="N42" s="55">
        <f t="shared" si="38"/>
        <v>0</v>
      </c>
      <c r="O42" s="55">
        <f t="shared" si="38"/>
        <v>0</v>
      </c>
      <c r="P42" s="55">
        <f t="shared" si="38"/>
        <v>0</v>
      </c>
      <c r="Q42" s="39"/>
      <c r="U42" s="41"/>
      <c r="V42" s="53"/>
      <c r="W42" s="53"/>
      <c r="X42" s="53"/>
      <c r="Y42" s="53"/>
      <c r="Z42" s="53"/>
      <c r="AA42" s="53"/>
      <c r="AC42" s="55">
        <f t="shared" ref="AC42:AC51" si="39">IFERROR(AC24/AC10,0)</f>
        <v>0</v>
      </c>
      <c r="AD42" s="46"/>
    </row>
    <row r="43" spans="1:31" s="5" customFormat="1" ht="15.4">
      <c r="A43" s="150" t="s">
        <v>0</v>
      </c>
      <c r="B43" s="55">
        <f t="shared" si="37"/>
        <v>-474.53699633699631</v>
      </c>
      <c r="C43" s="55">
        <f t="shared" si="37"/>
        <v>0.91038830122919723</v>
      </c>
      <c r="D43" s="55">
        <f t="shared" si="37"/>
        <v>0.91060831615712845</v>
      </c>
      <c r="E43" s="81">
        <f t="shared" si="37"/>
        <v>0.910452908460882</v>
      </c>
      <c r="F43" s="55"/>
      <c r="G43" s="55">
        <f t="shared" ref="G43:P43" si="40">IFERROR(G25/G11,0)</f>
        <v>0.91045169138465276</v>
      </c>
      <c r="H43" s="55">
        <f t="shared" si="40"/>
        <v>0.9104448752115788</v>
      </c>
      <c r="I43" s="55">
        <f t="shared" si="40"/>
        <v>0.90909090915596791</v>
      </c>
      <c r="J43" s="55">
        <f t="shared" si="40"/>
        <v>0.90909090919749447</v>
      </c>
      <c r="K43" s="55">
        <f t="shared" si="40"/>
        <v>0.90909090915701463</v>
      </c>
      <c r="L43" s="55">
        <f t="shared" si="40"/>
        <v>0.90909090889062882</v>
      </c>
      <c r="M43" s="55">
        <f t="shared" si="40"/>
        <v>0.90909090958080752</v>
      </c>
      <c r="N43" s="55">
        <f t="shared" si="40"/>
        <v>0.90909090926700953</v>
      </c>
      <c r="O43" s="55">
        <f t="shared" si="40"/>
        <v>0.90975784997249176</v>
      </c>
      <c r="P43" s="55">
        <f t="shared" si="40"/>
        <v>0</v>
      </c>
      <c r="Q43" s="113" t="s">
        <v>15</v>
      </c>
      <c r="R43" s="114" t="s">
        <v>41</v>
      </c>
      <c r="S43" s="114" t="s">
        <v>42</v>
      </c>
      <c r="T43" s="114" t="s">
        <v>43</v>
      </c>
      <c r="U43" s="41"/>
      <c r="AC43" s="55">
        <f t="shared" si="39"/>
        <v>0.90975293398956802</v>
      </c>
      <c r="AD43" s="46"/>
    </row>
    <row r="44" spans="1:31" s="106" customFormat="1" ht="15.4">
      <c r="A44" s="151" t="s">
        <v>10</v>
      </c>
      <c r="B44" s="57">
        <f t="shared" si="37"/>
        <v>1.5141138850162652</v>
      </c>
      <c r="C44" s="57">
        <f t="shared" si="37"/>
        <v>0.90909999991722334</v>
      </c>
      <c r="D44" s="57">
        <f t="shared" si="37"/>
        <v>0.90910000008710423</v>
      </c>
      <c r="E44" s="107">
        <f t="shared" si="37"/>
        <v>0.90909999963248722</v>
      </c>
      <c r="F44" s="57"/>
      <c r="G44" s="57">
        <f t="shared" ref="G44:P44" si="41">IFERROR(G26/G12,0)</f>
        <v>0.90910000021063408</v>
      </c>
      <c r="H44" s="57">
        <f t="shared" si="41"/>
        <v>0.90909999962925825</v>
      </c>
      <c r="I44" s="57">
        <f t="shared" si="41"/>
        <v>0.90910000033740512</v>
      </c>
      <c r="J44" s="57">
        <f t="shared" si="41"/>
        <v>0.90909999972268563</v>
      </c>
      <c r="K44" s="57">
        <f t="shared" si="41"/>
        <v>0.90910000056945706</v>
      </c>
      <c r="L44" s="57">
        <f t="shared" si="41"/>
        <v>0.90910000036512251</v>
      </c>
      <c r="M44" s="57">
        <f t="shared" si="41"/>
        <v>0.9091000002778088</v>
      </c>
      <c r="N44" s="57">
        <f>IFERROR(N26/N12,0)</f>
        <v>0.10146072241435435</v>
      </c>
      <c r="O44" s="57">
        <f t="shared" si="41"/>
        <v>0.34575178543102636</v>
      </c>
      <c r="P44" s="105">
        <f t="shared" si="41"/>
        <v>0.89644962575801324</v>
      </c>
      <c r="Q44" s="108">
        <v>1959075630390</v>
      </c>
      <c r="R44" s="109">
        <f>Q44/0.9091</f>
        <v>2154961643812.5618</v>
      </c>
      <c r="S44" s="109">
        <v>2154011485285.6082</v>
      </c>
      <c r="T44" s="112">
        <f>R44-S44</f>
        <v>950158526.95361328</v>
      </c>
      <c r="V44" s="110"/>
      <c r="AC44" s="105">
        <f t="shared" si="39"/>
        <v>0.34392780618484309</v>
      </c>
      <c r="AE44" s="111"/>
    </row>
    <row r="45" spans="1:31" s="61" customFormat="1" ht="15.4">
      <c r="A45" s="152"/>
      <c r="B45" s="105">
        <f t="shared" si="37"/>
        <v>0</v>
      </c>
      <c r="C45" s="105">
        <f t="shared" si="37"/>
        <v>0</v>
      </c>
      <c r="D45" s="105">
        <f t="shared" si="37"/>
        <v>0</v>
      </c>
      <c r="E45" s="116">
        <f t="shared" si="37"/>
        <v>0</v>
      </c>
      <c r="F45" s="105"/>
      <c r="G45" s="105">
        <f t="shared" ref="G45:O45" si="42">IFERROR(G27/G13,0)</f>
        <v>0</v>
      </c>
      <c r="H45" s="105">
        <f t="shared" si="42"/>
        <v>0</v>
      </c>
      <c r="I45" s="105">
        <f t="shared" si="42"/>
        <v>0</v>
      </c>
      <c r="J45" s="105">
        <f t="shared" si="42"/>
        <v>0</v>
      </c>
      <c r="K45" s="105">
        <f t="shared" si="42"/>
        <v>0</v>
      </c>
      <c r="L45" s="105">
        <f t="shared" si="42"/>
        <v>0</v>
      </c>
      <c r="M45" s="105">
        <f t="shared" si="42"/>
        <v>0</v>
      </c>
      <c r="N45" s="105">
        <f t="shared" si="42"/>
        <v>0</v>
      </c>
      <c r="O45" s="105">
        <f t="shared" si="42"/>
        <v>0</v>
      </c>
      <c r="P45" s="105">
        <f>IFERROR(P27/P13,0)</f>
        <v>0</v>
      </c>
      <c r="R45" s="156"/>
      <c r="S45" s="156"/>
      <c r="V45" s="117"/>
      <c r="AC45" s="105">
        <f t="shared" si="39"/>
        <v>0</v>
      </c>
      <c r="AE45" s="118"/>
    </row>
    <row r="46" spans="1:31" s="5" customFormat="1" ht="15.4">
      <c r="A46" s="150" t="s">
        <v>37</v>
      </c>
      <c r="B46" s="55">
        <f t="shared" si="37"/>
        <v>-1.4879782294446113</v>
      </c>
      <c r="C46" s="81">
        <f t="shared" si="37"/>
        <v>0.90366558862810653</v>
      </c>
      <c r="D46" s="81">
        <f t="shared" si="37"/>
        <v>0.89257226444861992</v>
      </c>
      <c r="E46" s="81">
        <f t="shared" si="37"/>
        <v>1.1029205808345466</v>
      </c>
      <c r="F46" s="55"/>
      <c r="G46" s="55">
        <f t="shared" ref="G46:P46" si="43">IFERROR(G28/G14,0)</f>
        <v>0.75454240803731443</v>
      </c>
      <c r="H46" s="55">
        <f t="shared" si="43"/>
        <v>0.90580742380048518</v>
      </c>
      <c r="I46" s="55">
        <f t="shared" si="43"/>
        <v>0.91311697019865978</v>
      </c>
      <c r="J46" s="55">
        <f t="shared" si="43"/>
        <v>0.91073258761849751</v>
      </c>
      <c r="K46" s="55">
        <f t="shared" si="43"/>
        <v>0.9155917546074771</v>
      </c>
      <c r="L46" s="55">
        <f t="shared" si="43"/>
        <v>0.9082479753197864</v>
      </c>
      <c r="M46" s="55">
        <f t="shared" si="43"/>
        <v>0.9146253313330579</v>
      </c>
      <c r="N46" s="55">
        <f t="shared" si="43"/>
        <v>0.91517618335707263</v>
      </c>
      <c r="O46" s="55">
        <f t="shared" si="43"/>
        <v>0.92340543078254</v>
      </c>
      <c r="P46" s="55">
        <f t="shared" si="43"/>
        <v>0.92805308048382129</v>
      </c>
      <c r="R46" s="38"/>
      <c r="S46" s="38"/>
      <c r="V46" s="41"/>
      <c r="AC46" s="55">
        <f t="shared" si="39"/>
        <v>0.92331559253470175</v>
      </c>
      <c r="AE46" s="46"/>
    </row>
    <row r="47" spans="1:31" s="106" customFormat="1" ht="15.4">
      <c r="A47" s="151" t="s">
        <v>38</v>
      </c>
      <c r="B47" s="57">
        <f t="shared" si="37"/>
        <v>1.6769893519183607</v>
      </c>
      <c r="C47" s="57">
        <f t="shared" si="37"/>
        <v>0.91611472617661027</v>
      </c>
      <c r="D47" s="57">
        <f t="shared" si="37"/>
        <v>0.9012287909441874</v>
      </c>
      <c r="E47" s="107">
        <f t="shared" si="37"/>
        <v>0.86959999999717497</v>
      </c>
      <c r="F47" s="57"/>
      <c r="G47" s="57">
        <f t="shared" ref="G47:P47" si="44">IFERROR(G29/G15,0)</f>
        <v>0.86959999998706261</v>
      </c>
      <c r="H47" s="57">
        <f t="shared" si="44"/>
        <v>0.8695999999960683</v>
      </c>
      <c r="I47" s="57">
        <f t="shared" si="44"/>
        <v>0.86960000001322169</v>
      </c>
      <c r="J47" s="57">
        <f t="shared" si="44"/>
        <v>0.86959999998134729</v>
      </c>
      <c r="K47" s="57">
        <f t="shared" si="44"/>
        <v>0.86960000005410332</v>
      </c>
      <c r="L47" s="57">
        <f t="shared" si="44"/>
        <v>0.86960000003665039</v>
      </c>
      <c r="M47" s="57">
        <f t="shared" si="44"/>
        <v>0.86959999999718773</v>
      </c>
      <c r="N47" s="57">
        <f t="shared" si="44"/>
        <v>0.86960000001674576</v>
      </c>
      <c r="O47" s="57">
        <f t="shared" si="44"/>
        <v>0.87077891007818475</v>
      </c>
      <c r="P47" s="105">
        <f t="shared" si="44"/>
        <v>0.86960000000211624</v>
      </c>
      <c r="Q47" s="108">
        <v>218498537524</v>
      </c>
      <c r="R47" s="109">
        <f>Q47/0.8696</f>
        <v>251263267621.89511</v>
      </c>
      <c r="S47" s="109">
        <v>249993219072</v>
      </c>
      <c r="T47" s="112">
        <f t="shared" ref="T47:T48" si="45">R47-S47</f>
        <v>1270048549.8951111</v>
      </c>
      <c r="V47" s="110"/>
      <c r="AC47" s="105">
        <f t="shared" si="39"/>
        <v>0.87077034584905144</v>
      </c>
      <c r="AE47" s="111"/>
    </row>
    <row r="48" spans="1:31" s="106" customFormat="1" ht="15.4">
      <c r="A48" s="151" t="s">
        <v>39</v>
      </c>
      <c r="B48" s="57">
        <f t="shared" si="37"/>
        <v>1.4080843716235178</v>
      </c>
      <c r="C48" s="107">
        <f t="shared" si="37"/>
        <v>0.91802989808419821</v>
      </c>
      <c r="D48" s="107">
        <f t="shared" si="37"/>
        <v>0.8963383406012474</v>
      </c>
      <c r="E48" s="107">
        <f t="shared" si="37"/>
        <v>0.86959999999575743</v>
      </c>
      <c r="F48" s="57"/>
      <c r="G48" s="57">
        <f t="shared" ref="G48:P48" si="46">IFERROR(G30/G16,0)</f>
        <v>0.86959999999495241</v>
      </c>
      <c r="H48" s="57">
        <f t="shared" si="46"/>
        <v>0.86960000000279269</v>
      </c>
      <c r="I48" s="57">
        <f t="shared" si="46"/>
        <v>0.86959999998411441</v>
      </c>
      <c r="J48" s="57">
        <f t="shared" si="46"/>
        <v>0.86959999993424408</v>
      </c>
      <c r="K48" s="57">
        <f t="shared" si="46"/>
        <v>0.86959999999750037</v>
      </c>
      <c r="L48" s="57">
        <f t="shared" si="46"/>
        <v>0.86959999983154979</v>
      </c>
      <c r="M48" s="57">
        <f t="shared" si="46"/>
        <v>0.86959999997776327</v>
      </c>
      <c r="N48" s="57">
        <f>IFERROR(N30/N16,0)</f>
        <v>2.1183504887261151</v>
      </c>
      <c r="O48" s="57">
        <f t="shared" si="46"/>
        <v>0.8871725186845586</v>
      </c>
      <c r="P48" s="105">
        <f t="shared" si="46"/>
        <v>0.87679784420997509</v>
      </c>
      <c r="Q48" s="108">
        <v>344563704329</v>
      </c>
      <c r="R48" s="109">
        <f>Q48/0.8696</f>
        <v>396232410681.92273</v>
      </c>
      <c r="S48" s="109">
        <v>392557719698</v>
      </c>
      <c r="T48" s="112">
        <f t="shared" si="45"/>
        <v>3674690983.9227295</v>
      </c>
      <c r="V48" s="110"/>
      <c r="AC48" s="105">
        <f t="shared" si="39"/>
        <v>0.88734612088741038</v>
      </c>
      <c r="AE48" s="111"/>
    </row>
    <row r="49" spans="1:30" s="5" customFormat="1" ht="15.4">
      <c r="A49" s="150"/>
      <c r="B49" s="55">
        <f t="shared" si="37"/>
        <v>0</v>
      </c>
      <c r="C49" s="55">
        <f t="shared" si="37"/>
        <v>0</v>
      </c>
      <c r="D49" s="55">
        <f t="shared" si="37"/>
        <v>0</v>
      </c>
      <c r="E49" s="81">
        <f t="shared" si="37"/>
        <v>0</v>
      </c>
      <c r="F49" s="55"/>
      <c r="G49" s="55">
        <f t="shared" ref="G49:P49" si="47">IFERROR(G31/G17,0)</f>
        <v>0</v>
      </c>
      <c r="H49" s="55">
        <f t="shared" si="47"/>
        <v>0</v>
      </c>
      <c r="I49" s="55">
        <f t="shared" si="47"/>
        <v>0</v>
      </c>
      <c r="J49" s="55">
        <f t="shared" si="47"/>
        <v>0</v>
      </c>
      <c r="K49" s="55">
        <f t="shared" si="47"/>
        <v>0</v>
      </c>
      <c r="L49" s="55">
        <f t="shared" si="47"/>
        <v>0</v>
      </c>
      <c r="M49" s="55">
        <f t="shared" si="47"/>
        <v>0</v>
      </c>
      <c r="N49" s="55">
        <f t="shared" si="47"/>
        <v>0.48730761253624255</v>
      </c>
      <c r="O49" s="55">
        <f t="shared" si="47"/>
        <v>0.48730761253624255</v>
      </c>
      <c r="P49" s="55">
        <f t="shared" si="47"/>
        <v>0.19577825347682934</v>
      </c>
      <c r="R49" s="38"/>
      <c r="U49" s="41"/>
      <c r="AC49" s="55">
        <f t="shared" si="39"/>
        <v>0.48730761112864202</v>
      </c>
      <c r="AD49" s="46"/>
    </row>
    <row r="50" spans="1:30" s="5" customFormat="1" ht="15.4">
      <c r="A50" s="150" t="s">
        <v>40</v>
      </c>
      <c r="B50" s="55">
        <f t="shared" si="37"/>
        <v>0.34123159424567728</v>
      </c>
      <c r="C50" s="81">
        <f t="shared" si="37"/>
        <v>0.65630273481458479</v>
      </c>
      <c r="D50" s="81">
        <f t="shared" si="37"/>
        <v>0.90909090909090906</v>
      </c>
      <c r="E50" s="81">
        <f t="shared" si="37"/>
        <v>0.90909090909090906</v>
      </c>
      <c r="F50" s="55"/>
      <c r="G50" s="55">
        <f t="shared" ref="G50:P50" si="48">IFERROR(G32/G18,0)</f>
        <v>0.90909090909090906</v>
      </c>
      <c r="H50" s="55">
        <f t="shared" si="48"/>
        <v>1.0601628752218288</v>
      </c>
      <c r="I50" s="55">
        <f t="shared" si="48"/>
        <v>1.1204081532982146</v>
      </c>
      <c r="J50" s="55">
        <f t="shared" si="48"/>
        <v>0.91492380673589102</v>
      </c>
      <c r="K50" s="55">
        <f t="shared" si="48"/>
        <v>0.9594571600235724</v>
      </c>
      <c r="L50" s="55">
        <f t="shared" si="48"/>
        <v>1.0070560418101311</v>
      </c>
      <c r="M50" s="55">
        <f t="shared" si="48"/>
        <v>0.81432377824300306</v>
      </c>
      <c r="N50" s="55">
        <f t="shared" si="48"/>
        <v>1.0037572684732481</v>
      </c>
      <c r="O50" s="55">
        <f t="shared" si="48"/>
        <v>0.85182981254705137</v>
      </c>
      <c r="P50" s="55">
        <f t="shared" si="48"/>
        <v>0.86052833063033363</v>
      </c>
      <c r="R50" s="38"/>
      <c r="U50" s="41"/>
      <c r="AC50" s="55">
        <f t="shared" si="39"/>
        <v>0.85260454962430399</v>
      </c>
      <c r="AD50" s="46"/>
    </row>
    <row r="51" spans="1:30" s="61" customFormat="1" ht="15.4">
      <c r="A51" s="152" t="s">
        <v>47</v>
      </c>
      <c r="B51" s="105"/>
      <c r="C51" s="105"/>
      <c r="D51" s="105"/>
      <c r="E51" s="116"/>
      <c r="F51" s="105"/>
      <c r="G51" s="105">
        <f t="shared" ref="G51:L51" si="49">IFERROR(G33/G19,0)</f>
        <v>0.86960000003361548</v>
      </c>
      <c r="H51" s="105">
        <f t="shared" si="49"/>
        <v>0.86959999991130343</v>
      </c>
      <c r="I51" s="105">
        <f t="shared" si="49"/>
        <v>0.86959999999040216</v>
      </c>
      <c r="J51" s="105">
        <f t="shared" si="49"/>
        <v>0.86960000000755899</v>
      </c>
      <c r="K51" s="105">
        <f t="shared" si="49"/>
        <v>0.86959999994882398</v>
      </c>
      <c r="L51" s="105">
        <f t="shared" si="49"/>
        <v>0.86960000000556814</v>
      </c>
      <c r="M51" s="105">
        <f>IFERROR(M33/M19,0)</f>
        <v>0.86959999998113657</v>
      </c>
      <c r="N51" s="105">
        <f>IFERROR(N33/N19,0)</f>
        <v>0.86960000000678994</v>
      </c>
      <c r="O51" s="105">
        <f>IFERROR(O33/O19,0)</f>
        <v>0.86959999999857363</v>
      </c>
      <c r="P51" s="105">
        <f>IFERROR(P33/P19,0)</f>
        <v>0.86959999999857363</v>
      </c>
      <c r="U51" s="117"/>
      <c r="AC51" s="55">
        <f t="shared" si="39"/>
        <v>0.86959999898779383</v>
      </c>
      <c r="AD51" s="118"/>
    </row>
    <row r="52" spans="1:30" s="5" customFormat="1" ht="15.4">
      <c r="A52" s="150" t="s">
        <v>48</v>
      </c>
      <c r="B52" s="55"/>
      <c r="C52" s="81"/>
      <c r="D52" s="81"/>
      <c r="E52" s="55"/>
      <c r="F52" s="55"/>
      <c r="G52" s="55">
        <f>IFERROR(G35/G21,0)</f>
        <v>0.80500940274858523</v>
      </c>
      <c r="H52" s="55">
        <f t="shared" ref="H52:O52" si="50">IFERROR(H35/H21,0)</f>
        <v>0.76658888278092163</v>
      </c>
      <c r="I52" s="55">
        <f t="shared" si="50"/>
        <v>0.83559327728375099</v>
      </c>
      <c r="J52" s="55">
        <f t="shared" si="50"/>
        <v>0.69924185610347611</v>
      </c>
      <c r="K52" s="55">
        <f t="shared" si="50"/>
        <v>0.77293623282134194</v>
      </c>
      <c r="L52" s="55">
        <f t="shared" si="50"/>
        <v>0.98046902227622523</v>
      </c>
      <c r="M52" s="55">
        <f t="shared" si="50"/>
        <v>0.84518624544349941</v>
      </c>
      <c r="N52" s="55">
        <f t="shared" si="50"/>
        <v>0.77700575617658973</v>
      </c>
      <c r="O52" s="55">
        <f t="shared" si="50"/>
        <v>0.82027706860841421</v>
      </c>
      <c r="P52" s="55">
        <f>IFERROR(P35/P21,0)</f>
        <v>0.82027706860841421</v>
      </c>
      <c r="U52" s="41"/>
      <c r="AC52" s="55">
        <f>IFERROR(AC35/AC21,0)</f>
        <v>0.82038829290043591</v>
      </c>
      <c r="AD52" s="46"/>
    </row>
    <row r="53" spans="1:30" s="5" customFormat="1" ht="15.4">
      <c r="A53" s="150" t="s">
        <v>49</v>
      </c>
      <c r="B53" s="55"/>
      <c r="C53" s="81"/>
      <c r="D53" s="81"/>
      <c r="E53" s="55"/>
      <c r="F53" s="55"/>
      <c r="G53" s="55">
        <f>G36/G22</f>
        <v>0.90909090909090906</v>
      </c>
      <c r="H53" s="55"/>
      <c r="I53" s="55"/>
      <c r="J53" s="55"/>
      <c r="K53" s="55"/>
      <c r="L53" s="55"/>
      <c r="M53" s="55"/>
      <c r="N53" s="55"/>
      <c r="O53" s="55">
        <f>O36/O22</f>
        <v>0.90909090909090906</v>
      </c>
      <c r="P53" s="55">
        <f>P36/P22</f>
        <v>0.90909090909090906</v>
      </c>
      <c r="U53" s="41"/>
      <c r="AC53" s="55">
        <f>IFERROR(AC36/AC22,0)</f>
        <v>0.90909092287026183</v>
      </c>
      <c r="AD53" s="46"/>
    </row>
    <row r="54" spans="1:30" s="5" customFormat="1">
      <c r="B54" s="6"/>
      <c r="C54" s="6"/>
      <c r="D54" s="6"/>
      <c r="E54" s="6"/>
      <c r="F54" s="6"/>
      <c r="G54" s="6"/>
      <c r="U54" s="41"/>
      <c r="AD54" s="46"/>
    </row>
    <row r="55" spans="1:30" s="5" customFormat="1">
      <c r="B55" s="6"/>
      <c r="C55" s="6"/>
      <c r="D55" s="6"/>
      <c r="E55" s="6"/>
      <c r="F55" s="6"/>
      <c r="G55" s="6"/>
      <c r="U55" s="41"/>
      <c r="AD55" s="46"/>
    </row>
    <row r="56" spans="1:30" s="5" customFormat="1">
      <c r="B56" s="6"/>
      <c r="C56" s="6"/>
      <c r="D56" s="6"/>
      <c r="E56" s="6"/>
      <c r="F56" s="6"/>
      <c r="G56" s="6"/>
      <c r="U56" s="41"/>
      <c r="AD56" s="46"/>
    </row>
    <row r="57" spans="1:30" s="5" customFormat="1">
      <c r="B57" s="6"/>
      <c r="C57" s="6"/>
      <c r="D57" s="6"/>
      <c r="E57" s="6"/>
      <c r="F57" s="6"/>
      <c r="G57" s="6"/>
      <c r="U57" s="41"/>
      <c r="AD57" s="46"/>
    </row>
    <row r="58" spans="1:30" s="5" customFormat="1">
      <c r="B58" s="6"/>
      <c r="C58" s="6"/>
      <c r="D58" s="6"/>
      <c r="E58" s="6"/>
      <c r="F58" s="6"/>
      <c r="G58" s="6"/>
      <c r="U58" s="41"/>
      <c r="AD58" s="46"/>
    </row>
    <row r="59" spans="1:30" s="5" customFormat="1">
      <c r="B59" s="6"/>
      <c r="C59" s="6"/>
      <c r="D59" s="6"/>
      <c r="E59" s="6"/>
      <c r="F59" s="6"/>
      <c r="G59" s="6"/>
      <c r="U59" s="41"/>
      <c r="AD59" s="46"/>
    </row>
    <row r="60" spans="1:30" s="5" customFormat="1">
      <c r="B60" s="6"/>
      <c r="C60" s="6"/>
      <c r="D60" s="6"/>
      <c r="E60" s="6"/>
      <c r="F60" s="6"/>
      <c r="G60" s="6"/>
      <c r="U60" s="41"/>
      <c r="AD60" s="46"/>
    </row>
    <row r="61" spans="1:30" s="5" customFormat="1">
      <c r="B61" s="6"/>
      <c r="C61" s="6"/>
      <c r="D61" s="6"/>
      <c r="E61" s="6"/>
      <c r="F61" s="6"/>
      <c r="G61" s="6"/>
      <c r="U61" s="41"/>
      <c r="AD61" s="46"/>
    </row>
    <row r="62" spans="1:30" s="5" customFormat="1">
      <c r="B62" s="6"/>
      <c r="C62" s="6"/>
      <c r="D62" s="6"/>
      <c r="E62" s="6"/>
      <c r="F62" s="6"/>
      <c r="G62" s="6"/>
      <c r="U62" s="41"/>
      <c r="AD62" s="46"/>
    </row>
    <row r="63" spans="1:30" s="5" customFormat="1">
      <c r="B63" s="6"/>
      <c r="C63" s="6"/>
      <c r="D63" s="6"/>
      <c r="E63" s="6"/>
      <c r="F63" s="6"/>
      <c r="G63" s="6"/>
      <c r="U63" s="41"/>
      <c r="AD63" s="46"/>
    </row>
    <row r="64" spans="1:30" s="5" customFormat="1">
      <c r="B64" s="6"/>
      <c r="C64" s="6"/>
      <c r="D64" s="6"/>
      <c r="E64" s="6"/>
      <c r="F64" s="6"/>
      <c r="G64" s="6"/>
      <c r="U64" s="41"/>
      <c r="AD64" s="46"/>
    </row>
    <row r="65" spans="2:30" s="5" customFormat="1">
      <c r="B65" s="6"/>
      <c r="C65" s="6"/>
      <c r="D65" s="6"/>
      <c r="E65" s="6"/>
      <c r="F65" s="6"/>
      <c r="G65" s="6"/>
      <c r="U65" s="41"/>
      <c r="AD65" s="46"/>
    </row>
    <row r="66" spans="2:30" s="5" customFormat="1">
      <c r="B66" s="6"/>
      <c r="C66" s="6"/>
      <c r="D66" s="6"/>
      <c r="E66" s="6"/>
      <c r="F66" s="6"/>
      <c r="G66" s="6"/>
      <c r="U66" s="41"/>
      <c r="AD66" s="46"/>
    </row>
    <row r="67" spans="2:30" s="5" customFormat="1">
      <c r="B67" s="6"/>
      <c r="C67" s="6"/>
      <c r="D67" s="6"/>
      <c r="E67" s="6"/>
      <c r="F67" s="6"/>
      <c r="G67" s="6"/>
      <c r="U67" s="41"/>
      <c r="AD67" s="46"/>
    </row>
    <row r="68" spans="2:30" s="5" customFormat="1">
      <c r="B68" s="6"/>
      <c r="C68" s="6"/>
      <c r="D68" s="6"/>
      <c r="E68" s="6"/>
      <c r="F68" s="6"/>
      <c r="G68" s="6"/>
      <c r="U68" s="41"/>
      <c r="AD68" s="46"/>
    </row>
    <row r="69" spans="2:30" s="5" customFormat="1">
      <c r="B69" s="6"/>
      <c r="C69" s="6"/>
      <c r="D69" s="6"/>
      <c r="E69" s="6"/>
      <c r="F69" s="6"/>
      <c r="G69" s="6"/>
      <c r="U69" s="41"/>
      <c r="AD69" s="46"/>
    </row>
    <row r="70" spans="2:30" s="5" customFormat="1">
      <c r="B70" s="6"/>
      <c r="C70" s="6"/>
      <c r="D70" s="6"/>
      <c r="E70" s="6"/>
      <c r="F70" s="6"/>
      <c r="G70" s="6"/>
      <c r="U70" s="41"/>
      <c r="AD70" s="46"/>
    </row>
    <row r="71" spans="2:30" s="5" customFormat="1">
      <c r="B71" s="6"/>
      <c r="C71" s="6"/>
      <c r="D71" s="6"/>
      <c r="E71" s="6"/>
      <c r="F71" s="6"/>
      <c r="G71" s="6"/>
      <c r="U71" s="41"/>
      <c r="AD71" s="46"/>
    </row>
    <row r="72" spans="2:30" s="5" customFormat="1">
      <c r="B72" s="6"/>
      <c r="C72" s="6"/>
      <c r="D72" s="6"/>
      <c r="E72" s="6"/>
      <c r="F72" s="6"/>
      <c r="G72" s="6"/>
      <c r="U72" s="41"/>
      <c r="AD72" s="46"/>
    </row>
    <row r="73" spans="2:30" s="5" customFormat="1">
      <c r="B73" s="6"/>
      <c r="C73" s="6"/>
      <c r="D73" s="6"/>
      <c r="E73" s="6"/>
      <c r="F73" s="6"/>
      <c r="G73" s="6"/>
      <c r="U73" s="41"/>
      <c r="AD73" s="46"/>
    </row>
    <row r="74" spans="2:30" s="5" customFormat="1">
      <c r="B74" s="6"/>
      <c r="C74" s="6"/>
      <c r="D74" s="6"/>
      <c r="E74" s="6"/>
      <c r="F74" s="6"/>
      <c r="G74" s="6"/>
      <c r="U74" s="41"/>
      <c r="AD74" s="46"/>
    </row>
    <row r="75" spans="2:30" s="5" customFormat="1">
      <c r="B75" s="6"/>
      <c r="C75" s="6"/>
      <c r="D75" s="6"/>
      <c r="E75" s="6"/>
      <c r="F75" s="6"/>
      <c r="G75" s="6"/>
      <c r="U75" s="41"/>
      <c r="AD75" s="46"/>
    </row>
    <row r="76" spans="2:30" s="5" customFormat="1">
      <c r="B76" s="6"/>
      <c r="C76" s="6"/>
      <c r="D76" s="6"/>
      <c r="E76" s="6"/>
      <c r="F76" s="6"/>
      <c r="G76" s="6"/>
      <c r="U76" s="41"/>
      <c r="AD76" s="46"/>
    </row>
    <row r="77" spans="2:30" s="5" customFormat="1">
      <c r="B77" s="6"/>
      <c r="C77" s="6"/>
      <c r="D77" s="6"/>
      <c r="E77" s="6"/>
      <c r="F77" s="6"/>
      <c r="G77" s="6"/>
      <c r="U77" s="41"/>
      <c r="AD77" s="46"/>
    </row>
    <row r="78" spans="2:30" s="5" customFormat="1">
      <c r="B78" s="6"/>
      <c r="C78" s="6"/>
      <c r="D78" s="6"/>
      <c r="E78" s="6"/>
      <c r="F78" s="6"/>
      <c r="G78" s="6"/>
      <c r="U78" s="41"/>
      <c r="AD78" s="46"/>
    </row>
    <row r="79" spans="2:30" s="5" customFormat="1">
      <c r="B79" s="6"/>
      <c r="C79" s="6"/>
      <c r="D79" s="6"/>
      <c r="E79" s="6"/>
      <c r="F79" s="6"/>
      <c r="G79" s="6"/>
      <c r="U79" s="41"/>
      <c r="AD79" s="46"/>
    </row>
    <row r="80" spans="2:30" s="5" customFormat="1">
      <c r="B80" s="6"/>
      <c r="C80" s="6"/>
      <c r="D80" s="6"/>
      <c r="E80" s="6"/>
      <c r="F80" s="6"/>
      <c r="G80" s="6"/>
      <c r="U80" s="41"/>
      <c r="AD80" s="46"/>
    </row>
    <row r="81" spans="2:30" s="5" customFormat="1">
      <c r="B81" s="6"/>
      <c r="C81" s="6"/>
      <c r="D81" s="6"/>
      <c r="E81" s="6"/>
      <c r="F81" s="6"/>
      <c r="G81" s="6"/>
      <c r="U81" s="41"/>
      <c r="AD81" s="46"/>
    </row>
    <row r="82" spans="2:30" s="5" customFormat="1">
      <c r="B82" s="6"/>
      <c r="C82" s="6"/>
      <c r="D82" s="6"/>
      <c r="E82" s="6"/>
      <c r="F82" s="6"/>
      <c r="G82" s="6"/>
      <c r="U82" s="41"/>
      <c r="AD82" s="46"/>
    </row>
    <row r="83" spans="2:30" s="5" customFormat="1">
      <c r="B83" s="6"/>
      <c r="C83" s="6"/>
      <c r="D83" s="6"/>
      <c r="E83" s="6"/>
      <c r="F83" s="6"/>
      <c r="G83" s="6"/>
      <c r="U83" s="41"/>
      <c r="AD83" s="46"/>
    </row>
    <row r="84" spans="2:30" s="5" customFormat="1">
      <c r="B84" s="6"/>
      <c r="C84" s="6"/>
      <c r="D84" s="6"/>
      <c r="E84" s="6"/>
      <c r="F84" s="6"/>
      <c r="G84" s="6"/>
      <c r="U84" s="41"/>
      <c r="AD84" s="46"/>
    </row>
    <row r="85" spans="2:30" s="5" customFormat="1">
      <c r="B85" s="6"/>
      <c r="C85" s="6"/>
      <c r="D85" s="6"/>
      <c r="E85" s="6"/>
      <c r="F85" s="6"/>
      <c r="G85" s="6"/>
      <c r="U85" s="41"/>
      <c r="AD85" s="46"/>
    </row>
    <row r="86" spans="2:30" s="5" customFormat="1">
      <c r="B86" s="6"/>
      <c r="C86" s="6"/>
      <c r="D86" s="6"/>
      <c r="E86" s="6"/>
      <c r="F86" s="6"/>
      <c r="G86" s="6"/>
      <c r="U86" s="41"/>
      <c r="AD86" s="46"/>
    </row>
    <row r="87" spans="2:30" s="5" customFormat="1">
      <c r="B87" s="6"/>
      <c r="C87" s="6"/>
      <c r="D87" s="6"/>
      <c r="E87" s="6"/>
      <c r="F87" s="6"/>
      <c r="G87" s="6"/>
      <c r="U87" s="41"/>
      <c r="AD87" s="46"/>
    </row>
    <row r="88" spans="2:30" s="5" customFormat="1">
      <c r="B88" s="6"/>
      <c r="C88" s="6"/>
      <c r="D88" s="6"/>
      <c r="E88" s="6"/>
      <c r="F88" s="6"/>
      <c r="G88" s="6"/>
      <c r="U88" s="41"/>
      <c r="AD88" s="46"/>
    </row>
    <row r="89" spans="2:30" s="5" customFormat="1">
      <c r="B89" s="6"/>
      <c r="C89" s="6"/>
      <c r="D89" s="6"/>
      <c r="E89" s="6"/>
      <c r="F89" s="6"/>
      <c r="G89" s="6"/>
      <c r="U89" s="41"/>
      <c r="AD89" s="46"/>
    </row>
    <row r="90" spans="2:30" s="5" customFormat="1">
      <c r="B90" s="6"/>
      <c r="C90" s="6"/>
      <c r="D90" s="6"/>
      <c r="E90" s="6"/>
      <c r="F90" s="6"/>
      <c r="G90" s="6"/>
      <c r="U90" s="41"/>
      <c r="AD90" s="46"/>
    </row>
    <row r="91" spans="2:30" s="5" customFormat="1">
      <c r="B91" s="6"/>
      <c r="C91" s="6"/>
      <c r="D91" s="6"/>
      <c r="E91" s="6"/>
      <c r="F91" s="6"/>
      <c r="G91" s="6"/>
      <c r="U91" s="41"/>
      <c r="AD91" s="46"/>
    </row>
    <row r="92" spans="2:30" s="5" customFormat="1">
      <c r="B92" s="6"/>
      <c r="C92" s="6"/>
      <c r="D92" s="6"/>
      <c r="E92" s="6"/>
      <c r="F92" s="6"/>
      <c r="G92" s="6"/>
      <c r="U92" s="41"/>
      <c r="AD92" s="46"/>
    </row>
    <row r="93" spans="2:30" s="5" customFormat="1">
      <c r="B93" s="6"/>
      <c r="C93" s="6"/>
      <c r="D93" s="6"/>
      <c r="E93" s="6"/>
      <c r="F93" s="6"/>
      <c r="G93" s="6"/>
      <c r="U93" s="41"/>
      <c r="AD93" s="46"/>
    </row>
    <row r="94" spans="2:30" s="5" customFormat="1">
      <c r="B94" s="6"/>
      <c r="C94" s="6"/>
      <c r="D94" s="6"/>
      <c r="E94" s="6"/>
      <c r="F94" s="6"/>
      <c r="G94" s="6"/>
      <c r="U94" s="41"/>
      <c r="AD94" s="46"/>
    </row>
    <row r="95" spans="2:30" s="5" customFormat="1">
      <c r="B95" s="6"/>
      <c r="C95" s="6"/>
      <c r="D95" s="6"/>
      <c r="E95" s="6"/>
      <c r="F95" s="6"/>
      <c r="G95" s="6"/>
      <c r="U95" s="41"/>
      <c r="AD95" s="46"/>
    </row>
    <row r="96" spans="2:30" s="5" customFormat="1">
      <c r="B96" s="6"/>
      <c r="C96" s="6"/>
      <c r="D96" s="6"/>
      <c r="E96" s="6"/>
      <c r="F96" s="6"/>
      <c r="G96" s="6"/>
      <c r="U96" s="41"/>
      <c r="AD96" s="46"/>
    </row>
    <row r="97" spans="2:30" s="5" customFormat="1">
      <c r="B97" s="6"/>
      <c r="C97" s="6"/>
      <c r="D97" s="6"/>
      <c r="E97" s="6"/>
      <c r="F97" s="6"/>
      <c r="G97" s="6"/>
      <c r="U97" s="41"/>
      <c r="AD97" s="46"/>
    </row>
    <row r="98" spans="2:30" s="5" customFormat="1">
      <c r="B98" s="6"/>
      <c r="C98" s="6"/>
      <c r="D98" s="6"/>
      <c r="E98" s="6"/>
      <c r="F98" s="6"/>
      <c r="G98" s="6"/>
      <c r="U98" s="41"/>
      <c r="AD98" s="46"/>
    </row>
    <row r="99" spans="2:30" s="5" customFormat="1">
      <c r="B99" s="6"/>
      <c r="C99" s="6"/>
      <c r="D99" s="6"/>
      <c r="E99" s="6"/>
      <c r="F99" s="6"/>
      <c r="G99" s="6"/>
      <c r="U99" s="41"/>
      <c r="AD99" s="46"/>
    </row>
    <row r="100" spans="2:30" s="5" customFormat="1">
      <c r="B100" s="6"/>
      <c r="C100" s="6"/>
      <c r="D100" s="6"/>
      <c r="E100" s="6"/>
      <c r="F100" s="6"/>
      <c r="G100" s="6"/>
      <c r="U100" s="41"/>
      <c r="AD100" s="46"/>
    </row>
    <row r="101" spans="2:30" s="5" customFormat="1">
      <c r="B101" s="6"/>
      <c r="C101" s="6"/>
      <c r="D101" s="6"/>
      <c r="E101" s="6"/>
      <c r="F101" s="6"/>
      <c r="G101" s="6"/>
      <c r="U101" s="41"/>
      <c r="AD101" s="46"/>
    </row>
    <row r="102" spans="2:30" s="5" customFormat="1">
      <c r="B102" s="6"/>
      <c r="C102" s="6"/>
      <c r="D102" s="6"/>
      <c r="E102" s="6"/>
      <c r="F102" s="6"/>
      <c r="G102" s="6"/>
      <c r="U102" s="41"/>
      <c r="AD102" s="46"/>
    </row>
    <row r="103" spans="2:30" s="5" customFormat="1">
      <c r="B103" s="6"/>
      <c r="C103" s="6"/>
      <c r="D103" s="6"/>
      <c r="E103" s="6"/>
      <c r="F103" s="6"/>
      <c r="G103" s="6"/>
      <c r="U103" s="41"/>
      <c r="AD103" s="46"/>
    </row>
    <row r="104" spans="2:30" s="5" customFormat="1">
      <c r="B104" s="6"/>
      <c r="C104" s="6"/>
      <c r="D104" s="6"/>
      <c r="E104" s="6"/>
      <c r="F104" s="6"/>
      <c r="G104" s="6"/>
      <c r="U104" s="41"/>
      <c r="AD104" s="46"/>
    </row>
    <row r="105" spans="2:30" s="5" customFormat="1">
      <c r="B105" s="6"/>
      <c r="C105" s="6"/>
      <c r="D105" s="6"/>
      <c r="E105" s="6"/>
      <c r="F105" s="6"/>
      <c r="G105" s="6"/>
      <c r="U105" s="41"/>
      <c r="AD105" s="46"/>
    </row>
    <row r="106" spans="2:30" s="5" customFormat="1">
      <c r="B106" s="6"/>
      <c r="C106" s="6"/>
      <c r="D106" s="6"/>
      <c r="E106" s="6"/>
      <c r="F106" s="6"/>
      <c r="G106" s="6"/>
      <c r="U106" s="41"/>
      <c r="AD106" s="46"/>
    </row>
    <row r="107" spans="2:30" s="5" customFormat="1">
      <c r="B107" s="6"/>
      <c r="C107" s="6"/>
      <c r="D107" s="6"/>
      <c r="E107" s="6"/>
      <c r="F107" s="6"/>
      <c r="G107" s="6"/>
      <c r="U107" s="41"/>
      <c r="AD107" s="46"/>
    </row>
    <row r="108" spans="2:30" s="5" customFormat="1">
      <c r="B108" s="6"/>
      <c r="C108" s="6"/>
      <c r="D108" s="6"/>
      <c r="E108" s="6"/>
      <c r="F108" s="6"/>
      <c r="G108" s="6"/>
      <c r="U108" s="41"/>
      <c r="AD108" s="46"/>
    </row>
    <row r="109" spans="2:30" s="5" customFormat="1">
      <c r="B109" s="6"/>
      <c r="C109" s="6"/>
      <c r="D109" s="6"/>
      <c r="E109" s="6"/>
      <c r="F109" s="6"/>
      <c r="G109" s="6"/>
      <c r="U109" s="41"/>
      <c r="AD109" s="46"/>
    </row>
    <row r="110" spans="2:30" s="5" customFormat="1">
      <c r="B110" s="6"/>
      <c r="C110" s="6"/>
      <c r="D110" s="6"/>
      <c r="E110" s="6"/>
      <c r="F110" s="6"/>
      <c r="G110" s="6"/>
      <c r="U110" s="41"/>
      <c r="AD110" s="46"/>
    </row>
    <row r="111" spans="2:30" s="5" customFormat="1">
      <c r="B111" s="6"/>
      <c r="C111" s="6"/>
      <c r="D111" s="6"/>
      <c r="E111" s="6"/>
      <c r="F111" s="6"/>
      <c r="G111" s="6"/>
      <c r="U111" s="41"/>
      <c r="AD111" s="46"/>
    </row>
    <row r="112" spans="2:30" s="5" customFormat="1">
      <c r="B112" s="6"/>
      <c r="C112" s="6"/>
      <c r="D112" s="6"/>
      <c r="E112" s="6"/>
      <c r="F112" s="6"/>
      <c r="G112" s="6"/>
      <c r="U112" s="41"/>
      <c r="AD112" s="46"/>
    </row>
    <row r="113" spans="2:30" s="5" customFormat="1">
      <c r="B113" s="6"/>
      <c r="C113" s="6"/>
      <c r="D113" s="6"/>
      <c r="E113" s="6"/>
      <c r="F113" s="6"/>
      <c r="G113" s="6"/>
      <c r="U113" s="41"/>
      <c r="AD113" s="46"/>
    </row>
    <row r="114" spans="2:30" s="5" customFormat="1">
      <c r="B114" s="6"/>
      <c r="C114" s="6"/>
      <c r="D114" s="6"/>
      <c r="E114" s="6"/>
      <c r="F114" s="6"/>
      <c r="G114" s="6"/>
      <c r="U114" s="41"/>
      <c r="AD114" s="46"/>
    </row>
    <row r="115" spans="2:30" s="5" customFormat="1">
      <c r="B115" s="6"/>
      <c r="C115" s="6"/>
      <c r="D115" s="6"/>
      <c r="E115" s="6"/>
      <c r="F115" s="6"/>
      <c r="G115" s="6"/>
      <c r="U115" s="41"/>
      <c r="AD115" s="46"/>
    </row>
    <row r="116" spans="2:30" s="5" customFormat="1">
      <c r="B116" s="6"/>
      <c r="C116" s="6"/>
      <c r="D116" s="6"/>
      <c r="E116" s="6"/>
      <c r="F116" s="6"/>
      <c r="G116" s="6"/>
      <c r="U116" s="41"/>
      <c r="AD116" s="46"/>
    </row>
    <row r="117" spans="2:30" s="5" customFormat="1">
      <c r="B117" s="6"/>
      <c r="C117" s="6"/>
      <c r="D117" s="6"/>
      <c r="E117" s="6"/>
      <c r="F117" s="6"/>
      <c r="G117" s="6"/>
      <c r="U117" s="41"/>
      <c r="AD117" s="46"/>
    </row>
    <row r="118" spans="2:30" s="5" customFormat="1">
      <c r="B118" s="6"/>
      <c r="C118" s="6"/>
      <c r="D118" s="6"/>
      <c r="E118" s="6"/>
      <c r="F118" s="6"/>
      <c r="G118" s="6"/>
      <c r="U118" s="41"/>
      <c r="AD118" s="46"/>
    </row>
    <row r="119" spans="2:30" s="5" customFormat="1">
      <c r="B119" s="6"/>
      <c r="C119" s="6"/>
      <c r="D119" s="6"/>
      <c r="E119" s="6"/>
      <c r="F119" s="6"/>
      <c r="G119" s="6"/>
      <c r="U119" s="41"/>
      <c r="AD119" s="46"/>
    </row>
    <row r="120" spans="2:30" s="5" customFormat="1">
      <c r="B120" s="6"/>
      <c r="C120" s="6"/>
      <c r="D120" s="6"/>
      <c r="E120" s="6"/>
      <c r="F120" s="6"/>
      <c r="G120" s="6"/>
      <c r="U120" s="41"/>
      <c r="AD120" s="46"/>
    </row>
    <row r="121" spans="2:30" s="5" customFormat="1">
      <c r="B121" s="6"/>
      <c r="C121" s="6"/>
      <c r="D121" s="6"/>
      <c r="E121" s="6"/>
      <c r="F121" s="6"/>
      <c r="G121" s="6"/>
      <c r="U121" s="41"/>
      <c r="AD121" s="46"/>
    </row>
    <row r="122" spans="2:30" s="5" customFormat="1">
      <c r="B122" s="6"/>
      <c r="C122" s="6"/>
      <c r="D122" s="6"/>
      <c r="E122" s="6"/>
      <c r="F122" s="6"/>
      <c r="G122" s="6"/>
      <c r="U122" s="41"/>
      <c r="AD122" s="46"/>
    </row>
    <row r="123" spans="2:30" s="5" customFormat="1">
      <c r="B123" s="6"/>
      <c r="C123" s="6"/>
      <c r="D123" s="6"/>
      <c r="E123" s="6"/>
      <c r="F123" s="6"/>
      <c r="G123" s="6"/>
      <c r="U123" s="41"/>
      <c r="AD123" s="46"/>
    </row>
    <row r="124" spans="2:30" s="5" customFormat="1">
      <c r="B124" s="6"/>
      <c r="C124" s="6"/>
      <c r="D124" s="6"/>
      <c r="E124" s="6"/>
      <c r="F124" s="6"/>
      <c r="G124" s="6"/>
      <c r="U124" s="41"/>
      <c r="AD124" s="46"/>
    </row>
    <row r="125" spans="2:30" s="5" customFormat="1">
      <c r="B125" s="6"/>
      <c r="C125" s="6"/>
      <c r="D125" s="6"/>
      <c r="E125" s="6"/>
      <c r="F125" s="6"/>
      <c r="G125" s="6"/>
      <c r="U125" s="41"/>
      <c r="AD125" s="46"/>
    </row>
    <row r="126" spans="2:30" s="5" customFormat="1">
      <c r="B126" s="6"/>
      <c r="C126" s="6"/>
      <c r="D126" s="6"/>
      <c r="E126" s="6"/>
      <c r="F126" s="6"/>
      <c r="G126" s="6"/>
      <c r="U126" s="41"/>
      <c r="AD126" s="46"/>
    </row>
    <row r="127" spans="2:30" s="5" customFormat="1">
      <c r="B127" s="6"/>
      <c r="C127" s="6"/>
      <c r="D127" s="6"/>
      <c r="E127" s="6"/>
      <c r="F127" s="6"/>
      <c r="G127" s="6"/>
      <c r="U127" s="41"/>
      <c r="AD127" s="46"/>
    </row>
    <row r="128" spans="2:30" s="5" customFormat="1">
      <c r="B128" s="6"/>
      <c r="C128" s="6"/>
      <c r="D128" s="6"/>
      <c r="E128" s="6"/>
      <c r="F128" s="6"/>
      <c r="G128" s="6"/>
      <c r="U128" s="41"/>
      <c r="AD128" s="46"/>
    </row>
    <row r="129" spans="2:30" s="5" customFormat="1">
      <c r="B129" s="6"/>
      <c r="C129" s="6"/>
      <c r="D129" s="6"/>
      <c r="E129" s="6"/>
      <c r="F129" s="6"/>
      <c r="G129" s="6"/>
      <c r="U129" s="41"/>
      <c r="AD129" s="46"/>
    </row>
    <row r="130" spans="2:30" s="5" customFormat="1">
      <c r="B130" s="6"/>
      <c r="C130" s="6"/>
      <c r="D130" s="6"/>
      <c r="E130" s="6"/>
      <c r="F130" s="6"/>
      <c r="G130" s="6"/>
      <c r="U130" s="41"/>
      <c r="AD130" s="46"/>
    </row>
    <row r="131" spans="2:30" s="5" customFormat="1">
      <c r="B131" s="6"/>
      <c r="C131" s="6"/>
      <c r="D131" s="6"/>
      <c r="E131" s="6"/>
      <c r="F131" s="6"/>
      <c r="G131" s="6"/>
      <c r="U131" s="41"/>
      <c r="AD131" s="46"/>
    </row>
    <row r="132" spans="2:30" s="5" customFormat="1">
      <c r="B132" s="6"/>
      <c r="C132" s="6"/>
      <c r="D132" s="6"/>
      <c r="E132" s="6"/>
      <c r="F132" s="6"/>
      <c r="G132" s="6"/>
      <c r="U132" s="41"/>
      <c r="AD132" s="46"/>
    </row>
    <row r="133" spans="2:30" s="5" customFormat="1">
      <c r="B133" s="6"/>
      <c r="C133" s="6"/>
      <c r="D133" s="6"/>
      <c r="E133" s="6"/>
      <c r="F133" s="6"/>
      <c r="G133" s="6"/>
      <c r="U133" s="41"/>
      <c r="AD133" s="46"/>
    </row>
    <row r="134" spans="2:30" s="5" customFormat="1">
      <c r="B134" s="6"/>
      <c r="C134" s="6"/>
      <c r="D134" s="6"/>
      <c r="E134" s="6"/>
      <c r="F134" s="6"/>
      <c r="G134" s="6"/>
      <c r="U134" s="41"/>
      <c r="AD134" s="46"/>
    </row>
    <row r="135" spans="2:30" s="5" customFormat="1">
      <c r="B135" s="6"/>
      <c r="C135" s="6"/>
      <c r="D135" s="6"/>
      <c r="E135" s="6"/>
      <c r="F135" s="6"/>
      <c r="G135" s="6"/>
      <c r="U135" s="41"/>
      <c r="AD135" s="46"/>
    </row>
    <row r="136" spans="2:30" s="5" customFormat="1">
      <c r="B136" s="6"/>
      <c r="C136" s="6"/>
      <c r="D136" s="6"/>
      <c r="E136" s="6"/>
      <c r="F136" s="6"/>
      <c r="G136" s="6"/>
      <c r="U136" s="41"/>
      <c r="AD136" s="46"/>
    </row>
    <row r="137" spans="2:30" s="5" customFormat="1">
      <c r="B137" s="6"/>
      <c r="C137" s="6"/>
      <c r="D137" s="6"/>
      <c r="E137" s="6"/>
      <c r="F137" s="6"/>
      <c r="G137" s="6"/>
      <c r="U137" s="41"/>
      <c r="AD137" s="46"/>
    </row>
    <row r="138" spans="2:30" s="5" customFormat="1">
      <c r="B138" s="6"/>
      <c r="C138" s="6"/>
      <c r="D138" s="6"/>
      <c r="E138" s="6"/>
      <c r="F138" s="6"/>
      <c r="G138" s="6"/>
      <c r="U138" s="41"/>
      <c r="AD138" s="46"/>
    </row>
    <row r="139" spans="2:30" s="5" customFormat="1">
      <c r="B139" s="6"/>
      <c r="C139" s="6"/>
      <c r="D139" s="6"/>
      <c r="E139" s="6"/>
      <c r="F139" s="6"/>
      <c r="G139" s="6"/>
      <c r="U139" s="41"/>
      <c r="AD139" s="46"/>
    </row>
    <row r="140" spans="2:30" s="5" customFormat="1">
      <c r="B140" s="6"/>
      <c r="C140" s="6"/>
      <c r="D140" s="6"/>
      <c r="E140" s="6"/>
      <c r="F140" s="6"/>
      <c r="G140" s="6"/>
      <c r="U140" s="41"/>
      <c r="AD140" s="46"/>
    </row>
    <row r="141" spans="2:30" s="5" customFormat="1">
      <c r="B141" s="6"/>
      <c r="C141" s="6"/>
      <c r="D141" s="6"/>
      <c r="E141" s="6"/>
      <c r="F141" s="6"/>
      <c r="G141" s="6"/>
      <c r="U141" s="41"/>
      <c r="AD141" s="46"/>
    </row>
    <row r="142" spans="2:30" s="5" customFormat="1">
      <c r="B142" s="6"/>
      <c r="C142" s="6"/>
      <c r="D142" s="6"/>
      <c r="E142" s="6"/>
      <c r="F142" s="6"/>
      <c r="G142" s="6"/>
      <c r="U142" s="41"/>
      <c r="AD142" s="46"/>
    </row>
    <row r="143" spans="2:30" s="5" customFormat="1">
      <c r="B143" s="6"/>
      <c r="C143" s="6"/>
      <c r="D143" s="6"/>
      <c r="E143" s="6"/>
      <c r="F143" s="6"/>
      <c r="G143" s="6"/>
      <c r="U143" s="41"/>
      <c r="AD143" s="46"/>
    </row>
    <row r="144" spans="2:30" s="5" customFormat="1">
      <c r="B144" s="6"/>
      <c r="C144" s="6"/>
      <c r="D144" s="6"/>
      <c r="E144" s="6"/>
      <c r="F144" s="6"/>
      <c r="G144" s="6"/>
      <c r="U144" s="41"/>
      <c r="AD144" s="46"/>
    </row>
    <row r="145" spans="2:30" s="5" customFormat="1">
      <c r="B145" s="6"/>
      <c r="C145" s="6"/>
      <c r="D145" s="6"/>
      <c r="E145" s="6"/>
      <c r="F145" s="6"/>
      <c r="G145" s="6"/>
      <c r="U145" s="41"/>
      <c r="AD145" s="46"/>
    </row>
    <row r="146" spans="2:30" s="5" customFormat="1">
      <c r="B146" s="6"/>
      <c r="C146" s="6"/>
      <c r="D146" s="6"/>
      <c r="E146" s="6"/>
      <c r="F146" s="6"/>
      <c r="G146" s="6"/>
      <c r="U146" s="41"/>
      <c r="AD146" s="46"/>
    </row>
    <row r="147" spans="2:30" s="5" customFormat="1">
      <c r="B147" s="6"/>
      <c r="C147" s="6"/>
      <c r="D147" s="6"/>
      <c r="E147" s="6"/>
      <c r="F147" s="6"/>
      <c r="G147" s="6"/>
      <c r="U147" s="41"/>
      <c r="AD147" s="46"/>
    </row>
    <row r="148" spans="2:30" s="5" customFormat="1">
      <c r="B148" s="6"/>
      <c r="C148" s="6"/>
      <c r="D148" s="6"/>
      <c r="E148" s="6"/>
      <c r="F148" s="6"/>
      <c r="G148" s="6"/>
      <c r="U148" s="41"/>
      <c r="AD148" s="46"/>
    </row>
    <row r="149" spans="2:30" s="5" customFormat="1">
      <c r="B149" s="6"/>
      <c r="C149" s="6"/>
      <c r="D149" s="6"/>
      <c r="E149" s="6"/>
      <c r="F149" s="6"/>
      <c r="G149" s="6"/>
      <c r="U149" s="41"/>
      <c r="AD149" s="46"/>
    </row>
    <row r="150" spans="2:30" s="5" customFormat="1">
      <c r="B150" s="6"/>
      <c r="C150" s="6"/>
      <c r="D150" s="6"/>
      <c r="E150" s="6"/>
      <c r="F150" s="6"/>
      <c r="G150" s="6"/>
      <c r="U150" s="41"/>
      <c r="AD150" s="46"/>
    </row>
    <row r="151" spans="2:30" s="5" customFormat="1">
      <c r="B151" s="6"/>
      <c r="C151" s="6"/>
      <c r="D151" s="6"/>
      <c r="E151" s="6"/>
      <c r="F151" s="6"/>
      <c r="G151" s="6"/>
      <c r="U151" s="41"/>
      <c r="AD151" s="46"/>
    </row>
    <row r="152" spans="2:30" s="5" customFormat="1">
      <c r="B152" s="6"/>
      <c r="C152" s="6"/>
      <c r="D152" s="6"/>
      <c r="E152" s="6"/>
      <c r="F152" s="6"/>
      <c r="G152" s="6"/>
      <c r="U152" s="41"/>
      <c r="AD152" s="46"/>
    </row>
    <row r="153" spans="2:30" s="5" customFormat="1">
      <c r="B153" s="6"/>
      <c r="C153" s="6"/>
      <c r="D153" s="6"/>
      <c r="E153" s="6"/>
      <c r="F153" s="6"/>
      <c r="G153" s="6"/>
      <c r="U153" s="41"/>
      <c r="AD153" s="46"/>
    </row>
    <row r="154" spans="2:30" s="5" customFormat="1">
      <c r="B154" s="6"/>
      <c r="C154" s="6"/>
      <c r="D154" s="6"/>
      <c r="E154" s="6"/>
      <c r="F154" s="6"/>
      <c r="G154" s="6"/>
      <c r="U154" s="41"/>
      <c r="AD154" s="46"/>
    </row>
    <row r="155" spans="2:30" s="5" customFormat="1">
      <c r="B155" s="6"/>
      <c r="C155" s="6"/>
      <c r="D155" s="6"/>
      <c r="E155" s="6"/>
      <c r="F155" s="6"/>
      <c r="G155" s="6"/>
      <c r="U155" s="41"/>
      <c r="AD155" s="46"/>
    </row>
    <row r="156" spans="2:30" s="5" customFormat="1">
      <c r="B156" s="6"/>
      <c r="C156" s="6"/>
      <c r="D156" s="6"/>
      <c r="E156" s="6"/>
      <c r="F156" s="6"/>
      <c r="G156" s="6"/>
      <c r="U156" s="41"/>
      <c r="AD156" s="46"/>
    </row>
    <row r="157" spans="2:30" s="5" customFormat="1">
      <c r="B157" s="6"/>
      <c r="C157" s="6"/>
      <c r="D157" s="6"/>
      <c r="E157" s="6"/>
      <c r="F157" s="6"/>
      <c r="G157" s="6"/>
      <c r="U157" s="41"/>
      <c r="AD157" s="46"/>
    </row>
    <row r="158" spans="2:30" s="5" customFormat="1">
      <c r="B158" s="6"/>
      <c r="C158" s="6"/>
      <c r="D158" s="6"/>
      <c r="E158" s="6"/>
      <c r="F158" s="6"/>
      <c r="G158" s="6"/>
      <c r="U158" s="41"/>
      <c r="AD158" s="46"/>
    </row>
    <row r="159" spans="2:30" s="5" customFormat="1">
      <c r="B159" s="6"/>
      <c r="C159" s="6"/>
      <c r="D159" s="6"/>
      <c r="E159" s="6"/>
      <c r="F159" s="6"/>
      <c r="G159" s="6"/>
      <c r="U159" s="41"/>
      <c r="AD159" s="46"/>
    </row>
    <row r="160" spans="2:30" s="5" customFormat="1">
      <c r="B160" s="6"/>
      <c r="C160" s="6"/>
      <c r="D160" s="6"/>
      <c r="E160" s="6"/>
      <c r="F160" s="6"/>
      <c r="G160" s="6"/>
      <c r="U160" s="41"/>
      <c r="AD160" s="46"/>
    </row>
    <row r="161" spans="2:30" s="5" customFormat="1">
      <c r="B161" s="6"/>
      <c r="C161" s="6"/>
      <c r="D161" s="6"/>
      <c r="E161" s="6"/>
      <c r="F161" s="6"/>
      <c r="G161" s="6"/>
      <c r="U161" s="41"/>
      <c r="AD161" s="46"/>
    </row>
    <row r="162" spans="2:30" s="5" customFormat="1">
      <c r="B162" s="6"/>
      <c r="C162" s="6"/>
      <c r="D162" s="6"/>
      <c r="E162" s="6"/>
      <c r="F162" s="6"/>
      <c r="G162" s="6"/>
      <c r="U162" s="41"/>
      <c r="AD162" s="46"/>
    </row>
    <row r="163" spans="2:30" s="5" customFormat="1">
      <c r="B163" s="6"/>
      <c r="C163" s="6"/>
      <c r="D163" s="6"/>
      <c r="E163" s="6"/>
      <c r="F163" s="6"/>
      <c r="G163" s="6"/>
      <c r="U163" s="41"/>
      <c r="AD163" s="46"/>
    </row>
    <row r="164" spans="2:30" s="5" customFormat="1">
      <c r="B164" s="6"/>
      <c r="C164" s="6"/>
      <c r="D164" s="6"/>
      <c r="E164" s="6"/>
      <c r="F164" s="6"/>
      <c r="G164" s="6"/>
      <c r="U164" s="41"/>
      <c r="AD164" s="46"/>
    </row>
    <row r="165" spans="2:30" s="5" customFormat="1">
      <c r="B165" s="6"/>
      <c r="C165" s="6"/>
      <c r="D165" s="6"/>
      <c r="E165" s="6"/>
      <c r="F165" s="6"/>
      <c r="G165" s="6"/>
      <c r="U165" s="41"/>
      <c r="AD165" s="46"/>
    </row>
    <row r="166" spans="2:30" s="5" customFormat="1">
      <c r="B166" s="6"/>
      <c r="C166" s="6"/>
      <c r="D166" s="6"/>
      <c r="E166" s="6"/>
      <c r="F166" s="6"/>
      <c r="G166" s="6"/>
      <c r="U166" s="41"/>
      <c r="AD166" s="46"/>
    </row>
    <row r="167" spans="2:30" s="5" customFormat="1">
      <c r="B167" s="6"/>
      <c r="C167" s="6"/>
      <c r="D167" s="6"/>
      <c r="E167" s="6"/>
      <c r="F167" s="6"/>
      <c r="G167" s="6"/>
      <c r="U167" s="41"/>
      <c r="AD167" s="46"/>
    </row>
    <row r="168" spans="2:30" s="5" customFormat="1">
      <c r="B168" s="6"/>
      <c r="C168" s="6"/>
      <c r="D168" s="6"/>
      <c r="E168" s="6"/>
      <c r="F168" s="6"/>
      <c r="G168" s="6"/>
      <c r="U168" s="41"/>
      <c r="AD168" s="46"/>
    </row>
    <row r="169" spans="2:30" s="5" customFormat="1">
      <c r="B169" s="6"/>
      <c r="C169" s="6"/>
      <c r="D169" s="6"/>
      <c r="E169" s="6"/>
      <c r="F169" s="6"/>
      <c r="G169" s="6"/>
      <c r="U169" s="41"/>
      <c r="AD169" s="46"/>
    </row>
    <row r="170" spans="2:30" s="5" customFormat="1">
      <c r="B170" s="6"/>
      <c r="C170" s="6"/>
      <c r="D170" s="6"/>
      <c r="E170" s="6"/>
      <c r="F170" s="6"/>
      <c r="G170" s="6"/>
      <c r="U170" s="41"/>
      <c r="AD170" s="46"/>
    </row>
    <row r="171" spans="2:30" s="5" customFormat="1">
      <c r="B171" s="6"/>
      <c r="C171" s="6"/>
      <c r="D171" s="6"/>
      <c r="E171" s="6"/>
      <c r="F171" s="6"/>
      <c r="G171" s="6"/>
      <c r="U171" s="41"/>
      <c r="AD171" s="46"/>
    </row>
    <row r="172" spans="2:30" s="5" customFormat="1">
      <c r="B172" s="6"/>
      <c r="C172" s="6"/>
      <c r="D172" s="6"/>
      <c r="E172" s="6"/>
      <c r="F172" s="6"/>
      <c r="G172" s="6"/>
      <c r="U172" s="41"/>
      <c r="AD172" s="46"/>
    </row>
    <row r="173" spans="2:30" s="5" customFormat="1">
      <c r="B173" s="6"/>
      <c r="C173" s="6"/>
      <c r="D173" s="6"/>
      <c r="E173" s="6"/>
      <c r="F173" s="6"/>
      <c r="G173" s="6"/>
      <c r="U173" s="41"/>
      <c r="AD173" s="46"/>
    </row>
    <row r="174" spans="2:30" s="5" customFormat="1">
      <c r="B174" s="6"/>
      <c r="C174" s="6"/>
      <c r="D174" s="6"/>
      <c r="E174" s="6"/>
      <c r="F174" s="6"/>
      <c r="G174" s="6"/>
      <c r="U174" s="41"/>
      <c r="AD174" s="46"/>
    </row>
    <row r="175" spans="2:30" s="5" customFormat="1">
      <c r="B175" s="6"/>
      <c r="C175" s="6"/>
      <c r="D175" s="6"/>
      <c r="E175" s="6"/>
      <c r="F175" s="6"/>
      <c r="G175" s="6"/>
      <c r="U175" s="41"/>
      <c r="AD175" s="46"/>
    </row>
    <row r="176" spans="2:30" s="5" customFormat="1">
      <c r="B176" s="6"/>
      <c r="C176" s="6"/>
      <c r="D176" s="6"/>
      <c r="E176" s="6"/>
      <c r="F176" s="6"/>
      <c r="G176" s="6"/>
      <c r="U176" s="41"/>
      <c r="AD176" s="46"/>
    </row>
    <row r="177" spans="2:30" s="5" customFormat="1">
      <c r="B177" s="6"/>
      <c r="C177" s="6"/>
      <c r="D177" s="6"/>
      <c r="E177" s="6"/>
      <c r="F177" s="6"/>
      <c r="G177" s="6"/>
      <c r="U177" s="41"/>
      <c r="AD177" s="46"/>
    </row>
    <row r="178" spans="2:30" s="5" customFormat="1">
      <c r="B178" s="6"/>
      <c r="C178" s="6"/>
      <c r="D178" s="6"/>
      <c r="E178" s="6"/>
      <c r="F178" s="6"/>
      <c r="G178" s="6"/>
      <c r="U178" s="41"/>
      <c r="AD178" s="46"/>
    </row>
  </sheetData>
  <mergeCells count="5">
    <mergeCell ref="A6:A8"/>
    <mergeCell ref="B6:AC6"/>
    <mergeCell ref="B7:O7"/>
    <mergeCell ref="P7:P8"/>
    <mergeCell ref="Q7:AC7"/>
  </mergeCells>
  <phoneticPr fontId="110" type="noConversion"/>
  <printOptions horizontalCentered="1"/>
  <pageMargins left="0.2" right="0.2" top="0" bottom="0.25" header="0.3" footer="0.3"/>
  <pageSetup paperSize="9" scale="35"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AG170"/>
  <sheetViews>
    <sheetView workbookViewId="0"/>
  </sheetViews>
  <sheetFormatPr defaultColWidth="9.33203125" defaultRowHeight="12.4"/>
  <cols>
    <col min="1" max="1" width="13" style="1" customWidth="1"/>
    <col min="2" max="2" width="23.5" style="3" customWidth="1"/>
    <col min="3" max="3" width="26" style="3" customWidth="1"/>
    <col min="4" max="4" width="26.5" style="3" customWidth="1"/>
    <col min="5" max="5" width="26" style="3" customWidth="1"/>
    <col min="6" max="6" width="26" style="1" customWidth="1"/>
    <col min="7" max="7" width="26.1640625" style="3" customWidth="1"/>
    <col min="8" max="8" width="23.1640625" style="3" customWidth="1"/>
    <col min="9" max="9" width="27.6640625" style="1" customWidth="1"/>
    <col min="10" max="10" width="27.5" style="1" customWidth="1"/>
    <col min="11" max="11" width="26.5" style="1" customWidth="1"/>
    <col min="12" max="12" width="30" style="1" customWidth="1"/>
    <col min="13" max="13" width="25" style="1" customWidth="1"/>
    <col min="14" max="14" width="28" style="1" customWidth="1"/>
    <col min="15" max="15" width="26.33203125" style="1" customWidth="1"/>
    <col min="16" max="16" width="30" style="1" customWidth="1"/>
    <col min="17" max="17" width="31" style="1" customWidth="1"/>
    <col min="18" max="18" width="17.33203125" style="1" hidden="1" customWidth="1"/>
    <col min="19" max="19" width="18.33203125" style="1" hidden="1" customWidth="1"/>
    <col min="20" max="21" width="18.83203125" style="1" hidden="1" customWidth="1"/>
    <col min="22" max="22" width="18.6640625" style="43" hidden="1" customWidth="1"/>
    <col min="23" max="23" width="19" style="1" hidden="1" customWidth="1"/>
    <col min="24" max="24" width="19.1640625" style="1" hidden="1" customWidth="1"/>
    <col min="25" max="25" width="19" style="1" hidden="1" customWidth="1"/>
    <col min="26" max="26" width="18.33203125" style="1" hidden="1" customWidth="1"/>
    <col min="27" max="27" width="19.83203125" style="1" hidden="1" customWidth="1"/>
    <col min="28" max="28" width="19.33203125" style="1" hidden="1" customWidth="1"/>
    <col min="29" max="29" width="18.33203125" style="1" hidden="1" customWidth="1"/>
    <col min="30" max="30" width="23.33203125" style="1" hidden="1" customWidth="1"/>
    <col min="31" max="31" width="29.1640625" style="49" customWidth="1"/>
    <col min="32" max="32" width="9.33203125" style="1"/>
    <col min="33" max="33" width="15" style="1" bestFit="1" customWidth="1"/>
    <col min="34" max="16384" width="9.33203125" style="1"/>
  </cols>
  <sheetData>
    <row r="1" spans="1:33" s="5" customFormat="1" ht="24" customHeight="1">
      <c r="A1" s="21" t="s">
        <v>16</v>
      </c>
      <c r="B1" s="6"/>
      <c r="C1" s="6"/>
      <c r="D1" s="6"/>
      <c r="E1" s="6"/>
      <c r="G1" s="6"/>
      <c r="H1" s="6"/>
      <c r="V1" s="41"/>
      <c r="AE1" s="46"/>
    </row>
    <row r="2" spans="1:33" s="5" customFormat="1" ht="30.75" customHeight="1">
      <c r="A2" s="438" t="s">
        <v>24</v>
      </c>
      <c r="B2" s="438"/>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438"/>
      <c r="AC2" s="438"/>
      <c r="AD2" s="438"/>
      <c r="AE2" s="46"/>
    </row>
    <row r="3" spans="1:33" s="5" customFormat="1">
      <c r="B3" s="37">
        <f>IFERROR(B20/B10,0)</f>
        <v>1.2642672658946668</v>
      </c>
      <c r="C3" s="37">
        <f>IFERROR(C20/C10,0)</f>
        <v>0.85865160300811239</v>
      </c>
      <c r="D3" s="37">
        <f>IFERROR(D20/D10,0)</f>
        <v>90.421711463941421</v>
      </c>
      <c r="E3" s="37"/>
      <c r="F3" s="35">
        <f>IFERROR(F20/F10,0)</f>
        <v>0</v>
      </c>
      <c r="G3" s="87">
        <f t="shared" ref="G3:N3" si="0">IFERROR(G20/G10,0)</f>
        <v>0</v>
      </c>
      <c r="H3" s="87">
        <f t="shared" ref="H3" si="1">IFERROR(H20/H10,0)</f>
        <v>0</v>
      </c>
      <c r="I3" s="35">
        <f t="shared" si="0"/>
        <v>0</v>
      </c>
      <c r="J3" s="35">
        <f t="shared" si="0"/>
        <v>0</v>
      </c>
      <c r="K3" s="35">
        <f t="shared" si="0"/>
        <v>0</v>
      </c>
      <c r="L3" s="35">
        <f t="shared" si="0"/>
        <v>0</v>
      </c>
      <c r="M3" s="35">
        <f t="shared" si="0"/>
        <v>0</v>
      </c>
      <c r="N3" s="35">
        <f t="shared" si="0"/>
        <v>0</v>
      </c>
      <c r="O3" s="85"/>
      <c r="P3" s="51"/>
      <c r="Q3" s="51"/>
      <c r="R3" s="35"/>
      <c r="S3" s="35"/>
      <c r="T3" s="35"/>
      <c r="U3" s="35"/>
      <c r="V3" s="86"/>
      <c r="W3" s="35"/>
      <c r="X3" s="35"/>
      <c r="Y3" s="35"/>
      <c r="Z3" s="35"/>
      <c r="AA3" s="35"/>
      <c r="AB3" s="35"/>
      <c r="AC3" s="85"/>
      <c r="AD3" s="35"/>
      <c r="AE3" s="46"/>
    </row>
    <row r="4" spans="1:33" s="5" customFormat="1">
      <c r="B4" s="37">
        <f t="shared" ref="B4:D5" si="2">IFERROR(B22/B12,0)</f>
        <v>1.9555806765490968</v>
      </c>
      <c r="C4" s="37">
        <f t="shared" si="2"/>
        <v>0.89412426130394529</v>
      </c>
      <c r="D4" s="37">
        <f t="shared" si="2"/>
        <v>0.90909999999433655</v>
      </c>
      <c r="E4" s="37"/>
      <c r="F4" s="35">
        <f>IFERROR(F22/F12,0)</f>
        <v>0</v>
      </c>
      <c r="G4" s="87">
        <f>IFERROR(G22/G12,0)</f>
        <v>0.90910000000133673</v>
      </c>
      <c r="H4" s="87">
        <f t="shared" ref="H4" si="3">IFERROR(H22/H12,0)</f>
        <v>0.90909999999600166</v>
      </c>
      <c r="I4" s="35">
        <f t="shared" ref="I4:N5" si="4">IFERROR(I22/I12,0)</f>
        <v>0.90910000000364444</v>
      </c>
      <c r="J4" s="35">
        <f t="shared" si="4"/>
        <v>0.90909999999622859</v>
      </c>
      <c r="K4" s="35">
        <f t="shared" si="4"/>
        <v>0.90910000000376634</v>
      </c>
      <c r="L4" s="35">
        <f t="shared" si="4"/>
        <v>0.90909999999718805</v>
      </c>
      <c r="M4" s="35">
        <f t="shared" si="4"/>
        <v>0.90910000000504765</v>
      </c>
      <c r="N4" s="35">
        <f t="shared" si="4"/>
        <v>0.90909999999216795</v>
      </c>
      <c r="O4" s="85"/>
      <c r="P4" s="51"/>
      <c r="Q4" s="51"/>
      <c r="R4" s="35"/>
      <c r="S4" s="35"/>
      <c r="T4" s="35"/>
      <c r="U4" s="35"/>
      <c r="V4" s="86"/>
      <c r="W4" s="35"/>
      <c r="X4" s="35"/>
      <c r="Y4" s="35"/>
      <c r="Z4" s="35"/>
      <c r="AA4" s="35"/>
      <c r="AB4" s="35"/>
      <c r="AC4" s="85"/>
      <c r="AD4" s="35"/>
      <c r="AE4" s="46"/>
    </row>
    <row r="5" spans="1:33" s="5" customFormat="1">
      <c r="B5" s="37">
        <f t="shared" si="2"/>
        <v>0</v>
      </c>
      <c r="C5" s="37">
        <f t="shared" si="2"/>
        <v>0</v>
      </c>
      <c r="D5" s="37">
        <f t="shared" si="2"/>
        <v>0</v>
      </c>
      <c r="E5" s="37"/>
      <c r="F5" s="35">
        <f>IFERROR(F23/F13,0)</f>
        <v>0</v>
      </c>
      <c r="G5" s="87">
        <f>IFERROR(G23/G13,0)</f>
        <v>0</v>
      </c>
      <c r="H5" s="87">
        <f t="shared" ref="H5" si="5">IFERROR(H23/H13,0)</f>
        <v>0</v>
      </c>
      <c r="I5" s="35">
        <f t="shared" si="4"/>
        <v>0</v>
      </c>
      <c r="J5" s="35">
        <f t="shared" si="4"/>
        <v>0</v>
      </c>
      <c r="K5" s="35">
        <f t="shared" si="4"/>
        <v>0</v>
      </c>
      <c r="L5" s="35">
        <f t="shared" si="4"/>
        <v>0</v>
      </c>
      <c r="M5" s="35">
        <f t="shared" si="4"/>
        <v>0</v>
      </c>
      <c r="N5" s="35">
        <f t="shared" si="4"/>
        <v>0</v>
      </c>
      <c r="O5" s="85"/>
      <c r="P5" s="51"/>
      <c r="Q5" s="51"/>
      <c r="R5" s="35"/>
      <c r="S5" s="35"/>
      <c r="T5" s="35"/>
      <c r="U5" s="35"/>
      <c r="V5" s="86"/>
      <c r="W5" s="35"/>
      <c r="X5" s="35"/>
      <c r="Y5" s="35"/>
      <c r="Z5" s="35"/>
      <c r="AA5" s="35"/>
      <c r="AB5" s="35"/>
      <c r="AC5" s="85"/>
      <c r="AD5" s="35"/>
      <c r="AE5" s="46"/>
    </row>
    <row r="6" spans="1:33" s="10" customFormat="1" ht="39" customHeight="1">
      <c r="A6" s="427" t="s">
        <v>2</v>
      </c>
      <c r="B6" s="430">
        <v>2020</v>
      </c>
      <c r="C6" s="430"/>
      <c r="D6" s="430"/>
      <c r="E6" s="431"/>
      <c r="F6" s="430"/>
      <c r="G6" s="430"/>
      <c r="H6" s="431"/>
      <c r="I6" s="430"/>
      <c r="J6" s="430"/>
      <c r="K6" s="430"/>
      <c r="L6" s="430"/>
      <c r="M6" s="430"/>
      <c r="N6" s="430"/>
      <c r="O6" s="430"/>
      <c r="P6" s="430"/>
      <c r="Q6" s="431"/>
      <c r="R6" s="430"/>
      <c r="S6" s="430"/>
      <c r="T6" s="430"/>
      <c r="U6" s="430"/>
      <c r="V6" s="430"/>
      <c r="W6" s="430"/>
      <c r="X6" s="430"/>
      <c r="Y6" s="430"/>
      <c r="Z6" s="430"/>
      <c r="AA6" s="430"/>
      <c r="AB6" s="430"/>
      <c r="AC6" s="430"/>
      <c r="AD6" s="430"/>
      <c r="AE6" s="47"/>
    </row>
    <row r="7" spans="1:33" s="11" customFormat="1" ht="39" customHeight="1">
      <c r="A7" s="428"/>
      <c r="B7" s="432" t="s">
        <v>5</v>
      </c>
      <c r="C7" s="433"/>
      <c r="D7" s="433"/>
      <c r="E7" s="434"/>
      <c r="F7" s="433"/>
      <c r="G7" s="433"/>
      <c r="H7" s="434"/>
      <c r="I7" s="433"/>
      <c r="J7" s="433"/>
      <c r="K7" s="433"/>
      <c r="L7" s="433"/>
      <c r="M7" s="433"/>
      <c r="N7" s="433"/>
      <c r="O7" s="433"/>
      <c r="P7" s="435"/>
      <c r="Q7" s="436" t="s">
        <v>25</v>
      </c>
      <c r="R7" s="432" t="s">
        <v>6</v>
      </c>
      <c r="S7" s="433"/>
      <c r="T7" s="433"/>
      <c r="U7" s="433"/>
      <c r="V7" s="433"/>
      <c r="W7" s="433"/>
      <c r="X7" s="433"/>
      <c r="Y7" s="433"/>
      <c r="Z7" s="433"/>
      <c r="AA7" s="433"/>
      <c r="AB7" s="433"/>
      <c r="AC7" s="433"/>
      <c r="AD7" s="435"/>
      <c r="AE7" s="48"/>
    </row>
    <row r="8" spans="1:33" s="11" customFormat="1" ht="56.25" customHeight="1">
      <c r="A8" s="429"/>
      <c r="B8" s="2">
        <v>43831</v>
      </c>
      <c r="C8" s="2">
        <v>43862</v>
      </c>
      <c r="D8" s="2">
        <v>43891</v>
      </c>
      <c r="E8" s="80" t="s">
        <v>32</v>
      </c>
      <c r="F8" s="82" t="s">
        <v>31</v>
      </c>
      <c r="G8" s="2">
        <v>43922</v>
      </c>
      <c r="H8" s="84">
        <v>43952</v>
      </c>
      <c r="I8" s="2">
        <v>43983</v>
      </c>
      <c r="J8" s="2">
        <v>44013</v>
      </c>
      <c r="K8" s="2">
        <v>44044</v>
      </c>
      <c r="L8" s="2">
        <v>44075</v>
      </c>
      <c r="M8" s="2">
        <v>44105</v>
      </c>
      <c r="N8" s="2">
        <v>44136</v>
      </c>
      <c r="O8" s="2">
        <v>44166</v>
      </c>
      <c r="P8" s="4" t="s">
        <v>8</v>
      </c>
      <c r="Q8" s="437"/>
      <c r="R8" s="2">
        <v>43831</v>
      </c>
      <c r="S8" s="2">
        <v>43862</v>
      </c>
      <c r="T8" s="2">
        <v>43891</v>
      </c>
      <c r="U8" s="2">
        <v>43922</v>
      </c>
      <c r="V8" s="2">
        <v>43952</v>
      </c>
      <c r="W8" s="2">
        <v>43983</v>
      </c>
      <c r="X8" s="2">
        <v>44013</v>
      </c>
      <c r="Y8" s="2">
        <v>44044</v>
      </c>
      <c r="Z8" s="2">
        <v>44075</v>
      </c>
      <c r="AA8" s="2">
        <v>44105</v>
      </c>
      <c r="AB8" s="2">
        <v>44136</v>
      </c>
      <c r="AC8" s="2">
        <v>44166</v>
      </c>
      <c r="AD8" s="4" t="s">
        <v>7</v>
      </c>
      <c r="AE8" s="48"/>
    </row>
    <row r="9" spans="1:33" s="14" customFormat="1" ht="39" customHeight="1">
      <c r="A9" s="32" t="s">
        <v>3</v>
      </c>
      <c r="B9" s="12">
        <f>B10+B11+B13+B12+B14+B15+B16</f>
        <v>4807107413</v>
      </c>
      <c r="C9" s="12">
        <f t="shared" ref="C9" si="6">C10+C11+C13+C12+C14+C15+C16</f>
        <v>122201809731</v>
      </c>
      <c r="D9" s="12">
        <f>D10+D11+D13+D12+D14+D15+D16+D17</f>
        <v>76862470284</v>
      </c>
      <c r="E9" s="12">
        <f t="shared" ref="E9:Q9" si="7">E10+E11+E13+E12+E14+E15+E16+E17</f>
        <v>-13517431114.380342</v>
      </c>
      <c r="F9" s="12">
        <f t="shared" si="7"/>
        <v>28522363284</v>
      </c>
      <c r="G9" s="12">
        <f t="shared" si="7"/>
        <v>96484772001</v>
      </c>
      <c r="H9" s="12">
        <f t="shared" si="7"/>
        <v>98960543321</v>
      </c>
      <c r="I9" s="12">
        <f t="shared" si="7"/>
        <v>132734603403</v>
      </c>
      <c r="J9" s="12">
        <f t="shared" si="7"/>
        <v>145145813960</v>
      </c>
      <c r="K9" s="12">
        <f t="shared" si="7"/>
        <v>126402749252</v>
      </c>
      <c r="L9" s="12">
        <f t="shared" si="7"/>
        <v>113339584995</v>
      </c>
      <c r="M9" s="12">
        <f t="shared" si="7"/>
        <v>90675558278</v>
      </c>
      <c r="N9" s="12">
        <f t="shared" si="7"/>
        <v>72712988033</v>
      </c>
      <c r="O9" s="12">
        <f>O10+O11+O13+O12+O14+O15+O16+O17+O18</f>
        <v>181050139347</v>
      </c>
      <c r="P9" s="27">
        <f>P10+P11+P13+P12+P14+P15+P16+P17+P18</f>
        <v>1276383072187.6196</v>
      </c>
      <c r="Q9" s="27" t="e">
        <f t="shared" si="7"/>
        <v>#REF!</v>
      </c>
      <c r="R9" s="13">
        <f>R10+R11+R13+R12+R14+R15+R16+R17</f>
        <v>207695.28680060487</v>
      </c>
      <c r="S9" s="13">
        <f t="shared" ref="S9:T9" si="8">S10+S11+S13+S12+S14+S15+S16+S17</f>
        <v>5278695.8847084232</v>
      </c>
      <c r="T9" s="13">
        <f t="shared" si="8"/>
        <v>3912581.024430139</v>
      </c>
      <c r="U9" s="13">
        <f>U10+U11+U13+U12+U14+U15+U16+U17+U18</f>
        <v>4139200.8580437573</v>
      </c>
      <c r="V9" s="13">
        <f t="shared" ref="V9:AC9" si="9">V10+V11+V13+V12+V14+V15+V16+V17+V18</f>
        <v>4271063.5874406556</v>
      </c>
      <c r="W9" s="13">
        <f t="shared" si="9"/>
        <v>5747330.7400000002</v>
      </c>
      <c r="X9" s="13">
        <f t="shared" si="9"/>
        <v>6291539.4000866916</v>
      </c>
      <c r="Y9" s="13">
        <f t="shared" si="9"/>
        <v>5479096.2000000002</v>
      </c>
      <c r="Z9" s="13">
        <f t="shared" si="9"/>
        <v>4910727.25</v>
      </c>
      <c r="AA9" s="13">
        <f t="shared" si="9"/>
        <v>3930453.33</v>
      </c>
      <c r="AB9" s="13">
        <f t="shared" si="9"/>
        <v>3155945.6500000004</v>
      </c>
      <c r="AC9" s="13">
        <f t="shared" si="9"/>
        <v>7875169.1755980868</v>
      </c>
      <c r="AD9" s="30">
        <f>SUM(AD10:AD18)</f>
        <v>55199498.387108356</v>
      </c>
      <c r="AE9" s="34">
        <f>AD9-'[16]IS (01)'!$G$6</f>
        <v>-6.8464204668998718E-3</v>
      </c>
      <c r="AG9" s="88">
        <f>P9-'[16]IS (01)'!$L$6</f>
        <v>0</v>
      </c>
    </row>
    <row r="10" spans="1:33" s="10" customFormat="1" ht="39" customHeight="1">
      <c r="A10" s="33" t="s">
        <v>4</v>
      </c>
      <c r="B10" s="58">
        <v>101790526</v>
      </c>
      <c r="C10" s="15">
        <v>796647372</v>
      </c>
      <c r="D10" s="15">
        <v>119762196</v>
      </c>
      <c r="E10" s="78">
        <v>44236355.967801273</v>
      </c>
      <c r="F10" s="15">
        <v>12424252828</v>
      </c>
      <c r="G10" s="15">
        <v>0</v>
      </c>
      <c r="H10" s="78">
        <v>0</v>
      </c>
      <c r="I10" s="15">
        <v>0</v>
      </c>
      <c r="J10" s="20">
        <v>0</v>
      </c>
      <c r="K10" s="20">
        <v>0</v>
      </c>
      <c r="L10" s="20">
        <v>0</v>
      </c>
      <c r="M10" s="20">
        <v>0</v>
      </c>
      <c r="N10" s="20">
        <v>0</v>
      </c>
      <c r="O10" s="20">
        <v>0</v>
      </c>
      <c r="P10" s="28">
        <f>SUM(B10:O10)</f>
        <v>13486689277.967802</v>
      </c>
      <c r="Q10" s="154">
        <f>'Summary 2019'!N10+'Summary 2018'!N10+'Summary 2017'!J10+P10</f>
        <v>1311159373244.0864</v>
      </c>
      <c r="R10" s="17">
        <f t="shared" ref="R10:R18" si="10">B10/$R$29</f>
        <v>4397.9488442428174</v>
      </c>
      <c r="S10" s="17">
        <f t="shared" ref="S10:S18" si="11">C10/$S$29</f>
        <v>34412.413477321817</v>
      </c>
      <c r="T10" s="17">
        <f t="shared" ref="T10:T16" si="12">(D10+E10+F10)/$T$29</f>
        <v>536126.54940237652</v>
      </c>
      <c r="U10" s="17">
        <v>0</v>
      </c>
      <c r="V10" s="17">
        <v>0</v>
      </c>
      <c r="W10" s="17">
        <f t="shared" ref="W10:W16" si="13">ROUND(I10/$W$29,2)</f>
        <v>0</v>
      </c>
      <c r="X10" s="17">
        <v>0</v>
      </c>
      <c r="Y10" s="17">
        <f t="shared" ref="Y10:Y18" si="14">ROUND(K10/$Y$29,2)</f>
        <v>0</v>
      </c>
      <c r="Z10" s="17">
        <f t="shared" ref="Z10:Z18" si="15">ROUND(L10/$Z$29,2)</f>
        <v>0</v>
      </c>
      <c r="AA10" s="17">
        <f t="shared" ref="AA10:AA18" si="16">ROUND(M10/$AA$29,2)</f>
        <v>0</v>
      </c>
      <c r="AB10" s="17">
        <f>ROUND(N10/$AB$29,2)</f>
        <v>0</v>
      </c>
      <c r="AC10" s="17">
        <f t="shared" ref="AC10:AC18" si="17">O10/$AC$29</f>
        <v>0</v>
      </c>
      <c r="AD10" s="31">
        <f>SUM(R10:AC10)</f>
        <v>574936.9117239411</v>
      </c>
      <c r="AE10" s="47">
        <f>Q10-P10-'Summary 2019'!N10-'Summary 2018'!N10-'Summary 2017'!J10</f>
        <v>0</v>
      </c>
    </row>
    <row r="11" spans="1:33" s="10" customFormat="1" ht="39" customHeight="1">
      <c r="A11" s="33" t="s">
        <v>1</v>
      </c>
      <c r="B11" s="15"/>
      <c r="C11" s="15">
        <v>1587383748</v>
      </c>
      <c r="D11" s="15">
        <v>1644283036</v>
      </c>
      <c r="E11" s="79">
        <v>0</v>
      </c>
      <c r="F11" s="79">
        <v>0</v>
      </c>
      <c r="G11" s="15">
        <v>1280235925</v>
      </c>
      <c r="H11" s="78">
        <v>1567226021</v>
      </c>
      <c r="I11" s="15">
        <v>1504896393</v>
      </c>
      <c r="J11" s="20">
        <v>1520816678</v>
      </c>
      <c r="K11" s="20">
        <v>1531569159</v>
      </c>
      <c r="L11" s="20">
        <v>1433644979</v>
      </c>
      <c r="M11" s="20">
        <v>1826518615</v>
      </c>
      <c r="N11" s="20">
        <v>1499899926</v>
      </c>
      <c r="O11" s="16">
        <v>2943647721</v>
      </c>
      <c r="P11" s="28">
        <f t="shared" ref="P11:P26" si="18">SUM(B11:O11)</f>
        <v>18340122201</v>
      </c>
      <c r="Q11" s="60" t="e">
        <f>P11+'Summary 2019'!N11+'Summary 2018'!N11+'Summary 2017'!J11</f>
        <v>#REF!</v>
      </c>
      <c r="R11" s="17">
        <f t="shared" si="10"/>
        <v>0</v>
      </c>
      <c r="S11" s="17">
        <f t="shared" si="11"/>
        <v>68569.492354211659</v>
      </c>
      <c r="T11" s="17">
        <f t="shared" si="12"/>
        <v>70029.090119250424</v>
      </c>
      <c r="U11" s="17">
        <f t="shared" ref="U11:U16" si="19">G11/$U$29</f>
        <v>54922.176104676102</v>
      </c>
      <c r="V11" s="17">
        <f t="shared" ref="V11:V16" si="20">H11/$V$29</f>
        <v>67640.311652999575</v>
      </c>
      <c r="W11" s="17">
        <f t="shared" si="13"/>
        <v>65161.13</v>
      </c>
      <c r="X11" s="17">
        <f t="shared" ref="X11:X16" si="21">J11/$X$29</f>
        <v>65921.832596445602</v>
      </c>
      <c r="Y11" s="17">
        <f t="shared" si="14"/>
        <v>66387.91</v>
      </c>
      <c r="Z11" s="17">
        <f t="shared" si="15"/>
        <v>62116.33</v>
      </c>
      <c r="AA11" s="17">
        <f t="shared" si="16"/>
        <v>79172.89</v>
      </c>
      <c r="AB11" s="17">
        <f>ROUND(N11/$AB$29,2)</f>
        <v>65099.82</v>
      </c>
      <c r="AC11" s="17">
        <f t="shared" si="17"/>
        <v>128040.35324053936</v>
      </c>
      <c r="AD11" s="31">
        <f>SUM(R11:AC11)</f>
        <v>793061.33606812265</v>
      </c>
      <c r="AE11" s="47" t="e">
        <f>Q11-P11-'Summary 2019'!N11-'Summary 2018'!N11-'Summary 2017'!J11</f>
        <v>#REF!</v>
      </c>
      <c r="AG11" s="83"/>
    </row>
    <row r="12" spans="1:33" s="10" customFormat="1" ht="39" customHeight="1">
      <c r="A12" s="33" t="s">
        <v>11</v>
      </c>
      <c r="B12" s="15">
        <v>2511677021</v>
      </c>
      <c r="C12" s="16">
        <v>98837600605</v>
      </c>
      <c r="D12" s="15">
        <v>60122337455</v>
      </c>
      <c r="E12" s="78">
        <v>-12958939729.348145</v>
      </c>
      <c r="F12" s="79">
        <v>0</v>
      </c>
      <c r="G12" s="15">
        <v>70991669561</v>
      </c>
      <c r="H12" s="78">
        <v>83959556927</v>
      </c>
      <c r="I12" s="15">
        <v>97875350763</v>
      </c>
      <c r="J12" s="20">
        <v>105106493604</v>
      </c>
      <c r="K12" s="20">
        <v>74476019145</v>
      </c>
      <c r="L12" s="20">
        <v>65114880141</v>
      </c>
      <c r="M12" s="20">
        <v>25912975612</v>
      </c>
      <c r="N12" s="20">
        <v>28089904200</v>
      </c>
      <c r="O12" s="16">
        <v>66557662768</v>
      </c>
      <c r="P12" s="28">
        <f t="shared" si="18"/>
        <v>766597188072.65186</v>
      </c>
      <c r="Q12" s="154">
        <f>P12+'Summary 2019'!N12+'Summary 2018'!N12</f>
        <v>2146511412572.6082</v>
      </c>
      <c r="R12" s="17">
        <f t="shared" si="10"/>
        <v>108519.20591920501</v>
      </c>
      <c r="S12" s="17">
        <f t="shared" si="11"/>
        <v>4269442.7907127431</v>
      </c>
      <c r="T12" s="17">
        <f t="shared" si="12"/>
        <v>2008662.5947892612</v>
      </c>
      <c r="U12" s="17">
        <f t="shared" si="19"/>
        <v>3045545.6697125696</v>
      </c>
      <c r="V12" s="17">
        <f t="shared" si="20"/>
        <v>3623632.1504963315</v>
      </c>
      <c r="W12" s="17">
        <f t="shared" si="13"/>
        <v>4237945.4800000004</v>
      </c>
      <c r="X12" s="17">
        <f t="shared" si="21"/>
        <v>4555981.5172951883</v>
      </c>
      <c r="Y12" s="17">
        <f t="shared" si="14"/>
        <v>3228262.64</v>
      </c>
      <c r="Z12" s="17">
        <f t="shared" si="15"/>
        <v>2821268.64</v>
      </c>
      <c r="AA12" s="17">
        <f t="shared" si="16"/>
        <v>1123232.58</v>
      </c>
      <c r="AB12" s="17">
        <f>ROUND(N12/$AB$29,2)</f>
        <v>1219179.8700000001</v>
      </c>
      <c r="AC12" s="17">
        <f t="shared" si="17"/>
        <v>2895070.150848195</v>
      </c>
      <c r="AD12" s="31">
        <f t="shared" ref="AD12:AD17" si="22">SUM(R12:AC12)</f>
        <v>33136743.289773498</v>
      </c>
      <c r="AE12" s="47">
        <f>Q12-P12-'Summary 2019'!N12-'Summary 2018'!N12</f>
        <v>0</v>
      </c>
    </row>
    <row r="13" spans="1:33" s="10" customFormat="1" ht="39" customHeight="1">
      <c r="A13" s="33" t="s">
        <v>9</v>
      </c>
      <c r="B13" s="16">
        <v>0</v>
      </c>
      <c r="C13" s="16">
        <v>0</v>
      </c>
      <c r="D13" s="16">
        <v>0</v>
      </c>
      <c r="E13" s="79">
        <v>0</v>
      </c>
      <c r="F13" s="16">
        <v>16098110456</v>
      </c>
      <c r="G13" s="16">
        <v>0</v>
      </c>
      <c r="H13" s="79">
        <v>0</v>
      </c>
      <c r="I13" s="16">
        <v>0</v>
      </c>
      <c r="J13" s="16">
        <v>0</v>
      </c>
      <c r="K13" s="16">
        <v>0</v>
      </c>
      <c r="L13" s="16">
        <v>0</v>
      </c>
      <c r="M13" s="16">
        <v>0</v>
      </c>
      <c r="N13" s="16">
        <v>0</v>
      </c>
      <c r="O13" s="16">
        <v>0</v>
      </c>
      <c r="P13" s="28">
        <f>SUM(B13:O13)</f>
        <v>16098110456</v>
      </c>
      <c r="Q13" s="154" t="e">
        <f>'Summary 2019'!N13+'Summary 2018'!N13+'Summary 2017'!J12+P13</f>
        <v>#REF!</v>
      </c>
      <c r="R13" s="17">
        <f t="shared" si="10"/>
        <v>0</v>
      </c>
      <c r="S13" s="17">
        <f t="shared" si="11"/>
        <v>0</v>
      </c>
      <c r="T13" s="17">
        <f t="shared" si="12"/>
        <v>685609.47427597956</v>
      </c>
      <c r="U13" s="17">
        <f t="shared" si="19"/>
        <v>0</v>
      </c>
      <c r="V13" s="17">
        <f t="shared" si="20"/>
        <v>0</v>
      </c>
      <c r="W13" s="17">
        <f t="shared" si="13"/>
        <v>0</v>
      </c>
      <c r="X13" s="17">
        <f t="shared" si="21"/>
        <v>0</v>
      </c>
      <c r="Y13" s="17">
        <f t="shared" si="14"/>
        <v>0</v>
      </c>
      <c r="Z13" s="17">
        <f t="shared" si="15"/>
        <v>0</v>
      </c>
      <c r="AA13" s="17">
        <f t="shared" si="16"/>
        <v>0</v>
      </c>
      <c r="AB13" s="16">
        <v>0</v>
      </c>
      <c r="AC13" s="17">
        <f t="shared" si="17"/>
        <v>0</v>
      </c>
      <c r="AD13" s="31">
        <f t="shared" si="22"/>
        <v>685609.47427597956</v>
      </c>
      <c r="AE13" s="47"/>
    </row>
    <row r="14" spans="1:33" s="10" customFormat="1" ht="39" customHeight="1">
      <c r="A14" s="33" t="s">
        <v>21</v>
      </c>
      <c r="B14" s="79">
        <v>0</v>
      </c>
      <c r="C14" s="16">
        <v>1198497287</v>
      </c>
      <c r="D14" s="16">
        <v>1144391040</v>
      </c>
      <c r="E14" s="79">
        <v>0</v>
      </c>
      <c r="F14" s="79">
        <v>0</v>
      </c>
      <c r="G14" s="16">
        <v>1128785550</v>
      </c>
      <c r="H14" s="79">
        <v>1062489134</v>
      </c>
      <c r="I14" s="16">
        <v>1136316282</v>
      </c>
      <c r="J14" s="16">
        <v>1147087054</v>
      </c>
      <c r="K14" s="20">
        <v>1525933225</v>
      </c>
      <c r="L14" s="20">
        <v>1211252378</v>
      </c>
      <c r="M14" s="16">
        <v>1190313424</v>
      </c>
      <c r="N14" s="16">
        <v>1220862752</v>
      </c>
      <c r="O14" s="16">
        <v>3172424409</v>
      </c>
      <c r="P14" s="28">
        <f t="shared" si="18"/>
        <v>15138352535</v>
      </c>
      <c r="Q14" s="60">
        <f>'Summary 2019'!N14+P14</f>
        <v>24153255408</v>
      </c>
      <c r="R14" s="17">
        <f t="shared" si="10"/>
        <v>0</v>
      </c>
      <c r="S14" s="17">
        <f t="shared" si="11"/>
        <v>51770.941123110148</v>
      </c>
      <c r="T14" s="17">
        <f t="shared" si="12"/>
        <v>48738.971039182281</v>
      </c>
      <c r="U14" s="17">
        <f t="shared" si="19"/>
        <v>48424.948519948521</v>
      </c>
      <c r="V14" s="17">
        <f t="shared" si="20"/>
        <v>45856.242296072509</v>
      </c>
      <c r="W14" s="17">
        <f t="shared" si="13"/>
        <v>49201.83</v>
      </c>
      <c r="X14" s="17">
        <f t="shared" si="21"/>
        <v>49722.022280017336</v>
      </c>
      <c r="Y14" s="17">
        <f t="shared" si="14"/>
        <v>66143.62</v>
      </c>
      <c r="Z14" s="17">
        <f t="shared" si="15"/>
        <v>52480.61</v>
      </c>
      <c r="AA14" s="17">
        <f t="shared" si="16"/>
        <v>51595.73</v>
      </c>
      <c r="AB14" s="17">
        <f>ROUND(N14/$AB$29,2)</f>
        <v>52988.83</v>
      </c>
      <c r="AC14" s="17">
        <f t="shared" si="17"/>
        <v>137991.49234449762</v>
      </c>
      <c r="AD14" s="31">
        <f t="shared" si="22"/>
        <v>654915.23760282842</v>
      </c>
      <c r="AE14" s="47"/>
    </row>
    <row r="15" spans="1:33" s="10" customFormat="1" ht="39" customHeight="1">
      <c r="A15" s="33" t="s">
        <v>22</v>
      </c>
      <c r="B15" s="16">
        <v>1174240426</v>
      </c>
      <c r="C15" s="16">
        <v>10540744448</v>
      </c>
      <c r="D15" s="16">
        <v>12142009243</v>
      </c>
      <c r="E15" s="78">
        <v>-602727741</v>
      </c>
      <c r="F15" s="79">
        <v>0</v>
      </c>
      <c r="G15" s="16">
        <v>15085840071</v>
      </c>
      <c r="H15" s="79">
        <v>3462983876</v>
      </c>
      <c r="I15" s="16">
        <v>11796928664</v>
      </c>
      <c r="J15" s="16">
        <v>14874432968</v>
      </c>
      <c r="K15" s="16">
        <v>12214828894</v>
      </c>
      <c r="L15" s="20">
        <v>16618772094</v>
      </c>
      <c r="M15" s="16">
        <v>12665391216</v>
      </c>
      <c r="N15" s="16">
        <v>13243835363</v>
      </c>
      <c r="O15" s="16">
        <v>34631905996</v>
      </c>
      <c r="P15" s="28">
        <f>SUM(B15:O15)</f>
        <v>157849185518</v>
      </c>
      <c r="Q15" s="154">
        <f>'Summary 2019'!N15+P15</f>
        <v>203711838576</v>
      </c>
      <c r="R15" s="17">
        <f t="shared" si="10"/>
        <v>50734.086238928496</v>
      </c>
      <c r="S15" s="17">
        <f t="shared" si="11"/>
        <v>455323.73425485962</v>
      </c>
      <c r="T15" s="17">
        <f t="shared" si="12"/>
        <v>491451.51201022149</v>
      </c>
      <c r="U15" s="17">
        <f t="shared" si="19"/>
        <v>647183.18622908625</v>
      </c>
      <c r="V15" s="17">
        <f t="shared" si="20"/>
        <v>149459.81337936988</v>
      </c>
      <c r="W15" s="17">
        <f t="shared" si="13"/>
        <v>510800.12</v>
      </c>
      <c r="X15" s="17">
        <f t="shared" si="21"/>
        <v>644752.18760294758</v>
      </c>
      <c r="Y15" s="17">
        <f t="shared" si="14"/>
        <v>529468.09</v>
      </c>
      <c r="Z15" s="17">
        <f t="shared" si="15"/>
        <v>720050.78</v>
      </c>
      <c r="AA15" s="17">
        <f t="shared" si="16"/>
        <v>548998.31999999995</v>
      </c>
      <c r="AB15" s="17">
        <f>ROUND(N15/$AB$29,2)</f>
        <v>574819.24</v>
      </c>
      <c r="AC15" s="17">
        <f t="shared" si="17"/>
        <v>1506389.9954762941</v>
      </c>
      <c r="AD15" s="31">
        <f>SUM(R15:AC15)</f>
        <v>6829431.0651917076</v>
      </c>
      <c r="AE15" s="47"/>
    </row>
    <row r="16" spans="1:33" s="10" customFormat="1" ht="39" customHeight="1">
      <c r="A16" s="33" t="s">
        <v>23</v>
      </c>
      <c r="B16" s="16">
        <v>1019399440</v>
      </c>
      <c r="C16" s="16">
        <v>9240936271</v>
      </c>
      <c r="D16" s="16">
        <v>1689687314</v>
      </c>
      <c r="E16" s="79">
        <v>0</v>
      </c>
      <c r="F16" s="79">
        <v>0</v>
      </c>
      <c r="G16" s="16">
        <v>7998240894</v>
      </c>
      <c r="H16" s="79">
        <v>8908287363</v>
      </c>
      <c r="I16" s="16">
        <v>20421111301</v>
      </c>
      <c r="J16" s="16">
        <v>22496983656</v>
      </c>
      <c r="K16" s="16">
        <v>28514798829</v>
      </c>
      <c r="L16" s="16">
        <v>28961035403</v>
      </c>
      <c r="M16" s="16">
        <v>28731359411</v>
      </c>
      <c r="N16" s="16">
        <v>28658485792</v>
      </c>
      <c r="O16" s="16">
        <v>73640785527</v>
      </c>
      <c r="P16" s="28">
        <f t="shared" si="18"/>
        <v>260281111201</v>
      </c>
      <c r="Q16" s="154">
        <f>'Summary 2019'!N16+P16</f>
        <v>262589939013</v>
      </c>
      <c r="R16" s="17">
        <f t="shared" si="10"/>
        <v>44044.045798228559</v>
      </c>
      <c r="S16" s="17">
        <f t="shared" si="11"/>
        <v>399176.5127861771</v>
      </c>
      <c r="T16" s="17">
        <f t="shared" si="12"/>
        <v>71962.832793867128</v>
      </c>
      <c r="U16" s="17">
        <f t="shared" si="19"/>
        <v>343124.87747747748</v>
      </c>
      <c r="V16" s="17">
        <f t="shared" si="20"/>
        <v>384475.06961588259</v>
      </c>
      <c r="W16" s="17">
        <f t="shared" si="13"/>
        <v>884222.18</v>
      </c>
      <c r="X16" s="17">
        <f t="shared" si="21"/>
        <v>975161.84031209361</v>
      </c>
      <c r="Y16" s="17">
        <f t="shared" si="14"/>
        <v>1236012.0900000001</v>
      </c>
      <c r="Z16" s="17">
        <f t="shared" si="15"/>
        <v>1254810.8899999999</v>
      </c>
      <c r="AA16" s="17">
        <f t="shared" si="16"/>
        <v>1245399.19</v>
      </c>
      <c r="AB16" s="17">
        <f>ROUND(N16/$AB$29,2)</f>
        <v>1243857.8899999999</v>
      </c>
      <c r="AC16" s="17">
        <f t="shared" si="17"/>
        <v>3203165.9646367985</v>
      </c>
      <c r="AD16" s="31">
        <f t="shared" si="22"/>
        <v>11285413.383420523</v>
      </c>
      <c r="AE16" s="47"/>
    </row>
    <row r="17" spans="1:31" s="10" customFormat="1" ht="39" customHeight="1">
      <c r="A17" s="33" t="s">
        <v>33</v>
      </c>
      <c r="B17" s="79">
        <v>0</v>
      </c>
      <c r="C17" s="79">
        <v>0</v>
      </c>
      <c r="D17" s="79">
        <v>0</v>
      </c>
      <c r="E17" s="79">
        <v>0</v>
      </c>
      <c r="F17" s="79">
        <v>0</v>
      </c>
      <c r="G17" s="79">
        <v>0</v>
      </c>
      <c r="H17" s="79">
        <v>0</v>
      </c>
      <c r="I17" s="79">
        <v>0</v>
      </c>
      <c r="J17" s="79">
        <v>0</v>
      </c>
      <c r="K17" s="79">
        <v>8139600000</v>
      </c>
      <c r="L17" s="79">
        <v>0</v>
      </c>
      <c r="M17" s="79">
        <v>20349000000</v>
      </c>
      <c r="N17" s="79">
        <v>0</v>
      </c>
      <c r="O17" s="79">
        <v>0</v>
      </c>
      <c r="P17" s="28">
        <f t="shared" ref="P17" si="23">SUM(B17:O17)</f>
        <v>28488600000</v>
      </c>
      <c r="Q17" s="60">
        <f>P17</f>
        <v>28488600000</v>
      </c>
      <c r="R17" s="89">
        <f t="shared" si="10"/>
        <v>0</v>
      </c>
      <c r="S17" s="89">
        <f t="shared" si="11"/>
        <v>0</v>
      </c>
      <c r="T17" s="89">
        <v>0</v>
      </c>
      <c r="U17" s="89">
        <v>0</v>
      </c>
      <c r="V17" s="89">
        <v>0</v>
      </c>
      <c r="W17" s="89">
        <v>0</v>
      </c>
      <c r="X17" s="89">
        <v>0</v>
      </c>
      <c r="Y17" s="17">
        <f t="shared" si="14"/>
        <v>352821.85</v>
      </c>
      <c r="Z17" s="17">
        <f t="shared" si="15"/>
        <v>0</v>
      </c>
      <c r="AA17" s="17">
        <f t="shared" si="16"/>
        <v>882054.62</v>
      </c>
      <c r="AB17" s="17">
        <f>ROUND(N17/$AB$29,2)</f>
        <v>0</v>
      </c>
      <c r="AC17" s="17">
        <f t="shared" si="17"/>
        <v>0</v>
      </c>
      <c r="AD17" s="31">
        <f t="shared" si="22"/>
        <v>1234876.47</v>
      </c>
      <c r="AE17" s="47"/>
    </row>
    <row r="18" spans="1:31" s="10" customFormat="1" ht="39" customHeight="1">
      <c r="A18" s="33" t="s">
        <v>34</v>
      </c>
      <c r="B18" s="79">
        <v>0</v>
      </c>
      <c r="C18" s="79">
        <v>0</v>
      </c>
      <c r="D18" s="79">
        <v>0</v>
      </c>
      <c r="E18" s="79">
        <v>0</v>
      </c>
      <c r="F18" s="79">
        <v>0</v>
      </c>
      <c r="G18" s="79">
        <v>0</v>
      </c>
      <c r="H18" s="79">
        <v>0</v>
      </c>
      <c r="I18" s="79">
        <v>0</v>
      </c>
      <c r="J18" s="79">
        <v>0</v>
      </c>
      <c r="K18" s="79">
        <v>0</v>
      </c>
      <c r="L18" s="79">
        <v>0</v>
      </c>
      <c r="M18" s="79">
        <v>0</v>
      </c>
      <c r="N18" s="79">
        <v>0</v>
      </c>
      <c r="O18" s="79">
        <v>103712926</v>
      </c>
      <c r="P18" s="28">
        <f t="shared" ref="P18" si="24">SUM(B18:O18)</f>
        <v>103712926</v>
      </c>
      <c r="Q18" s="60">
        <f>P18</f>
        <v>103712926</v>
      </c>
      <c r="R18" s="89">
        <f t="shared" si="10"/>
        <v>0</v>
      </c>
      <c r="S18" s="89">
        <f t="shared" si="11"/>
        <v>0</v>
      </c>
      <c r="T18" s="89">
        <v>0</v>
      </c>
      <c r="U18" s="89">
        <v>0</v>
      </c>
      <c r="V18" s="89">
        <v>0</v>
      </c>
      <c r="W18" s="89">
        <v>0</v>
      </c>
      <c r="X18" s="89">
        <v>0</v>
      </c>
      <c r="Y18" s="17">
        <f t="shared" si="14"/>
        <v>0</v>
      </c>
      <c r="Z18" s="17">
        <f t="shared" si="15"/>
        <v>0</v>
      </c>
      <c r="AA18" s="17">
        <f t="shared" si="16"/>
        <v>0</v>
      </c>
      <c r="AB18" s="17">
        <f>ROUND(N18/$AB$29,2)</f>
        <v>0</v>
      </c>
      <c r="AC18" s="17">
        <f t="shared" si="17"/>
        <v>4511.2190517616355</v>
      </c>
      <c r="AD18" s="31">
        <f>SUM(R18:AC18)</f>
        <v>4511.2190517616355</v>
      </c>
      <c r="AE18" s="47"/>
    </row>
    <row r="19" spans="1:31" s="14" customFormat="1" ht="39" customHeight="1">
      <c r="A19" s="32" t="s">
        <v>15</v>
      </c>
      <c r="B19" s="12">
        <f>SUM(B20:B26)</f>
        <v>7437025595</v>
      </c>
      <c r="C19" s="12">
        <f t="shared" ref="C19" si="25">SUM(C20:C26)</f>
        <v>108793291483</v>
      </c>
      <c r="D19" s="12">
        <f>SUM(D20:D27)</f>
        <v>80041989744</v>
      </c>
      <c r="E19" s="12">
        <f t="shared" ref="E19:N19" si="26">SUM(E20:E27)</f>
        <v>0</v>
      </c>
      <c r="F19" s="12">
        <f t="shared" si="26"/>
        <v>0</v>
      </c>
      <c r="G19" s="12">
        <f>SUM(G20:G27)</f>
        <v>86714107150</v>
      </c>
      <c r="H19" s="12">
        <f t="shared" si="26"/>
        <v>89576574990</v>
      </c>
      <c r="I19" s="12">
        <f t="shared" si="26"/>
        <v>119186636102</v>
      </c>
      <c r="J19" s="12">
        <f t="shared" si="26"/>
        <v>130662278368</v>
      </c>
      <c r="K19" s="12">
        <f>SUM(K20:K27)</f>
        <v>106015140316</v>
      </c>
      <c r="L19" s="12">
        <f t="shared" si="26"/>
        <v>100678490791</v>
      </c>
      <c r="M19" s="12">
        <f t="shared" si="26"/>
        <v>76448522278</v>
      </c>
      <c r="N19" s="12">
        <f t="shared" si="26"/>
        <v>65057872783</v>
      </c>
      <c r="O19" s="12">
        <f>SUM(O20:O28)</f>
        <v>146069338811</v>
      </c>
      <c r="P19" s="27">
        <f>SUM(P20:P28)</f>
        <v>1116681268411</v>
      </c>
      <c r="Q19" s="27" t="e">
        <f>SUM(Q20:Q28)</f>
        <v>#REF!</v>
      </c>
      <c r="R19" s="13">
        <f>SUM(R20:R28)</f>
        <v>321323.20565996977</v>
      </c>
      <c r="S19" s="13">
        <f t="shared" ref="S19:AB19" si="27">SUM(S20:S28)</f>
        <v>4699494.232526998</v>
      </c>
      <c r="T19" s="13">
        <f t="shared" si="27"/>
        <v>3408943.3451448036</v>
      </c>
      <c r="U19" s="13">
        <f t="shared" si="27"/>
        <v>3720038.9167739167</v>
      </c>
      <c r="V19" s="13">
        <f t="shared" si="27"/>
        <v>3866058.4803625382</v>
      </c>
      <c r="W19" s="13">
        <f t="shared" si="27"/>
        <v>5160711.68</v>
      </c>
      <c r="X19" s="13">
        <f t="shared" si="27"/>
        <v>5663731.1819679234</v>
      </c>
      <c r="Y19" s="13">
        <f t="shared" si="27"/>
        <v>4595368.04</v>
      </c>
      <c r="Z19" s="13">
        <f t="shared" si="27"/>
        <v>4362152.9899999993</v>
      </c>
      <c r="AA19" s="13">
        <f t="shared" si="27"/>
        <v>3313763.4300000006</v>
      </c>
      <c r="AB19" s="13">
        <f t="shared" si="27"/>
        <v>2823692.4000000004</v>
      </c>
      <c r="AC19" s="13">
        <f>SUM(AC20:AC28)</f>
        <v>6353603.2540669851</v>
      </c>
      <c r="AD19" s="30">
        <f>SUM(AD20:AD28)</f>
        <v>48288881.156503133</v>
      </c>
      <c r="AE19" s="34">
        <f>AD19-'[16]IS (01)'!$G$13</f>
        <v>3.8907356560230255E-2</v>
      </c>
    </row>
    <row r="20" spans="1:31" s="10" customFormat="1" ht="39" customHeight="1">
      <c r="A20" s="33" t="s">
        <v>4</v>
      </c>
      <c r="B20" s="15">
        <v>128690430</v>
      </c>
      <c r="C20" s="15">
        <v>684042543</v>
      </c>
      <c r="D20" s="15">
        <v>10829102731</v>
      </c>
      <c r="E20" s="16">
        <v>0</v>
      </c>
      <c r="F20" s="16">
        <v>0</v>
      </c>
      <c r="G20" s="15">
        <v>0</v>
      </c>
      <c r="H20" s="78">
        <v>0</v>
      </c>
      <c r="I20" s="15">
        <v>0</v>
      </c>
      <c r="J20" s="20">
        <v>0</v>
      </c>
      <c r="K20" s="20">
        <v>0</v>
      </c>
      <c r="L20" s="20">
        <v>0</v>
      </c>
      <c r="M20" s="20">
        <v>0</v>
      </c>
      <c r="N20" s="20">
        <v>0</v>
      </c>
      <c r="O20" s="20">
        <f>0</f>
        <v>0</v>
      </c>
      <c r="P20" s="28">
        <f t="shared" si="18"/>
        <v>11641835704</v>
      </c>
      <c r="Q20" s="60" t="e">
        <f>P20+'Summary 2019'!N18+'Summary 2018'!N15+'Summary 2017'!J14</f>
        <v>#REF!</v>
      </c>
      <c r="R20" s="17">
        <f t="shared" ref="R20:R26" si="28">B20/$R$29</f>
        <v>5560.1827608554768</v>
      </c>
      <c r="S20" s="17">
        <f t="shared" ref="S20:S26" si="29">C20/$S$29</f>
        <v>29548.273995680345</v>
      </c>
      <c r="T20" s="17">
        <f t="shared" ref="T20:T26" si="30">D20/$T$29</f>
        <v>461205.39740204427</v>
      </c>
      <c r="U20" s="17">
        <f>G20/$U$29</f>
        <v>0</v>
      </c>
      <c r="V20" s="17">
        <f>H20/$U$29</f>
        <v>0</v>
      </c>
      <c r="W20" s="17">
        <f>ROUND(I20/$W$29,2)</f>
        <v>0</v>
      </c>
      <c r="X20" s="17">
        <f t="shared" ref="X20:X26" si="31">J20/$X$29</f>
        <v>0</v>
      </c>
      <c r="Y20" s="17">
        <f>ROUND(K20/$Y$29,2)</f>
        <v>0</v>
      </c>
      <c r="Z20" s="17">
        <f>ROUND(L20/$Z$29,2)</f>
        <v>0</v>
      </c>
      <c r="AA20" s="17">
        <f t="shared" ref="AA20:AA27" si="32">ROUND(M20/$AA$29,2)</f>
        <v>0</v>
      </c>
      <c r="AB20" s="17">
        <f>ROUND(N20/$AB$29,2)</f>
        <v>0</v>
      </c>
      <c r="AC20" s="17">
        <f t="shared" ref="AC20:AC22" si="33">O20/$AC$29</f>
        <v>0</v>
      </c>
      <c r="AD20" s="31">
        <f>SUM(R20:AC20)</f>
        <v>496313.85415858007</v>
      </c>
      <c r="AE20" s="47"/>
    </row>
    <row r="21" spans="1:31" s="10" customFormat="1" ht="39" customHeight="1">
      <c r="A21" s="33" t="s">
        <v>1</v>
      </c>
      <c r="B21" s="15">
        <v>3527073</v>
      </c>
      <c r="C21" s="15">
        <v>1446597876</v>
      </c>
      <c r="D21" s="15">
        <v>1498325145</v>
      </c>
      <c r="E21" s="16">
        <v>0</v>
      </c>
      <c r="F21" s="16">
        <v>0</v>
      </c>
      <c r="G21" s="15">
        <v>1167371915</v>
      </c>
      <c r="H21" s="78">
        <v>1428272067</v>
      </c>
      <c r="I21" s="15">
        <v>1371610454</v>
      </c>
      <c r="J21" s="20">
        <v>1384508637</v>
      </c>
      <c r="K21" s="20">
        <v>1394290268</v>
      </c>
      <c r="L21" s="20">
        <v>1305263072</v>
      </c>
      <c r="M21" s="20">
        <v>1662420485</v>
      </c>
      <c r="N21" s="20">
        <v>1365496120</v>
      </c>
      <c r="O21" s="16">
        <v>2677989669</v>
      </c>
      <c r="P21" s="28">
        <f t="shared" si="18"/>
        <v>16705672781</v>
      </c>
      <c r="Q21" s="60" t="e">
        <f>P21+'Summary 2019'!N19+'Summary 2018'!N16+'Summary 2017'!J15</f>
        <v>#REF!</v>
      </c>
      <c r="R21" s="17">
        <f t="shared" si="28"/>
        <v>152.3902786779002</v>
      </c>
      <c r="S21" s="17">
        <f t="shared" si="29"/>
        <v>62488.02920086393</v>
      </c>
      <c r="T21" s="17">
        <f t="shared" si="30"/>
        <v>63812.825596252129</v>
      </c>
      <c r="U21" s="17">
        <f t="shared" ref="U21:U26" si="34">G21/$U$29</f>
        <v>50080.305233805237</v>
      </c>
      <c r="V21" s="17">
        <f>H21/$V$29</f>
        <v>61643.16214933103</v>
      </c>
      <c r="W21" s="17">
        <f t="shared" ref="W21:W26" si="35">ROUND(I21/$W$29,2)</f>
        <v>59389.93</v>
      </c>
      <c r="X21" s="17">
        <f t="shared" si="31"/>
        <v>60013.378283485043</v>
      </c>
      <c r="Y21" s="17">
        <f t="shared" ref="Y21:Y23" si="36">ROUND(K21/$Y$29,2)</f>
        <v>60437.38</v>
      </c>
      <c r="Z21" s="17">
        <f t="shared" ref="Z21:Z27" si="37">ROUND(L21/$Z$29,2)</f>
        <v>56553.86</v>
      </c>
      <c r="AA21" s="17">
        <f t="shared" si="32"/>
        <v>72059.839999999997</v>
      </c>
      <c r="AB21" s="17">
        <f t="shared" ref="AB21:AB22" si="38">ROUND(N21/$AB$29,2)</f>
        <v>59266.32</v>
      </c>
      <c r="AC21" s="17">
        <f t="shared" si="33"/>
        <v>116484.97907785994</v>
      </c>
      <c r="AD21" s="31">
        <f t="shared" ref="AD21:AD25" si="39">SUM(R21:AC21)</f>
        <v>722382.39982027514</v>
      </c>
      <c r="AE21" s="47"/>
    </row>
    <row r="22" spans="1:31" s="10" customFormat="1" ht="39" customHeight="1">
      <c r="A22" s="33" t="s">
        <v>11</v>
      </c>
      <c r="B22" s="15">
        <v>4911787048</v>
      </c>
      <c r="C22" s="16">
        <v>88373096630</v>
      </c>
      <c r="D22" s="15">
        <v>54657216980</v>
      </c>
      <c r="E22" s="16">
        <v>0</v>
      </c>
      <c r="F22" s="16">
        <v>0</v>
      </c>
      <c r="G22" s="15">
        <v>64538526798</v>
      </c>
      <c r="H22" s="78">
        <v>76327633202</v>
      </c>
      <c r="I22" s="15">
        <v>88978481379</v>
      </c>
      <c r="J22" s="20">
        <v>95552313335</v>
      </c>
      <c r="K22" s="20">
        <v>67706149005</v>
      </c>
      <c r="L22" s="20">
        <v>59195937536</v>
      </c>
      <c r="M22" s="20">
        <v>23557486129</v>
      </c>
      <c r="N22" s="20">
        <v>25536531908</v>
      </c>
      <c r="O22" s="16">
        <v>60507571222</v>
      </c>
      <c r="P22" s="28">
        <f t="shared" si="18"/>
        <v>709842731172</v>
      </c>
      <c r="Q22" s="60">
        <f>P22+'Summary 2019'!N20+'Summary 2018'!N17</f>
        <v>1951393525167</v>
      </c>
      <c r="R22" s="17">
        <f t="shared" si="28"/>
        <v>212218.06213004969</v>
      </c>
      <c r="S22" s="17">
        <f t="shared" si="29"/>
        <v>3817412.3814254859</v>
      </c>
      <c r="T22" s="17">
        <f t="shared" si="30"/>
        <v>2327820.1439522998</v>
      </c>
      <c r="U22" s="17">
        <f t="shared" si="34"/>
        <v>2768705.5683397683</v>
      </c>
      <c r="V22" s="17">
        <f t="shared" ref="V22:V26" si="40">H22/$V$29</f>
        <v>3294243.9880017266</v>
      </c>
      <c r="W22" s="17">
        <f t="shared" si="35"/>
        <v>3852716.23</v>
      </c>
      <c r="X22" s="17">
        <f t="shared" si="31"/>
        <v>4141842.7973558735</v>
      </c>
      <c r="Y22" s="17">
        <f t="shared" si="36"/>
        <v>2934813.57</v>
      </c>
      <c r="Z22" s="17">
        <f t="shared" si="37"/>
        <v>2564815.3199999998</v>
      </c>
      <c r="AA22" s="17">
        <f t="shared" si="32"/>
        <v>1021130.74</v>
      </c>
      <c r="AB22" s="17">
        <f t="shared" si="38"/>
        <v>1108356.42</v>
      </c>
      <c r="AC22" s="17">
        <f t="shared" si="33"/>
        <v>2631908.274119182</v>
      </c>
      <c r="AD22" s="31">
        <f t="shared" si="39"/>
        <v>30675983.495324388</v>
      </c>
      <c r="AE22" s="47"/>
    </row>
    <row r="23" spans="1:31" s="10" customFormat="1" ht="41.25" customHeight="1">
      <c r="A23" s="33" t="s">
        <v>9</v>
      </c>
      <c r="B23" s="16">
        <v>0</v>
      </c>
      <c r="C23" s="16">
        <v>0</v>
      </c>
      <c r="D23" s="16">
        <v>0</v>
      </c>
      <c r="E23" s="16">
        <v>0</v>
      </c>
      <c r="F23" s="16">
        <v>0</v>
      </c>
      <c r="G23" s="16">
        <v>0</v>
      </c>
      <c r="H23" s="79">
        <v>0</v>
      </c>
      <c r="I23" s="16">
        <v>0</v>
      </c>
      <c r="J23" s="16">
        <v>0</v>
      </c>
      <c r="K23" s="16">
        <v>0</v>
      </c>
      <c r="L23" s="16">
        <v>0</v>
      </c>
      <c r="M23" s="16">
        <v>0</v>
      </c>
      <c r="N23" s="16">
        <v>0</v>
      </c>
      <c r="O23" s="16">
        <v>0</v>
      </c>
      <c r="P23" s="28">
        <f t="shared" si="18"/>
        <v>0</v>
      </c>
      <c r="Q23" s="60" t="e">
        <f>P23+'Summary 2019'!N21+'Summary 2018'!N18+'Summary 2017'!J16</f>
        <v>#REF!</v>
      </c>
      <c r="R23" s="17">
        <f t="shared" si="28"/>
        <v>0</v>
      </c>
      <c r="S23" s="17">
        <f t="shared" si="29"/>
        <v>0</v>
      </c>
      <c r="T23" s="17">
        <f t="shared" si="30"/>
        <v>0</v>
      </c>
      <c r="U23" s="17">
        <f t="shared" si="34"/>
        <v>0</v>
      </c>
      <c r="V23" s="17">
        <f t="shared" si="40"/>
        <v>0</v>
      </c>
      <c r="W23" s="17">
        <f t="shared" si="35"/>
        <v>0</v>
      </c>
      <c r="X23" s="17">
        <f t="shared" si="31"/>
        <v>0</v>
      </c>
      <c r="Y23" s="17">
        <f t="shared" si="36"/>
        <v>0</v>
      </c>
      <c r="Z23" s="17">
        <f t="shared" si="37"/>
        <v>0</v>
      </c>
      <c r="AA23" s="17">
        <f t="shared" si="32"/>
        <v>0</v>
      </c>
      <c r="AB23" s="16">
        <v>0</v>
      </c>
      <c r="AC23" s="16">
        <v>0</v>
      </c>
      <c r="AD23" s="31">
        <f t="shared" si="39"/>
        <v>0</v>
      </c>
      <c r="AE23" s="47"/>
    </row>
    <row r="24" spans="1:31" s="10" customFormat="1" ht="41.25" customHeight="1">
      <c r="A24" s="33" t="s">
        <v>21</v>
      </c>
      <c r="B24" s="16">
        <v>74575984</v>
      </c>
      <c r="C24" s="16">
        <v>1104905270</v>
      </c>
      <c r="D24" s="16">
        <v>1057014907</v>
      </c>
      <c r="E24" s="16">
        <v>0</v>
      </c>
      <c r="F24" s="16">
        <v>0</v>
      </c>
      <c r="G24" s="16">
        <v>1043379175</v>
      </c>
      <c r="H24" s="79">
        <v>992889131</v>
      </c>
      <c r="I24" s="15">
        <v>1063012426</v>
      </c>
      <c r="J24" s="20">
        <v>1086936221</v>
      </c>
      <c r="K24" s="20">
        <v>1465113076</v>
      </c>
      <c r="L24" s="20">
        <v>1181255570</v>
      </c>
      <c r="M24" s="20">
        <v>1158105064</v>
      </c>
      <c r="N24" s="20">
        <v>1185332629</v>
      </c>
      <c r="O24" s="16">
        <v>2868781041</v>
      </c>
      <c r="P24" s="28">
        <f t="shared" si="18"/>
        <v>14281300494</v>
      </c>
      <c r="Q24" s="60">
        <f>P24+'Summary 2019'!N22</f>
        <v>22502607507</v>
      </c>
      <c r="R24" s="17">
        <f t="shared" si="28"/>
        <v>3222.1207172175414</v>
      </c>
      <c r="S24" s="17">
        <f t="shared" si="29"/>
        <v>47728.089416846655</v>
      </c>
      <c r="T24" s="17">
        <f t="shared" si="30"/>
        <v>45017.670655877344</v>
      </c>
      <c r="U24" s="17">
        <f t="shared" si="34"/>
        <v>44761.011368511368</v>
      </c>
      <c r="V24" s="17">
        <f t="shared" si="40"/>
        <v>42852.357833405265</v>
      </c>
      <c r="W24" s="17">
        <f t="shared" si="35"/>
        <v>46027.82</v>
      </c>
      <c r="X24" s="17">
        <f t="shared" si="31"/>
        <v>47114.703987863024</v>
      </c>
      <c r="Y24" s="17">
        <f>ROUND(K24/$Y$29,2)</f>
        <v>63507.29</v>
      </c>
      <c r="Z24" s="17">
        <f t="shared" si="37"/>
        <v>51180.92</v>
      </c>
      <c r="AA24" s="17">
        <f t="shared" si="32"/>
        <v>50199.61</v>
      </c>
      <c r="AB24" s="17">
        <f t="shared" ref="AB24:AB26" si="41">ROUND(N24/$AB$29,2)</f>
        <v>51446.73</v>
      </c>
      <c r="AC24" s="17">
        <f t="shared" ref="AC24:AC26" si="42">O24/$AC$29</f>
        <v>124783.86433231839</v>
      </c>
      <c r="AD24" s="31">
        <f t="shared" si="39"/>
        <v>617842.18831203948</v>
      </c>
      <c r="AE24" s="47"/>
    </row>
    <row r="25" spans="1:31" s="10" customFormat="1" ht="41.25" customHeight="1">
      <c r="A25" s="33" t="s">
        <v>22</v>
      </c>
      <c r="B25" s="16">
        <v>1245367573</v>
      </c>
      <c r="C25" s="16">
        <v>9184375793</v>
      </c>
      <c r="D25" s="16">
        <v>10470607697</v>
      </c>
      <c r="E25" s="16">
        <v>0</v>
      </c>
      <c r="F25" s="16">
        <v>0</v>
      </c>
      <c r="G25" s="16">
        <v>12999944612</v>
      </c>
      <c r="H25" s="79">
        <v>3061933841</v>
      </c>
      <c r="I25" s="16">
        <v>10133131611</v>
      </c>
      <c r="J25" s="16">
        <v>12967755746</v>
      </c>
      <c r="K25" s="16">
        <v>10792421112</v>
      </c>
      <c r="L25" s="20">
        <v>14186560672</v>
      </c>
      <c r="M25" s="16">
        <v>11000376274</v>
      </c>
      <c r="N25" s="16">
        <v>11744042744</v>
      </c>
      <c r="O25" s="16">
        <v>29951659906</v>
      </c>
      <c r="P25" s="28">
        <f t="shared" si="18"/>
        <v>137738177581</v>
      </c>
      <c r="Q25" s="60">
        <f>P25+'Summary 2019'!N23</f>
        <v>176887496694</v>
      </c>
      <c r="R25" s="17">
        <f t="shared" si="28"/>
        <v>53807.196932382802</v>
      </c>
      <c r="S25" s="17">
        <f t="shared" si="29"/>
        <v>396733.29559395247</v>
      </c>
      <c r="T25" s="17">
        <f t="shared" si="30"/>
        <v>445937.29544293013</v>
      </c>
      <c r="U25" s="17">
        <f t="shared" si="34"/>
        <v>557698.18155298161</v>
      </c>
      <c r="V25" s="17">
        <f t="shared" si="40"/>
        <v>132150.79158394475</v>
      </c>
      <c r="W25" s="17">
        <f t="shared" si="35"/>
        <v>438758.68</v>
      </c>
      <c r="X25" s="17">
        <f t="shared" si="31"/>
        <v>562104.71374078887</v>
      </c>
      <c r="Y25" s="17">
        <f>ROUND(K25/$Y$29,2)</f>
        <v>467811.93</v>
      </c>
      <c r="Z25" s="17">
        <f t="shared" si="37"/>
        <v>614669.01</v>
      </c>
      <c r="AA25" s="17">
        <f t="shared" si="32"/>
        <v>476826.02</v>
      </c>
      <c r="AB25" s="17">
        <f t="shared" si="41"/>
        <v>509724.08</v>
      </c>
      <c r="AC25" s="17">
        <f t="shared" si="42"/>
        <v>1302812.5230969987</v>
      </c>
      <c r="AD25" s="31">
        <f t="shared" si="39"/>
        <v>5959033.7179439794</v>
      </c>
      <c r="AE25" s="47"/>
    </row>
    <row r="26" spans="1:31" s="10" customFormat="1" ht="41.25" customHeight="1">
      <c r="A26" s="33" t="s">
        <v>23</v>
      </c>
      <c r="B26" s="16">
        <v>1073077487</v>
      </c>
      <c r="C26" s="16">
        <v>8000273371</v>
      </c>
      <c r="D26" s="16">
        <v>1529722284</v>
      </c>
      <c r="E26" s="16">
        <v>0</v>
      </c>
      <c r="F26" s="16">
        <v>0</v>
      </c>
      <c r="G26" s="16">
        <v>6964884650</v>
      </c>
      <c r="H26" s="79">
        <v>7765846749</v>
      </c>
      <c r="I26" s="16">
        <v>17640400232</v>
      </c>
      <c r="J26" s="16">
        <v>19670764429</v>
      </c>
      <c r="K26" s="20">
        <v>24657166855</v>
      </c>
      <c r="L26" s="20">
        <v>24793002123</v>
      </c>
      <c r="M26" s="16">
        <v>24842306144</v>
      </c>
      <c r="N26" s="16">
        <v>25167527632</v>
      </c>
      <c r="O26" s="16">
        <v>63440710635</v>
      </c>
      <c r="P26" s="28">
        <f t="shared" si="18"/>
        <v>225545682591</v>
      </c>
      <c r="Q26" s="60">
        <f>P26+'Summary 2019'!N24</f>
        <v>227608286759</v>
      </c>
      <c r="R26" s="17">
        <f t="shared" si="28"/>
        <v>46363.25284078635</v>
      </c>
      <c r="S26" s="17">
        <f t="shared" si="29"/>
        <v>345584.16289416846</v>
      </c>
      <c r="T26" s="17">
        <f t="shared" si="30"/>
        <v>65150.012095400343</v>
      </c>
      <c r="U26" s="17">
        <f t="shared" si="34"/>
        <v>298793.8502788503</v>
      </c>
      <c r="V26" s="17">
        <f t="shared" si="40"/>
        <v>335168.18079413031</v>
      </c>
      <c r="W26" s="17">
        <f t="shared" si="35"/>
        <v>763819.02</v>
      </c>
      <c r="X26" s="17">
        <f t="shared" si="31"/>
        <v>852655.58859991329</v>
      </c>
      <c r="Y26" s="17">
        <f>ROUND(K26/$Y$29,2)</f>
        <v>1068797.8700000001</v>
      </c>
      <c r="Z26" s="17">
        <f t="shared" si="37"/>
        <v>1074220.2</v>
      </c>
      <c r="AA26" s="17">
        <f t="shared" si="32"/>
        <v>1076822.98</v>
      </c>
      <c r="AB26" s="17">
        <f t="shared" si="41"/>
        <v>1092340.6100000001</v>
      </c>
      <c r="AC26" s="17">
        <f t="shared" si="42"/>
        <v>2759491.5456720311</v>
      </c>
      <c r="AD26" s="31">
        <f>SUM(R26:AC26)</f>
        <v>9779207.2731752805</v>
      </c>
      <c r="AE26" s="47"/>
    </row>
    <row r="27" spans="1:31" s="10" customFormat="1" ht="41.25" customHeight="1">
      <c r="A27" s="33" t="s">
        <v>33</v>
      </c>
      <c r="B27" s="20">
        <v>0</v>
      </c>
      <c r="C27" s="20">
        <v>0</v>
      </c>
      <c r="D27" s="20">
        <v>0</v>
      </c>
      <c r="E27" s="20">
        <v>0</v>
      </c>
      <c r="F27" s="20">
        <v>0</v>
      </c>
      <c r="G27" s="20">
        <v>0</v>
      </c>
      <c r="H27" s="20">
        <v>0</v>
      </c>
      <c r="I27" s="20">
        <v>0</v>
      </c>
      <c r="J27" s="20">
        <v>0</v>
      </c>
      <c r="K27" s="20">
        <v>0</v>
      </c>
      <c r="L27" s="20">
        <v>16471818</v>
      </c>
      <c r="M27" s="16">
        <v>14227828182</v>
      </c>
      <c r="N27" s="16">
        <v>58941750</v>
      </c>
      <c r="O27" s="16">
        <v>-13471658140</v>
      </c>
      <c r="P27" s="28">
        <f t="shared" ref="P27" si="43">SUM(B27:O27)</f>
        <v>831583610</v>
      </c>
      <c r="Q27" s="60">
        <f>P27</f>
        <v>831583610</v>
      </c>
      <c r="R27" s="17">
        <v>0</v>
      </c>
      <c r="S27" s="17">
        <v>0</v>
      </c>
      <c r="T27" s="17">
        <v>0</v>
      </c>
      <c r="U27" s="17">
        <v>0</v>
      </c>
      <c r="V27" s="17">
        <v>0</v>
      </c>
      <c r="W27" s="17">
        <v>0</v>
      </c>
      <c r="X27" s="17">
        <v>0</v>
      </c>
      <c r="Y27" s="17">
        <v>0</v>
      </c>
      <c r="Z27" s="17">
        <f t="shared" si="37"/>
        <v>713.68</v>
      </c>
      <c r="AA27" s="17">
        <f t="shared" si="32"/>
        <v>616724.24</v>
      </c>
      <c r="AB27" s="17">
        <f t="shared" ref="AB27" si="44">ROUND(N27/$AB$29,2)</f>
        <v>2558.2399999999998</v>
      </c>
      <c r="AC27" s="17">
        <f>O27/$AC$29</f>
        <v>-585979.04045237065</v>
      </c>
      <c r="AD27" s="31">
        <f>SUM(R27:AC27)</f>
        <v>34017.11954762938</v>
      </c>
      <c r="AE27" s="47"/>
    </row>
    <row r="28" spans="1:31" s="10" customFormat="1" ht="41.25" customHeight="1">
      <c r="A28" s="33" t="s">
        <v>34</v>
      </c>
      <c r="B28" s="20">
        <v>0</v>
      </c>
      <c r="C28" s="20">
        <v>0</v>
      </c>
      <c r="D28" s="20">
        <v>0</v>
      </c>
      <c r="E28" s="20">
        <v>0</v>
      </c>
      <c r="F28" s="20">
        <v>0</v>
      </c>
      <c r="G28" s="20">
        <v>0</v>
      </c>
      <c r="H28" s="20">
        <v>0</v>
      </c>
      <c r="I28" s="20">
        <v>0</v>
      </c>
      <c r="J28" s="20">
        <v>0</v>
      </c>
      <c r="K28" s="20">
        <v>0</v>
      </c>
      <c r="L28" s="20">
        <v>0</v>
      </c>
      <c r="M28" s="20">
        <v>0</v>
      </c>
      <c r="N28" s="20">
        <v>0</v>
      </c>
      <c r="O28" s="16">
        <v>94284478</v>
      </c>
      <c r="P28" s="28">
        <f t="shared" ref="P28" si="45">SUM(B28:O28)</f>
        <v>94284478</v>
      </c>
      <c r="Q28" s="60">
        <f>P28</f>
        <v>94284478</v>
      </c>
      <c r="R28" s="17">
        <v>0</v>
      </c>
      <c r="S28" s="17">
        <v>0</v>
      </c>
      <c r="T28" s="17">
        <v>0</v>
      </c>
      <c r="U28" s="17">
        <v>0</v>
      </c>
      <c r="V28" s="17">
        <v>0</v>
      </c>
      <c r="W28" s="17">
        <v>0</v>
      </c>
      <c r="X28" s="17">
        <v>0</v>
      </c>
      <c r="Y28" s="17">
        <v>0</v>
      </c>
      <c r="Z28" s="17">
        <v>0</v>
      </c>
      <c r="AA28" s="17">
        <v>0</v>
      </c>
      <c r="AB28" s="17">
        <v>0</v>
      </c>
      <c r="AC28" s="17">
        <f>O28/$AC$29</f>
        <v>4101.108220965637</v>
      </c>
      <c r="AD28" s="31">
        <f>SUM(R28:AC28)</f>
        <v>4101.108220965637</v>
      </c>
      <c r="AE28" s="47"/>
    </row>
    <row r="29" spans="1:31" s="9" customFormat="1" ht="22.5" customHeight="1">
      <c r="A29" s="9" t="s">
        <v>19</v>
      </c>
      <c r="G29" s="40"/>
      <c r="H29" s="40"/>
      <c r="R29" s="9">
        <v>23145</v>
      </c>
      <c r="S29" s="9">
        <v>23150</v>
      </c>
      <c r="T29" s="9">
        <v>23480</v>
      </c>
      <c r="U29" s="9">
        <v>23310</v>
      </c>
      <c r="V29" s="9">
        <v>23170</v>
      </c>
      <c r="W29" s="9">
        <v>23095</v>
      </c>
      <c r="X29" s="9">
        <v>23070</v>
      </c>
      <c r="Y29" s="9">
        <v>23070</v>
      </c>
      <c r="Z29" s="50">
        <v>23080</v>
      </c>
      <c r="AA29" s="9">
        <v>23070</v>
      </c>
      <c r="AB29" s="9">
        <v>23040</v>
      </c>
      <c r="AC29" s="9">
        <v>22990</v>
      </c>
      <c r="AE29" s="46"/>
    </row>
    <row r="30" spans="1:31" s="5" customFormat="1">
      <c r="B30" s="6"/>
      <c r="C30" s="6"/>
      <c r="D30" s="6"/>
      <c r="E30" s="6"/>
      <c r="G30" s="6"/>
      <c r="H30" s="6"/>
      <c r="P30" s="52"/>
      <c r="Q30" s="52"/>
      <c r="V30" s="41"/>
      <c r="AE30" s="46"/>
    </row>
    <row r="31" spans="1:31" s="5" customFormat="1">
      <c r="B31" s="6"/>
      <c r="C31" s="6"/>
      <c r="D31" s="6"/>
      <c r="E31" s="6"/>
      <c r="G31" s="44"/>
      <c r="H31" s="44"/>
      <c r="P31" s="52"/>
      <c r="Q31" s="52"/>
      <c r="V31" s="41"/>
      <c r="AE31" s="46"/>
    </row>
    <row r="32" spans="1:31" s="5" customFormat="1" ht="15.4">
      <c r="B32" s="6"/>
      <c r="C32" s="6"/>
      <c r="D32" s="6"/>
      <c r="E32" s="6"/>
      <c r="G32" s="44"/>
      <c r="H32" s="44"/>
      <c r="P32" s="53">
        <f>P19/P9</f>
        <v>0.87487940943708742</v>
      </c>
      <c r="Q32" s="38"/>
      <c r="R32" s="39"/>
      <c r="V32" s="41"/>
      <c r="W32" s="53"/>
      <c r="X32" s="53"/>
      <c r="Y32" s="53"/>
      <c r="Z32" s="53"/>
      <c r="AA32" s="53"/>
      <c r="AB32" s="53"/>
      <c r="AD32" s="54"/>
      <c r="AE32" s="46"/>
    </row>
    <row r="33" spans="2:31" s="5" customFormat="1" ht="15.4">
      <c r="B33" s="6"/>
      <c r="C33" s="6"/>
      <c r="D33" s="6"/>
      <c r="E33" s="6"/>
      <c r="G33" s="53"/>
      <c r="H33" s="53"/>
      <c r="I33" s="53"/>
      <c r="J33" s="53"/>
      <c r="K33" s="53"/>
      <c r="L33" s="53"/>
      <c r="M33" s="53"/>
      <c r="N33" s="53"/>
      <c r="P33" s="38"/>
      <c r="Q33" s="38"/>
      <c r="R33" s="39"/>
      <c r="V33" s="41"/>
      <c r="W33" s="53"/>
      <c r="X33" s="53"/>
      <c r="Y33" s="53"/>
      <c r="Z33" s="53"/>
      <c r="AA33" s="53"/>
      <c r="AB33" s="53"/>
      <c r="AE33" s="46"/>
    </row>
    <row r="34" spans="2:31" s="5" customFormat="1" ht="15.4">
      <c r="B34" s="55">
        <f>IFERROR(B20/B10,0)</f>
        <v>1.2642672658946668</v>
      </c>
      <c r="C34" s="55">
        <f t="shared" ref="C34:F34" si="46">IFERROR(C20/C10,0)</f>
        <v>0.85865160300811239</v>
      </c>
      <c r="D34" s="55">
        <f t="shared" si="46"/>
        <v>90.421711463941421</v>
      </c>
      <c r="E34" s="55" t="s">
        <v>30</v>
      </c>
      <c r="F34" s="55">
        <f t="shared" si="46"/>
        <v>0</v>
      </c>
      <c r="G34" s="55">
        <f t="shared" ref="G34:P34" si="47">IFERROR(G20/G10,0)</f>
        <v>0</v>
      </c>
      <c r="H34" s="55">
        <f t="shared" ref="H34:O34" si="48">IFERROR(H20/H10,0)</f>
        <v>0</v>
      </c>
      <c r="I34" s="55">
        <f t="shared" si="48"/>
        <v>0</v>
      </c>
      <c r="J34" s="55">
        <f t="shared" si="48"/>
        <v>0</v>
      </c>
      <c r="K34" s="55">
        <f t="shared" si="48"/>
        <v>0</v>
      </c>
      <c r="L34" s="55">
        <f t="shared" si="48"/>
        <v>0</v>
      </c>
      <c r="M34" s="55">
        <f t="shared" si="48"/>
        <v>0</v>
      </c>
      <c r="N34" s="55">
        <f t="shared" si="48"/>
        <v>0</v>
      </c>
      <c r="O34" s="55">
        <f t="shared" si="48"/>
        <v>0</v>
      </c>
      <c r="P34" s="55">
        <f t="shared" si="47"/>
        <v>0.86320930689924014</v>
      </c>
      <c r="Q34" s="76">
        <f>IFERROR(Q20/Q10,0)</f>
        <v>0</v>
      </c>
      <c r="R34" s="39"/>
      <c r="V34" s="41"/>
      <c r="W34" s="53"/>
      <c r="X34" s="53"/>
      <c r="Y34" s="53"/>
      <c r="Z34" s="53"/>
      <c r="AA34" s="53"/>
      <c r="AB34" s="53"/>
      <c r="AE34" s="46"/>
    </row>
    <row r="35" spans="2:31" s="5" customFormat="1" ht="15.4">
      <c r="B35" s="55">
        <f t="shared" ref="B35:D35" si="49">IFERROR(B21/B11,0)</f>
        <v>0</v>
      </c>
      <c r="C35" s="55">
        <f t="shared" si="49"/>
        <v>0.91130949137070283</v>
      </c>
      <c r="D35" s="55">
        <f t="shared" si="49"/>
        <v>0.91123311023443532</v>
      </c>
      <c r="E35" s="55"/>
      <c r="F35" s="55">
        <f t="shared" ref="F35:P35" si="50">IFERROR(F21/F11,0)</f>
        <v>0</v>
      </c>
      <c r="G35" s="55">
        <f>IFERROR(G21/G11,0)</f>
        <v>0.9118412412930843</v>
      </c>
      <c r="H35" s="55">
        <f t="shared" ref="H35:O35" si="51">IFERROR(H21/H11,0)</f>
        <v>0.91133764234507941</v>
      </c>
      <c r="I35" s="55">
        <f t="shared" si="51"/>
        <v>0.91143181708722454</v>
      </c>
      <c r="J35" s="55">
        <f t="shared" si="51"/>
        <v>0.91037181340011575</v>
      </c>
      <c r="K35" s="55">
        <f t="shared" si="51"/>
        <v>0.91036716155238273</v>
      </c>
      <c r="L35" s="55">
        <f t="shared" si="51"/>
        <v>0.9104506981292193</v>
      </c>
      <c r="M35" s="55">
        <f t="shared" si="51"/>
        <v>0.9101579755867969</v>
      </c>
      <c r="N35" s="55">
        <f t="shared" si="51"/>
        <v>0.91039148434493622</v>
      </c>
      <c r="O35" s="55">
        <f t="shared" si="51"/>
        <v>0.90975209088207332</v>
      </c>
      <c r="P35" s="55">
        <f t="shared" si="50"/>
        <v>0.91088121430778246</v>
      </c>
      <c r="Q35" s="77">
        <f t="shared" ref="Q35" si="52">IFERROR(Q21/Q11,0)</f>
        <v>0</v>
      </c>
      <c r="R35" s="39"/>
      <c r="V35" s="41"/>
      <c r="AE35" s="46"/>
    </row>
    <row r="36" spans="2:31" s="5" customFormat="1" ht="15.4">
      <c r="B36" s="55">
        <f t="shared" ref="B36:D36" si="53">IFERROR(B22/B12,0)</f>
        <v>1.9555806765490968</v>
      </c>
      <c r="C36" s="55">
        <f t="shared" si="53"/>
        <v>0.89412426130394529</v>
      </c>
      <c r="D36" s="55">
        <f t="shared" si="53"/>
        <v>0.90909999999433655</v>
      </c>
      <c r="E36" s="55"/>
      <c r="F36" s="55">
        <f t="shared" ref="F36:P36" si="54">IFERROR(F22/F12,0)</f>
        <v>0</v>
      </c>
      <c r="G36" s="55">
        <f>IFERROR(G22/G12,0)</f>
        <v>0.90910000000133673</v>
      </c>
      <c r="H36" s="55">
        <f t="shared" ref="H36:O36" si="55">IFERROR(H22/H12,0)</f>
        <v>0.90909999999600166</v>
      </c>
      <c r="I36" s="55">
        <f t="shared" si="55"/>
        <v>0.90910000000364444</v>
      </c>
      <c r="J36" s="55">
        <f t="shared" si="55"/>
        <v>0.90909999999622859</v>
      </c>
      <c r="K36" s="55">
        <f t="shared" si="55"/>
        <v>0.90910000000376634</v>
      </c>
      <c r="L36" s="55">
        <f t="shared" si="55"/>
        <v>0.90909999999718805</v>
      </c>
      <c r="M36" s="55">
        <f t="shared" si="55"/>
        <v>0.90910000000504765</v>
      </c>
      <c r="N36" s="55">
        <f t="shared" si="55"/>
        <v>0.90909999999216795</v>
      </c>
      <c r="O36" s="55">
        <f t="shared" si="55"/>
        <v>0.90909999999415847</v>
      </c>
      <c r="P36" s="55">
        <f t="shared" si="54"/>
        <v>0.92596573822121409</v>
      </c>
      <c r="Q36" s="76">
        <f>IFERROR(Q22/Q12,0)</f>
        <v>0.90909999999871505</v>
      </c>
      <c r="V36" s="41"/>
      <c r="AE36" s="46"/>
    </row>
    <row r="37" spans="2:31" s="5" customFormat="1" ht="15.4">
      <c r="B37" s="55">
        <f t="shared" ref="B37:D37" si="56">IFERROR(B23/B13,0)</f>
        <v>0</v>
      </c>
      <c r="C37" s="55">
        <f t="shared" si="56"/>
        <v>0</v>
      </c>
      <c r="D37" s="55">
        <f t="shared" si="56"/>
        <v>0</v>
      </c>
      <c r="E37" s="55"/>
      <c r="F37" s="55">
        <f t="shared" ref="F37:P37" si="57">IFERROR(F23/F13,0)</f>
        <v>0</v>
      </c>
      <c r="G37" s="55">
        <f>IFERROR(G23/G13,0)</f>
        <v>0</v>
      </c>
      <c r="H37" s="55">
        <f t="shared" ref="H37:O37" si="58">IFERROR(H23/H13,0)</f>
        <v>0</v>
      </c>
      <c r="I37" s="55">
        <f t="shared" si="58"/>
        <v>0</v>
      </c>
      <c r="J37" s="55">
        <f t="shared" si="58"/>
        <v>0</v>
      </c>
      <c r="K37" s="55">
        <f t="shared" si="58"/>
        <v>0</v>
      </c>
      <c r="L37" s="55">
        <f t="shared" si="58"/>
        <v>0</v>
      </c>
      <c r="M37" s="55">
        <f t="shared" si="58"/>
        <v>0</v>
      </c>
      <c r="N37" s="55">
        <f t="shared" si="58"/>
        <v>0</v>
      </c>
      <c r="O37" s="55">
        <f t="shared" si="58"/>
        <v>0</v>
      </c>
      <c r="P37" s="55">
        <f t="shared" si="57"/>
        <v>0</v>
      </c>
      <c r="Q37" s="76">
        <f>IFERROR(Q23/Q13,0)</f>
        <v>0</v>
      </c>
      <c r="V37" s="41"/>
      <c r="AE37" s="46"/>
    </row>
    <row r="38" spans="2:31" s="5" customFormat="1" ht="15.4">
      <c r="B38" s="55">
        <f t="shared" ref="B38:C38" si="59">IFERROR(B24/B14,0)</f>
        <v>0</v>
      </c>
      <c r="C38" s="81">
        <f t="shared" si="59"/>
        <v>0.92190886202648537</v>
      </c>
      <c r="D38" s="81">
        <f>IFERROR(D24/D14,0)</f>
        <v>0.92364835974248805</v>
      </c>
      <c r="E38" s="55"/>
      <c r="F38" s="55">
        <f t="shared" ref="F38:P38" si="60">IFERROR(F24/F14,0)</f>
        <v>0</v>
      </c>
      <c r="G38" s="55">
        <f>IFERROR(G24/G14,0)</f>
        <v>0.92433782041238921</v>
      </c>
      <c r="H38" s="55">
        <f t="shared" ref="H38:O38" si="61">IFERROR(H24/H14,0)</f>
        <v>0.93449344489955033</v>
      </c>
      <c r="I38" s="55">
        <f t="shared" si="61"/>
        <v>0.93548991846620388</v>
      </c>
      <c r="J38" s="55">
        <f t="shared" si="61"/>
        <v>0.94756210281490982</v>
      </c>
      <c r="K38" s="55">
        <f t="shared" si="61"/>
        <v>0.96014232601823057</v>
      </c>
      <c r="L38" s="55">
        <f t="shared" si="61"/>
        <v>0.9752348820569251</v>
      </c>
      <c r="M38" s="55">
        <f t="shared" si="61"/>
        <v>0.97294127802762642</v>
      </c>
      <c r="N38" s="55">
        <f t="shared" si="61"/>
        <v>0.970897528864899</v>
      </c>
      <c r="O38" s="55">
        <f t="shared" si="61"/>
        <v>0.9042866499392137</v>
      </c>
      <c r="P38" s="55">
        <f t="shared" si="60"/>
        <v>0.94338538232489377</v>
      </c>
      <c r="Q38" s="77">
        <f t="shared" ref="Q38" si="62">IFERROR(Q24/Q14,0)</f>
        <v>0.9316594027133388</v>
      </c>
      <c r="V38" s="41"/>
      <c r="AE38" s="46"/>
    </row>
    <row r="39" spans="2:31" s="5" customFormat="1" ht="15.4">
      <c r="B39" s="55">
        <f t="shared" ref="B39:D39" si="63">IFERROR(B25/B15,0)</f>
        <v>1.0605728992335</v>
      </c>
      <c r="C39" s="55">
        <f t="shared" si="63"/>
        <v>0.87132136048916764</v>
      </c>
      <c r="D39" s="55">
        <f t="shared" si="63"/>
        <v>0.86234555479657693</v>
      </c>
      <c r="E39" s="55"/>
      <c r="F39" s="55">
        <f t="shared" ref="F39:G39" si="64">IFERROR(F25/F15,0)</f>
        <v>0</v>
      </c>
      <c r="G39" s="55">
        <f t="shared" si="64"/>
        <v>0.86173156753731039</v>
      </c>
      <c r="H39" s="55">
        <f t="shared" ref="H39:M39" si="65">IFERROR(H25/H15,0)</f>
        <v>0.88418945933319149</v>
      </c>
      <c r="I39" s="55">
        <f t="shared" si="65"/>
        <v>0.85896354039358458</v>
      </c>
      <c r="J39" s="55">
        <f t="shared" si="65"/>
        <v>0.87181513230777163</v>
      </c>
      <c r="K39" s="55">
        <f t="shared" si="65"/>
        <v>0.88355074030560543</v>
      </c>
      <c r="L39" s="55">
        <f t="shared" si="65"/>
        <v>0.85364674307808097</v>
      </c>
      <c r="M39" s="55">
        <f t="shared" si="65"/>
        <v>0.86853821460354008</v>
      </c>
      <c r="N39" s="55">
        <f>IFERROR(N25/N15,0)</f>
        <v>0.88675541654723</v>
      </c>
      <c r="O39" s="55">
        <f>IFERROR(O25/O15,0)</f>
        <v>0.86485739218220992</v>
      </c>
      <c r="P39" s="55">
        <f>IFERROR(P25/P15,0)</f>
        <v>0.87259352735331863</v>
      </c>
      <c r="Q39" s="77">
        <f>IFERROR(Q25/Q15,0)</f>
        <v>0.86832212565794265</v>
      </c>
      <c r="V39" s="41"/>
      <c r="AE39" s="46"/>
    </row>
    <row r="40" spans="2:31" s="5" customFormat="1" ht="15.4">
      <c r="B40" s="6"/>
      <c r="C40" s="6"/>
      <c r="D40" s="6"/>
      <c r="E40" s="6"/>
      <c r="F40" s="6"/>
      <c r="G40" s="6"/>
      <c r="H40" s="6"/>
      <c r="I40" s="6"/>
      <c r="J40" s="6"/>
      <c r="K40" s="6"/>
      <c r="L40" s="6"/>
      <c r="M40" s="6"/>
      <c r="N40" s="55">
        <f>IFERROR(N26/N16,0)</f>
        <v>0.8781876270317639</v>
      </c>
      <c r="O40" s="115">
        <f>O28/O18</f>
        <v>0.90909090733781828</v>
      </c>
      <c r="P40" s="55">
        <f t="shared" ref="P40:Q40" si="66">IFERROR(P26/P16,0)</f>
        <v>0.86654648718179228</v>
      </c>
      <c r="Q40" s="77">
        <f t="shared" si="66"/>
        <v>0.86678220656325999</v>
      </c>
      <c r="V40" s="41"/>
      <c r="AE40" s="46"/>
    </row>
    <row r="41" spans="2:31" s="5" customFormat="1" ht="15.4">
      <c r="B41" s="6"/>
      <c r="C41" s="6"/>
      <c r="D41" s="6"/>
      <c r="E41" s="6"/>
      <c r="F41" s="6"/>
      <c r="G41" s="6"/>
      <c r="H41" s="6"/>
      <c r="I41" s="6"/>
      <c r="J41" s="6"/>
      <c r="K41" s="6"/>
      <c r="L41" s="6"/>
      <c r="M41" s="6"/>
      <c r="N41" s="55">
        <f>IFERROR(N27/N17,0)</f>
        <v>0</v>
      </c>
      <c r="O41" s="6"/>
      <c r="P41" s="55">
        <f t="shared" ref="P41:Q41" si="67">IFERROR(P27/P17,0)</f>
        <v>2.9190048300021764E-2</v>
      </c>
      <c r="Q41" s="77">
        <f t="shared" si="67"/>
        <v>2.9190048300021764E-2</v>
      </c>
      <c r="V41" s="41"/>
      <c r="AE41" s="46"/>
    </row>
    <row r="42" spans="2:31" s="5" customFormat="1" ht="15.4">
      <c r="B42" s="6"/>
      <c r="C42" s="6"/>
      <c r="D42" s="6"/>
      <c r="E42" s="6"/>
      <c r="F42" s="6"/>
      <c r="G42" s="6"/>
      <c r="H42" s="6"/>
      <c r="I42" s="6"/>
      <c r="J42" s="6"/>
      <c r="K42" s="6"/>
      <c r="L42" s="6"/>
      <c r="M42" s="6"/>
      <c r="N42" s="55">
        <f>IFERROR(N28/N18,0)</f>
        <v>0</v>
      </c>
      <c r="O42" s="6"/>
      <c r="P42" s="55">
        <f t="shared" ref="P42" si="68">IFERROR(P28/P18,0)</f>
        <v>0.90909090733781828</v>
      </c>
      <c r="Q42" s="77">
        <f>IFERROR(Q28/Q18,0)</f>
        <v>0.90909090733781828</v>
      </c>
      <c r="V42" s="41"/>
      <c r="AE42" s="46"/>
    </row>
    <row r="43" spans="2:31" s="5" customFormat="1" ht="15.4">
      <c r="B43" s="6"/>
      <c r="C43" s="6"/>
      <c r="D43" s="6"/>
      <c r="E43" s="6"/>
      <c r="G43" s="6"/>
      <c r="H43" s="6"/>
      <c r="N43" s="55">
        <f t="shared" ref="N43:N44" si="69">IFERROR(N29/N19,0)</f>
        <v>0</v>
      </c>
      <c r="V43" s="41"/>
      <c r="AE43" s="46"/>
    </row>
    <row r="44" spans="2:31" s="5" customFormat="1" ht="15.4">
      <c r="B44" s="6"/>
      <c r="C44" s="6"/>
      <c r="D44" s="6"/>
      <c r="E44" s="6"/>
      <c r="G44" s="6"/>
      <c r="H44" s="6"/>
      <c r="N44" s="55">
        <f t="shared" si="69"/>
        <v>0</v>
      </c>
      <c r="V44" s="41"/>
      <c r="AE44" s="46"/>
    </row>
    <row r="45" spans="2:31" s="5" customFormat="1">
      <c r="B45" s="6"/>
      <c r="C45" s="6"/>
      <c r="D45" s="6"/>
      <c r="E45" s="6"/>
      <c r="G45" s="6"/>
      <c r="H45" s="6"/>
      <c r="V45" s="41"/>
      <c r="AE45" s="46"/>
    </row>
    <row r="46" spans="2:31" s="5" customFormat="1">
      <c r="B46" s="6"/>
      <c r="C46" s="6"/>
      <c r="D46" s="6"/>
      <c r="E46" s="6"/>
      <c r="G46" s="6"/>
      <c r="H46" s="6"/>
      <c r="V46" s="41"/>
      <c r="AE46" s="46"/>
    </row>
    <row r="47" spans="2:31" s="5" customFormat="1">
      <c r="B47" s="6"/>
      <c r="C47" s="6"/>
      <c r="D47" s="6"/>
      <c r="E47" s="6"/>
      <c r="G47" s="6"/>
      <c r="H47" s="6"/>
      <c r="V47" s="41"/>
      <c r="AE47" s="46"/>
    </row>
    <row r="48" spans="2:31" s="5" customFormat="1">
      <c r="B48" s="6"/>
      <c r="C48" s="6"/>
      <c r="D48" s="6"/>
      <c r="E48" s="6"/>
      <c r="G48" s="6"/>
      <c r="H48" s="6"/>
      <c r="V48" s="41"/>
      <c r="AE48" s="46"/>
    </row>
    <row r="49" spans="2:31" s="5" customFormat="1">
      <c r="B49" s="6"/>
      <c r="C49" s="6"/>
      <c r="D49" s="6"/>
      <c r="E49" s="6"/>
      <c r="G49" s="6"/>
      <c r="H49" s="6"/>
      <c r="V49" s="41"/>
      <c r="AE49" s="46"/>
    </row>
    <row r="50" spans="2:31" s="5" customFormat="1">
      <c r="B50" s="6"/>
      <c r="C50" s="6"/>
      <c r="D50" s="6"/>
      <c r="E50" s="6"/>
      <c r="G50" s="6"/>
      <c r="H50" s="6"/>
      <c r="V50" s="41"/>
      <c r="AE50" s="46"/>
    </row>
    <row r="51" spans="2:31" s="5" customFormat="1">
      <c r="B51" s="6"/>
      <c r="C51" s="6"/>
      <c r="D51" s="6"/>
      <c r="E51" s="6"/>
      <c r="G51" s="6"/>
      <c r="H51" s="6"/>
      <c r="V51" s="41"/>
      <c r="AE51" s="46"/>
    </row>
    <row r="52" spans="2:31" s="5" customFormat="1">
      <c r="B52" s="6"/>
      <c r="C52" s="6"/>
      <c r="D52" s="6"/>
      <c r="E52" s="6"/>
      <c r="G52" s="6"/>
      <c r="H52" s="6"/>
      <c r="V52" s="41"/>
      <c r="AE52" s="46"/>
    </row>
    <row r="53" spans="2:31" s="5" customFormat="1">
      <c r="B53" s="6"/>
      <c r="C53" s="6"/>
      <c r="D53" s="6"/>
      <c r="E53" s="6"/>
      <c r="G53" s="6"/>
      <c r="H53" s="6"/>
      <c r="V53" s="41"/>
      <c r="AE53" s="46"/>
    </row>
    <row r="54" spans="2:31" s="5" customFormat="1">
      <c r="B54" s="6"/>
      <c r="C54" s="6"/>
      <c r="D54" s="6"/>
      <c r="E54" s="6"/>
      <c r="G54" s="6"/>
      <c r="H54" s="6"/>
      <c r="V54" s="41"/>
      <c r="AE54" s="46"/>
    </row>
    <row r="55" spans="2:31" s="5" customFormat="1">
      <c r="B55" s="6"/>
      <c r="C55" s="6"/>
      <c r="D55" s="6"/>
      <c r="E55" s="6"/>
      <c r="G55" s="6"/>
      <c r="H55" s="6"/>
      <c r="V55" s="41"/>
      <c r="AE55" s="46"/>
    </row>
    <row r="56" spans="2:31" s="5" customFormat="1">
      <c r="B56" s="6"/>
      <c r="C56" s="6"/>
      <c r="D56" s="6"/>
      <c r="E56" s="6"/>
      <c r="G56" s="6"/>
      <c r="H56" s="6"/>
      <c r="V56" s="41"/>
      <c r="AE56" s="46"/>
    </row>
    <row r="57" spans="2:31" s="5" customFormat="1">
      <c r="B57" s="6"/>
      <c r="C57" s="6"/>
      <c r="D57" s="6"/>
      <c r="E57" s="6"/>
      <c r="G57" s="6"/>
      <c r="H57" s="6"/>
      <c r="V57" s="41"/>
      <c r="AE57" s="46"/>
    </row>
    <row r="58" spans="2:31" s="5" customFormat="1">
      <c r="B58" s="6"/>
      <c r="C58" s="6"/>
      <c r="D58" s="6"/>
      <c r="E58" s="6"/>
      <c r="G58" s="6"/>
      <c r="H58" s="6"/>
      <c r="V58" s="41"/>
      <c r="AE58" s="46"/>
    </row>
    <row r="59" spans="2:31" s="5" customFormat="1">
      <c r="B59" s="6"/>
      <c r="C59" s="6"/>
      <c r="D59" s="6"/>
      <c r="E59" s="6"/>
      <c r="G59" s="6"/>
      <c r="H59" s="6"/>
      <c r="V59" s="41"/>
      <c r="AE59" s="46"/>
    </row>
    <row r="60" spans="2:31" s="5" customFormat="1">
      <c r="B60" s="6"/>
      <c r="C60" s="6"/>
      <c r="D60" s="6"/>
      <c r="E60" s="6"/>
      <c r="G60" s="6"/>
      <c r="H60" s="6"/>
      <c r="V60" s="41"/>
      <c r="AE60" s="46"/>
    </row>
    <row r="61" spans="2:31" s="5" customFormat="1">
      <c r="B61" s="6"/>
      <c r="C61" s="6"/>
      <c r="D61" s="6"/>
      <c r="E61" s="6"/>
      <c r="G61" s="6"/>
      <c r="H61" s="6"/>
      <c r="V61" s="41"/>
      <c r="AE61" s="46"/>
    </row>
    <row r="62" spans="2:31" s="5" customFormat="1">
      <c r="B62" s="6"/>
      <c r="C62" s="6"/>
      <c r="D62" s="6"/>
      <c r="E62" s="6"/>
      <c r="G62" s="6"/>
      <c r="H62" s="6"/>
      <c r="V62" s="41"/>
      <c r="AE62" s="46"/>
    </row>
    <row r="63" spans="2:31" s="5" customFormat="1">
      <c r="B63" s="6"/>
      <c r="C63" s="6"/>
      <c r="D63" s="6"/>
      <c r="E63" s="6"/>
      <c r="G63" s="6"/>
      <c r="H63" s="6"/>
      <c r="V63" s="41"/>
      <c r="AE63" s="46"/>
    </row>
    <row r="64" spans="2:31" s="5" customFormat="1">
      <c r="B64" s="6"/>
      <c r="C64" s="6"/>
      <c r="D64" s="6"/>
      <c r="E64" s="6"/>
      <c r="G64" s="6"/>
      <c r="H64" s="6"/>
      <c r="V64" s="41"/>
      <c r="AE64" s="46"/>
    </row>
    <row r="65" spans="2:31" s="5" customFormat="1">
      <c r="B65" s="6"/>
      <c r="C65" s="6"/>
      <c r="D65" s="6"/>
      <c r="E65" s="6"/>
      <c r="G65" s="6"/>
      <c r="H65" s="6"/>
      <c r="V65" s="41"/>
      <c r="AE65" s="46"/>
    </row>
    <row r="66" spans="2:31" s="5" customFormat="1">
      <c r="B66" s="6"/>
      <c r="C66" s="6"/>
      <c r="D66" s="6"/>
      <c r="E66" s="6"/>
      <c r="G66" s="6"/>
      <c r="H66" s="6"/>
      <c r="V66" s="41"/>
      <c r="AE66" s="46"/>
    </row>
    <row r="67" spans="2:31" s="5" customFormat="1">
      <c r="B67" s="6"/>
      <c r="C67" s="6"/>
      <c r="D67" s="6"/>
      <c r="E67" s="6"/>
      <c r="G67" s="6"/>
      <c r="H67" s="6"/>
      <c r="V67" s="41"/>
      <c r="AE67" s="46"/>
    </row>
    <row r="68" spans="2:31" s="5" customFormat="1">
      <c r="B68" s="6"/>
      <c r="C68" s="6"/>
      <c r="D68" s="6"/>
      <c r="E68" s="6"/>
      <c r="G68" s="6"/>
      <c r="H68" s="6"/>
      <c r="V68" s="41"/>
      <c r="AE68" s="46"/>
    </row>
    <row r="69" spans="2:31" s="5" customFormat="1">
      <c r="B69" s="6"/>
      <c r="C69" s="6"/>
      <c r="D69" s="6"/>
      <c r="E69" s="6"/>
      <c r="G69" s="6"/>
      <c r="H69" s="6"/>
      <c r="V69" s="41"/>
      <c r="AE69" s="46"/>
    </row>
    <row r="70" spans="2:31" s="5" customFormat="1">
      <c r="B70" s="6"/>
      <c r="C70" s="6"/>
      <c r="D70" s="6"/>
      <c r="E70" s="6"/>
      <c r="G70" s="6"/>
      <c r="H70" s="6"/>
      <c r="V70" s="41"/>
      <c r="AE70" s="46"/>
    </row>
    <row r="71" spans="2:31" s="5" customFormat="1">
      <c r="B71" s="6"/>
      <c r="C71" s="6"/>
      <c r="D71" s="6"/>
      <c r="E71" s="6"/>
      <c r="G71" s="6"/>
      <c r="H71" s="6"/>
      <c r="V71" s="41"/>
      <c r="AE71" s="46"/>
    </row>
    <row r="72" spans="2:31" s="5" customFormat="1">
      <c r="B72" s="6"/>
      <c r="C72" s="6"/>
      <c r="D72" s="6"/>
      <c r="E72" s="6"/>
      <c r="G72" s="6"/>
      <c r="H72" s="6"/>
      <c r="V72" s="41"/>
      <c r="AE72" s="46"/>
    </row>
    <row r="73" spans="2:31" s="5" customFormat="1">
      <c r="B73" s="6"/>
      <c r="C73" s="6"/>
      <c r="D73" s="6"/>
      <c r="E73" s="6"/>
      <c r="G73" s="6"/>
      <c r="H73" s="6"/>
      <c r="V73" s="41"/>
      <c r="AE73" s="46"/>
    </row>
    <row r="74" spans="2:31" s="5" customFormat="1">
      <c r="B74" s="6"/>
      <c r="C74" s="6"/>
      <c r="D74" s="6"/>
      <c r="E74" s="6"/>
      <c r="G74" s="6"/>
      <c r="H74" s="6"/>
      <c r="V74" s="41"/>
      <c r="AE74" s="46"/>
    </row>
    <row r="75" spans="2:31" s="5" customFormat="1">
      <c r="B75" s="6"/>
      <c r="C75" s="6"/>
      <c r="D75" s="6"/>
      <c r="E75" s="6"/>
      <c r="G75" s="6"/>
      <c r="H75" s="6"/>
      <c r="V75" s="41"/>
      <c r="AE75" s="46"/>
    </row>
    <row r="76" spans="2:31" s="5" customFormat="1">
      <c r="B76" s="6"/>
      <c r="C76" s="6"/>
      <c r="D76" s="6"/>
      <c r="E76" s="6"/>
      <c r="G76" s="6"/>
      <c r="H76" s="6"/>
      <c r="V76" s="41"/>
      <c r="AE76" s="46"/>
    </row>
    <row r="77" spans="2:31" s="5" customFormat="1">
      <c r="B77" s="6"/>
      <c r="C77" s="6"/>
      <c r="D77" s="6"/>
      <c r="E77" s="6"/>
      <c r="G77" s="6"/>
      <c r="H77" s="6"/>
      <c r="V77" s="41"/>
      <c r="AE77" s="46"/>
    </row>
    <row r="78" spans="2:31" s="5" customFormat="1">
      <c r="B78" s="6"/>
      <c r="C78" s="6"/>
      <c r="D78" s="6"/>
      <c r="E78" s="6"/>
      <c r="G78" s="6"/>
      <c r="H78" s="6"/>
      <c r="V78" s="41"/>
      <c r="AE78" s="46"/>
    </row>
    <row r="79" spans="2:31" s="5" customFormat="1">
      <c r="B79" s="6"/>
      <c r="C79" s="6"/>
      <c r="D79" s="6"/>
      <c r="E79" s="6"/>
      <c r="G79" s="6"/>
      <c r="H79" s="6"/>
      <c r="V79" s="41"/>
      <c r="AE79" s="46"/>
    </row>
    <row r="80" spans="2:31" s="5" customFormat="1">
      <c r="B80" s="6"/>
      <c r="C80" s="6"/>
      <c r="D80" s="6"/>
      <c r="E80" s="6"/>
      <c r="G80" s="6"/>
      <c r="H80" s="6"/>
      <c r="V80" s="41"/>
      <c r="AE80" s="46"/>
    </row>
    <row r="81" spans="2:31" s="5" customFormat="1">
      <c r="B81" s="6"/>
      <c r="C81" s="6"/>
      <c r="D81" s="6"/>
      <c r="E81" s="6"/>
      <c r="G81" s="6"/>
      <c r="H81" s="6"/>
      <c r="V81" s="41"/>
      <c r="AE81" s="46"/>
    </row>
    <row r="82" spans="2:31" s="5" customFormat="1">
      <c r="B82" s="6"/>
      <c r="C82" s="6"/>
      <c r="D82" s="6"/>
      <c r="E82" s="6"/>
      <c r="G82" s="6"/>
      <c r="H82" s="6"/>
      <c r="V82" s="41"/>
      <c r="AE82" s="46"/>
    </row>
    <row r="83" spans="2:31" s="5" customFormat="1">
      <c r="B83" s="6"/>
      <c r="C83" s="6"/>
      <c r="D83" s="6"/>
      <c r="E83" s="6"/>
      <c r="G83" s="6"/>
      <c r="H83" s="6"/>
      <c r="V83" s="41"/>
      <c r="AE83" s="46"/>
    </row>
    <row r="84" spans="2:31" s="5" customFormat="1">
      <c r="B84" s="6"/>
      <c r="C84" s="6"/>
      <c r="D84" s="6"/>
      <c r="E84" s="6"/>
      <c r="G84" s="6"/>
      <c r="H84" s="6"/>
      <c r="V84" s="41"/>
      <c r="AE84" s="46"/>
    </row>
    <row r="85" spans="2:31" s="5" customFormat="1">
      <c r="B85" s="6"/>
      <c r="C85" s="6"/>
      <c r="D85" s="6"/>
      <c r="E85" s="6"/>
      <c r="G85" s="6"/>
      <c r="H85" s="6"/>
      <c r="V85" s="41"/>
      <c r="AE85" s="46"/>
    </row>
    <row r="86" spans="2:31" s="5" customFormat="1">
      <c r="B86" s="6"/>
      <c r="C86" s="6"/>
      <c r="D86" s="6"/>
      <c r="E86" s="6"/>
      <c r="G86" s="6"/>
      <c r="H86" s="6"/>
      <c r="V86" s="41"/>
      <c r="AE86" s="46"/>
    </row>
    <row r="87" spans="2:31" s="5" customFormat="1">
      <c r="B87" s="6"/>
      <c r="C87" s="6"/>
      <c r="D87" s="6"/>
      <c r="E87" s="6"/>
      <c r="G87" s="6"/>
      <c r="H87" s="6"/>
      <c r="V87" s="41"/>
      <c r="AE87" s="46"/>
    </row>
    <row r="88" spans="2:31" s="5" customFormat="1">
      <c r="B88" s="6"/>
      <c r="C88" s="6"/>
      <c r="D88" s="6"/>
      <c r="E88" s="6"/>
      <c r="G88" s="6"/>
      <c r="H88" s="6"/>
      <c r="V88" s="41"/>
      <c r="AE88" s="46"/>
    </row>
    <row r="89" spans="2:31" s="5" customFormat="1">
      <c r="B89" s="6"/>
      <c r="C89" s="6"/>
      <c r="D89" s="6"/>
      <c r="E89" s="6"/>
      <c r="G89" s="6"/>
      <c r="H89" s="6"/>
      <c r="V89" s="41"/>
      <c r="AE89" s="46"/>
    </row>
    <row r="90" spans="2:31" s="5" customFormat="1">
      <c r="B90" s="6"/>
      <c r="C90" s="6"/>
      <c r="D90" s="6"/>
      <c r="E90" s="6"/>
      <c r="G90" s="6"/>
      <c r="H90" s="6"/>
      <c r="V90" s="41"/>
      <c r="AE90" s="46"/>
    </row>
    <row r="91" spans="2:31" s="5" customFormat="1">
      <c r="B91" s="6"/>
      <c r="C91" s="6"/>
      <c r="D91" s="6"/>
      <c r="E91" s="6"/>
      <c r="G91" s="6"/>
      <c r="H91" s="6"/>
      <c r="V91" s="41"/>
      <c r="AE91" s="46"/>
    </row>
    <row r="92" spans="2:31" s="5" customFormat="1">
      <c r="B92" s="6"/>
      <c r="C92" s="6"/>
      <c r="D92" s="6"/>
      <c r="E92" s="6"/>
      <c r="G92" s="6"/>
      <c r="H92" s="6"/>
      <c r="V92" s="41"/>
      <c r="AE92" s="46"/>
    </row>
    <row r="93" spans="2:31" s="5" customFormat="1">
      <c r="B93" s="6"/>
      <c r="C93" s="6"/>
      <c r="D93" s="6"/>
      <c r="E93" s="6"/>
      <c r="G93" s="6"/>
      <c r="H93" s="6"/>
      <c r="V93" s="41"/>
      <c r="AE93" s="46"/>
    </row>
    <row r="94" spans="2:31" s="5" customFormat="1">
      <c r="B94" s="6"/>
      <c r="C94" s="6"/>
      <c r="D94" s="6"/>
      <c r="E94" s="6"/>
      <c r="G94" s="6"/>
      <c r="H94" s="6"/>
      <c r="V94" s="41"/>
      <c r="AE94" s="46"/>
    </row>
    <row r="95" spans="2:31" s="5" customFormat="1">
      <c r="B95" s="6"/>
      <c r="C95" s="6"/>
      <c r="D95" s="6"/>
      <c r="E95" s="6"/>
      <c r="G95" s="6"/>
      <c r="H95" s="6"/>
      <c r="V95" s="41"/>
      <c r="AE95" s="46"/>
    </row>
    <row r="96" spans="2:31" s="5" customFormat="1">
      <c r="B96" s="6"/>
      <c r="C96" s="6"/>
      <c r="D96" s="6"/>
      <c r="E96" s="6"/>
      <c r="G96" s="6"/>
      <c r="H96" s="6"/>
      <c r="V96" s="41"/>
      <c r="AE96" s="46"/>
    </row>
    <row r="97" spans="2:31" s="5" customFormat="1">
      <c r="B97" s="6"/>
      <c r="C97" s="6"/>
      <c r="D97" s="6"/>
      <c r="E97" s="6"/>
      <c r="G97" s="6"/>
      <c r="H97" s="6"/>
      <c r="V97" s="41"/>
      <c r="AE97" s="46"/>
    </row>
    <row r="98" spans="2:31" s="5" customFormat="1">
      <c r="B98" s="6"/>
      <c r="C98" s="6"/>
      <c r="D98" s="6"/>
      <c r="E98" s="6"/>
      <c r="G98" s="6"/>
      <c r="H98" s="6"/>
      <c r="V98" s="41"/>
      <c r="AE98" s="46"/>
    </row>
    <row r="99" spans="2:31" s="5" customFormat="1">
      <c r="B99" s="6"/>
      <c r="C99" s="6"/>
      <c r="D99" s="6"/>
      <c r="E99" s="6"/>
      <c r="G99" s="6"/>
      <c r="H99" s="6"/>
      <c r="V99" s="41"/>
      <c r="AE99" s="46"/>
    </row>
    <row r="100" spans="2:31" s="5" customFormat="1">
      <c r="B100" s="6"/>
      <c r="C100" s="6"/>
      <c r="D100" s="6"/>
      <c r="E100" s="6"/>
      <c r="G100" s="6"/>
      <c r="H100" s="6"/>
      <c r="V100" s="41"/>
      <c r="AE100" s="46"/>
    </row>
    <row r="101" spans="2:31" s="5" customFormat="1">
      <c r="B101" s="6"/>
      <c r="C101" s="6"/>
      <c r="D101" s="6"/>
      <c r="E101" s="6"/>
      <c r="G101" s="6"/>
      <c r="H101" s="6"/>
      <c r="V101" s="41"/>
      <c r="AE101" s="46"/>
    </row>
    <row r="102" spans="2:31" s="5" customFormat="1">
      <c r="B102" s="6"/>
      <c r="C102" s="6"/>
      <c r="D102" s="6"/>
      <c r="E102" s="6"/>
      <c r="G102" s="6"/>
      <c r="H102" s="6"/>
      <c r="V102" s="41"/>
      <c r="AE102" s="46"/>
    </row>
    <row r="103" spans="2:31" s="5" customFormat="1">
      <c r="B103" s="6"/>
      <c r="C103" s="6"/>
      <c r="D103" s="6"/>
      <c r="E103" s="6"/>
      <c r="G103" s="6"/>
      <c r="H103" s="6"/>
      <c r="V103" s="41"/>
      <c r="AE103" s="46"/>
    </row>
    <row r="104" spans="2:31" s="5" customFormat="1">
      <c r="B104" s="6"/>
      <c r="C104" s="6"/>
      <c r="D104" s="6"/>
      <c r="E104" s="6"/>
      <c r="G104" s="6"/>
      <c r="H104" s="6"/>
      <c r="V104" s="41"/>
      <c r="AE104" s="46"/>
    </row>
    <row r="105" spans="2:31" s="5" customFormat="1">
      <c r="B105" s="6"/>
      <c r="C105" s="6"/>
      <c r="D105" s="6"/>
      <c r="E105" s="6"/>
      <c r="G105" s="6"/>
      <c r="H105" s="6"/>
      <c r="V105" s="41"/>
      <c r="AE105" s="46"/>
    </row>
    <row r="106" spans="2:31" s="5" customFormat="1">
      <c r="B106" s="6"/>
      <c r="C106" s="6"/>
      <c r="D106" s="6"/>
      <c r="E106" s="6"/>
      <c r="G106" s="6"/>
      <c r="H106" s="6"/>
      <c r="V106" s="41"/>
      <c r="AE106" s="46"/>
    </row>
    <row r="107" spans="2:31" s="5" customFormat="1">
      <c r="B107" s="6"/>
      <c r="C107" s="6"/>
      <c r="D107" s="6"/>
      <c r="E107" s="6"/>
      <c r="G107" s="6"/>
      <c r="H107" s="6"/>
      <c r="V107" s="41"/>
      <c r="AE107" s="46"/>
    </row>
    <row r="108" spans="2:31" s="5" customFormat="1">
      <c r="B108" s="6"/>
      <c r="C108" s="6"/>
      <c r="D108" s="6"/>
      <c r="E108" s="6"/>
      <c r="G108" s="6"/>
      <c r="H108" s="6"/>
      <c r="V108" s="41"/>
      <c r="AE108" s="46"/>
    </row>
    <row r="109" spans="2:31" s="5" customFormat="1">
      <c r="B109" s="6"/>
      <c r="C109" s="6"/>
      <c r="D109" s="6"/>
      <c r="E109" s="6"/>
      <c r="G109" s="6"/>
      <c r="H109" s="6"/>
      <c r="V109" s="41"/>
      <c r="AE109" s="46"/>
    </row>
    <row r="110" spans="2:31" s="5" customFormat="1">
      <c r="B110" s="6"/>
      <c r="C110" s="6"/>
      <c r="D110" s="6"/>
      <c r="E110" s="6"/>
      <c r="G110" s="6"/>
      <c r="H110" s="6"/>
      <c r="V110" s="41"/>
      <c r="AE110" s="46"/>
    </row>
    <row r="111" spans="2:31" s="5" customFormat="1">
      <c r="B111" s="6"/>
      <c r="C111" s="6"/>
      <c r="D111" s="6"/>
      <c r="E111" s="6"/>
      <c r="G111" s="6"/>
      <c r="H111" s="6"/>
      <c r="V111" s="41"/>
      <c r="AE111" s="46"/>
    </row>
    <row r="112" spans="2:31" s="5" customFormat="1">
      <c r="B112" s="6"/>
      <c r="C112" s="6"/>
      <c r="D112" s="6"/>
      <c r="E112" s="6"/>
      <c r="G112" s="6"/>
      <c r="H112" s="6"/>
      <c r="V112" s="41"/>
      <c r="AE112" s="46"/>
    </row>
    <row r="113" spans="2:31" s="5" customFormat="1">
      <c r="B113" s="6"/>
      <c r="C113" s="6"/>
      <c r="D113" s="6"/>
      <c r="E113" s="6"/>
      <c r="G113" s="6"/>
      <c r="H113" s="6"/>
      <c r="V113" s="41"/>
      <c r="AE113" s="46"/>
    </row>
    <row r="114" spans="2:31" s="5" customFormat="1">
      <c r="B114" s="6"/>
      <c r="C114" s="6"/>
      <c r="D114" s="6"/>
      <c r="E114" s="6"/>
      <c r="G114" s="6"/>
      <c r="H114" s="6"/>
      <c r="V114" s="41"/>
      <c r="AE114" s="46"/>
    </row>
    <row r="115" spans="2:31" s="5" customFormat="1">
      <c r="B115" s="6"/>
      <c r="C115" s="6"/>
      <c r="D115" s="6"/>
      <c r="E115" s="6"/>
      <c r="G115" s="6"/>
      <c r="H115" s="6"/>
      <c r="V115" s="41"/>
      <c r="AE115" s="46"/>
    </row>
    <row r="116" spans="2:31" s="5" customFormat="1">
      <c r="B116" s="6"/>
      <c r="C116" s="6"/>
      <c r="D116" s="6"/>
      <c r="E116" s="6"/>
      <c r="G116" s="6"/>
      <c r="H116" s="6"/>
      <c r="V116" s="41"/>
      <c r="AE116" s="46"/>
    </row>
    <row r="117" spans="2:31" s="5" customFormat="1">
      <c r="B117" s="6"/>
      <c r="C117" s="6"/>
      <c r="D117" s="6"/>
      <c r="E117" s="6"/>
      <c r="G117" s="6"/>
      <c r="H117" s="6"/>
      <c r="V117" s="41"/>
      <c r="AE117" s="46"/>
    </row>
    <row r="118" spans="2:31" s="5" customFormat="1">
      <c r="B118" s="6"/>
      <c r="C118" s="6"/>
      <c r="D118" s="6"/>
      <c r="E118" s="6"/>
      <c r="G118" s="6"/>
      <c r="H118" s="6"/>
      <c r="V118" s="41"/>
      <c r="AE118" s="46"/>
    </row>
    <row r="119" spans="2:31" s="5" customFormat="1">
      <c r="B119" s="6"/>
      <c r="C119" s="6"/>
      <c r="D119" s="6"/>
      <c r="E119" s="6"/>
      <c r="G119" s="6"/>
      <c r="H119" s="6"/>
      <c r="V119" s="41"/>
      <c r="AE119" s="46"/>
    </row>
    <row r="120" spans="2:31" s="5" customFormat="1">
      <c r="B120" s="6"/>
      <c r="C120" s="6"/>
      <c r="D120" s="6"/>
      <c r="E120" s="6"/>
      <c r="G120" s="6"/>
      <c r="H120" s="6"/>
      <c r="V120" s="41"/>
      <c r="AE120" s="46"/>
    </row>
    <row r="121" spans="2:31" s="5" customFormat="1">
      <c r="B121" s="6"/>
      <c r="C121" s="6"/>
      <c r="D121" s="6"/>
      <c r="E121" s="6"/>
      <c r="G121" s="6"/>
      <c r="H121" s="6"/>
      <c r="V121" s="41"/>
      <c r="AE121" s="46"/>
    </row>
    <row r="122" spans="2:31" s="5" customFormat="1">
      <c r="B122" s="6"/>
      <c r="C122" s="6"/>
      <c r="D122" s="6"/>
      <c r="E122" s="6"/>
      <c r="G122" s="6"/>
      <c r="H122" s="6"/>
      <c r="V122" s="41"/>
      <c r="AE122" s="46"/>
    </row>
    <row r="123" spans="2:31" s="5" customFormat="1">
      <c r="B123" s="6"/>
      <c r="C123" s="6"/>
      <c r="D123" s="6"/>
      <c r="E123" s="6"/>
      <c r="G123" s="6"/>
      <c r="H123" s="6"/>
      <c r="V123" s="41"/>
      <c r="AE123" s="46"/>
    </row>
    <row r="124" spans="2:31" s="5" customFormat="1">
      <c r="B124" s="6"/>
      <c r="C124" s="6"/>
      <c r="D124" s="6"/>
      <c r="E124" s="6"/>
      <c r="G124" s="6"/>
      <c r="H124" s="6"/>
      <c r="V124" s="41"/>
      <c r="AE124" s="46"/>
    </row>
    <row r="125" spans="2:31" s="5" customFormat="1">
      <c r="B125" s="6"/>
      <c r="C125" s="6"/>
      <c r="D125" s="6"/>
      <c r="E125" s="6"/>
      <c r="G125" s="6"/>
      <c r="H125" s="6"/>
      <c r="V125" s="41"/>
      <c r="AE125" s="46"/>
    </row>
    <row r="126" spans="2:31" s="5" customFormat="1">
      <c r="B126" s="6"/>
      <c r="C126" s="6"/>
      <c r="D126" s="6"/>
      <c r="E126" s="6"/>
      <c r="G126" s="6"/>
      <c r="H126" s="6"/>
      <c r="V126" s="41"/>
      <c r="AE126" s="46"/>
    </row>
    <row r="127" spans="2:31" s="5" customFormat="1">
      <c r="B127" s="6"/>
      <c r="C127" s="6"/>
      <c r="D127" s="6"/>
      <c r="E127" s="6"/>
      <c r="G127" s="6"/>
      <c r="H127" s="6"/>
      <c r="V127" s="41"/>
      <c r="AE127" s="46"/>
    </row>
    <row r="128" spans="2:31" s="5" customFormat="1">
      <c r="B128" s="6"/>
      <c r="C128" s="6"/>
      <c r="D128" s="6"/>
      <c r="E128" s="6"/>
      <c r="G128" s="6"/>
      <c r="H128" s="6"/>
      <c r="V128" s="41"/>
      <c r="AE128" s="46"/>
    </row>
    <row r="129" spans="2:31" s="5" customFormat="1">
      <c r="B129" s="6"/>
      <c r="C129" s="6"/>
      <c r="D129" s="6"/>
      <c r="E129" s="6"/>
      <c r="G129" s="6"/>
      <c r="H129" s="6"/>
      <c r="V129" s="41"/>
      <c r="AE129" s="46"/>
    </row>
    <row r="130" spans="2:31" s="5" customFormat="1">
      <c r="B130" s="6"/>
      <c r="C130" s="6"/>
      <c r="D130" s="6"/>
      <c r="E130" s="6"/>
      <c r="G130" s="6"/>
      <c r="H130" s="6"/>
      <c r="V130" s="41"/>
      <c r="AE130" s="46"/>
    </row>
    <row r="131" spans="2:31" s="5" customFormat="1">
      <c r="B131" s="6"/>
      <c r="C131" s="6"/>
      <c r="D131" s="6"/>
      <c r="E131" s="6"/>
      <c r="G131" s="6"/>
      <c r="H131" s="6"/>
      <c r="V131" s="41"/>
      <c r="AE131" s="46"/>
    </row>
    <row r="132" spans="2:31" s="5" customFormat="1">
      <c r="B132" s="6"/>
      <c r="C132" s="6"/>
      <c r="D132" s="6"/>
      <c r="E132" s="6"/>
      <c r="G132" s="6"/>
      <c r="H132" s="6"/>
      <c r="V132" s="41"/>
      <c r="AE132" s="46"/>
    </row>
    <row r="133" spans="2:31" s="5" customFormat="1">
      <c r="B133" s="6"/>
      <c r="C133" s="6"/>
      <c r="D133" s="6"/>
      <c r="E133" s="6"/>
      <c r="G133" s="6"/>
      <c r="H133" s="6"/>
      <c r="V133" s="41"/>
      <c r="AE133" s="46"/>
    </row>
    <row r="134" spans="2:31" s="5" customFormat="1">
      <c r="B134" s="6"/>
      <c r="C134" s="6"/>
      <c r="D134" s="6"/>
      <c r="E134" s="6"/>
      <c r="G134" s="6"/>
      <c r="H134" s="6"/>
      <c r="V134" s="41"/>
      <c r="AE134" s="46"/>
    </row>
    <row r="135" spans="2:31" s="5" customFormat="1">
      <c r="B135" s="6"/>
      <c r="C135" s="6"/>
      <c r="D135" s="6"/>
      <c r="E135" s="6"/>
      <c r="G135" s="6"/>
      <c r="H135" s="6"/>
      <c r="V135" s="41"/>
      <c r="AE135" s="46"/>
    </row>
    <row r="136" spans="2:31" s="5" customFormat="1">
      <c r="B136" s="6"/>
      <c r="C136" s="6"/>
      <c r="D136" s="6"/>
      <c r="E136" s="6"/>
      <c r="G136" s="6"/>
      <c r="H136" s="6"/>
      <c r="V136" s="41"/>
      <c r="AE136" s="46"/>
    </row>
    <row r="137" spans="2:31" s="5" customFormat="1">
      <c r="B137" s="6"/>
      <c r="C137" s="6"/>
      <c r="D137" s="6"/>
      <c r="E137" s="6"/>
      <c r="G137" s="6"/>
      <c r="H137" s="6"/>
      <c r="V137" s="41"/>
      <c r="AE137" s="46"/>
    </row>
    <row r="138" spans="2:31" s="5" customFormat="1">
      <c r="B138" s="6"/>
      <c r="C138" s="6"/>
      <c r="D138" s="6"/>
      <c r="E138" s="6"/>
      <c r="G138" s="6"/>
      <c r="H138" s="6"/>
      <c r="V138" s="41"/>
      <c r="AE138" s="46"/>
    </row>
    <row r="139" spans="2:31" s="5" customFormat="1">
      <c r="B139" s="6"/>
      <c r="C139" s="6"/>
      <c r="D139" s="6"/>
      <c r="E139" s="6"/>
      <c r="G139" s="6"/>
      <c r="H139" s="6"/>
      <c r="V139" s="41"/>
      <c r="AE139" s="46"/>
    </row>
    <row r="140" spans="2:31" s="5" customFormat="1">
      <c r="B140" s="6"/>
      <c r="C140" s="6"/>
      <c r="D140" s="6"/>
      <c r="E140" s="6"/>
      <c r="G140" s="6"/>
      <c r="H140" s="6"/>
      <c r="V140" s="41"/>
      <c r="AE140" s="46"/>
    </row>
    <row r="141" spans="2:31" s="5" customFormat="1">
      <c r="B141" s="6"/>
      <c r="C141" s="6"/>
      <c r="D141" s="6"/>
      <c r="E141" s="6"/>
      <c r="G141" s="6"/>
      <c r="H141" s="6"/>
      <c r="V141" s="41"/>
      <c r="AE141" s="46"/>
    </row>
    <row r="142" spans="2:31" s="5" customFormat="1">
      <c r="B142" s="6"/>
      <c r="C142" s="6"/>
      <c r="D142" s="6"/>
      <c r="E142" s="6"/>
      <c r="G142" s="6"/>
      <c r="H142" s="6"/>
      <c r="V142" s="41"/>
      <c r="AE142" s="46"/>
    </row>
    <row r="143" spans="2:31" s="5" customFormat="1">
      <c r="B143" s="6"/>
      <c r="C143" s="6"/>
      <c r="D143" s="6"/>
      <c r="E143" s="6"/>
      <c r="G143" s="6"/>
      <c r="H143" s="6"/>
      <c r="V143" s="41"/>
      <c r="AE143" s="46"/>
    </row>
    <row r="144" spans="2:31" s="5" customFormat="1">
      <c r="B144" s="6"/>
      <c r="C144" s="6"/>
      <c r="D144" s="6"/>
      <c r="E144" s="6"/>
      <c r="G144" s="6"/>
      <c r="H144" s="6"/>
      <c r="V144" s="41"/>
      <c r="AE144" s="46"/>
    </row>
    <row r="145" spans="2:31" s="5" customFormat="1">
      <c r="B145" s="6"/>
      <c r="C145" s="6"/>
      <c r="D145" s="6"/>
      <c r="E145" s="6"/>
      <c r="G145" s="6"/>
      <c r="H145" s="6"/>
      <c r="V145" s="41"/>
      <c r="AE145" s="46"/>
    </row>
    <row r="146" spans="2:31" s="5" customFormat="1">
      <c r="B146" s="6"/>
      <c r="C146" s="6"/>
      <c r="D146" s="6"/>
      <c r="E146" s="6"/>
      <c r="G146" s="6"/>
      <c r="H146" s="6"/>
      <c r="V146" s="41"/>
      <c r="AE146" s="46"/>
    </row>
    <row r="147" spans="2:31" s="5" customFormat="1">
      <c r="B147" s="6"/>
      <c r="C147" s="6"/>
      <c r="D147" s="6"/>
      <c r="E147" s="6"/>
      <c r="G147" s="6"/>
      <c r="H147" s="6"/>
      <c r="V147" s="41"/>
      <c r="AE147" s="46"/>
    </row>
    <row r="148" spans="2:31" s="5" customFormat="1">
      <c r="B148" s="6"/>
      <c r="C148" s="6"/>
      <c r="D148" s="6"/>
      <c r="E148" s="6"/>
      <c r="G148" s="6"/>
      <c r="H148" s="6"/>
      <c r="V148" s="41"/>
      <c r="AE148" s="46"/>
    </row>
    <row r="149" spans="2:31" s="5" customFormat="1">
      <c r="B149" s="6"/>
      <c r="C149" s="6"/>
      <c r="D149" s="6"/>
      <c r="E149" s="6"/>
      <c r="G149" s="6"/>
      <c r="H149" s="6"/>
      <c r="V149" s="41"/>
      <c r="AE149" s="46"/>
    </row>
    <row r="150" spans="2:31" s="5" customFormat="1">
      <c r="B150" s="6"/>
      <c r="C150" s="6"/>
      <c r="D150" s="6"/>
      <c r="E150" s="6"/>
      <c r="G150" s="6"/>
      <c r="H150" s="6"/>
      <c r="V150" s="41"/>
      <c r="AE150" s="46"/>
    </row>
    <row r="151" spans="2:31" s="5" customFormat="1">
      <c r="B151" s="6"/>
      <c r="C151" s="6"/>
      <c r="D151" s="6"/>
      <c r="E151" s="6"/>
      <c r="G151" s="6"/>
      <c r="H151" s="6"/>
      <c r="V151" s="41"/>
      <c r="AE151" s="46"/>
    </row>
    <row r="152" spans="2:31" s="5" customFormat="1">
      <c r="B152" s="6"/>
      <c r="C152" s="6"/>
      <c r="D152" s="6"/>
      <c r="E152" s="6"/>
      <c r="G152" s="6"/>
      <c r="H152" s="6"/>
      <c r="V152" s="41"/>
      <c r="AE152" s="46"/>
    </row>
    <row r="153" spans="2:31" s="5" customFormat="1">
      <c r="B153" s="6"/>
      <c r="C153" s="6"/>
      <c r="D153" s="6"/>
      <c r="E153" s="6"/>
      <c r="G153" s="6"/>
      <c r="H153" s="6"/>
      <c r="V153" s="41"/>
      <c r="AE153" s="46"/>
    </row>
    <row r="154" spans="2:31" s="5" customFormat="1">
      <c r="B154" s="6"/>
      <c r="C154" s="6"/>
      <c r="D154" s="6"/>
      <c r="E154" s="6"/>
      <c r="G154" s="6"/>
      <c r="H154" s="6"/>
      <c r="V154" s="41"/>
      <c r="AE154" s="46"/>
    </row>
    <row r="155" spans="2:31" s="5" customFormat="1">
      <c r="B155" s="6"/>
      <c r="C155" s="6"/>
      <c r="D155" s="6"/>
      <c r="E155" s="6"/>
      <c r="G155" s="6"/>
      <c r="H155" s="6"/>
      <c r="V155" s="41"/>
      <c r="AE155" s="46"/>
    </row>
    <row r="156" spans="2:31" s="5" customFormat="1">
      <c r="B156" s="6"/>
      <c r="C156" s="6"/>
      <c r="D156" s="6"/>
      <c r="E156" s="6"/>
      <c r="G156" s="6"/>
      <c r="H156" s="6"/>
      <c r="V156" s="41"/>
      <c r="AE156" s="46"/>
    </row>
    <row r="157" spans="2:31" s="5" customFormat="1">
      <c r="B157" s="6"/>
      <c r="C157" s="6"/>
      <c r="D157" s="6"/>
      <c r="E157" s="6"/>
      <c r="G157" s="6"/>
      <c r="H157" s="6"/>
      <c r="V157" s="41"/>
      <c r="AE157" s="46"/>
    </row>
    <row r="158" spans="2:31" s="5" customFormat="1">
      <c r="B158" s="6"/>
      <c r="C158" s="6"/>
      <c r="D158" s="6"/>
      <c r="E158" s="6"/>
      <c r="G158" s="6"/>
      <c r="H158" s="6"/>
      <c r="V158" s="41"/>
      <c r="AE158" s="46"/>
    </row>
    <row r="159" spans="2:31" s="5" customFormat="1">
      <c r="B159" s="6"/>
      <c r="C159" s="6"/>
      <c r="D159" s="6"/>
      <c r="E159" s="6"/>
      <c r="G159" s="6"/>
      <c r="H159" s="6"/>
      <c r="V159" s="41"/>
      <c r="AE159" s="46"/>
    </row>
    <row r="160" spans="2:31" s="5" customFormat="1">
      <c r="B160" s="6"/>
      <c r="C160" s="6"/>
      <c r="D160" s="6"/>
      <c r="E160" s="6"/>
      <c r="G160" s="6"/>
      <c r="H160" s="6"/>
      <c r="V160" s="41"/>
      <c r="AE160" s="46"/>
    </row>
    <row r="161" spans="2:31" s="5" customFormat="1">
      <c r="B161" s="6"/>
      <c r="C161" s="6"/>
      <c r="D161" s="6"/>
      <c r="E161" s="6"/>
      <c r="G161" s="6"/>
      <c r="H161" s="6"/>
      <c r="V161" s="41"/>
      <c r="AE161" s="46"/>
    </row>
    <row r="162" spans="2:31" s="5" customFormat="1">
      <c r="B162" s="6"/>
      <c r="C162" s="6"/>
      <c r="D162" s="6"/>
      <c r="E162" s="6"/>
      <c r="G162" s="6"/>
      <c r="H162" s="6"/>
      <c r="V162" s="41"/>
      <c r="AE162" s="46"/>
    </row>
    <row r="163" spans="2:31" s="5" customFormat="1">
      <c r="B163" s="6"/>
      <c r="C163" s="6"/>
      <c r="D163" s="6"/>
      <c r="E163" s="6"/>
      <c r="G163" s="6"/>
      <c r="H163" s="6"/>
      <c r="V163" s="41"/>
      <c r="AE163" s="46"/>
    </row>
    <row r="164" spans="2:31" s="5" customFormat="1">
      <c r="B164" s="6"/>
      <c r="C164" s="6"/>
      <c r="D164" s="6"/>
      <c r="E164" s="6"/>
      <c r="G164" s="6"/>
      <c r="H164" s="6"/>
      <c r="V164" s="41"/>
      <c r="AE164" s="46"/>
    </row>
    <row r="165" spans="2:31" s="5" customFormat="1">
      <c r="B165" s="6"/>
      <c r="C165" s="6"/>
      <c r="D165" s="6"/>
      <c r="E165" s="6"/>
      <c r="G165" s="6"/>
      <c r="H165" s="6"/>
      <c r="V165" s="41"/>
      <c r="AE165" s="46"/>
    </row>
    <row r="166" spans="2:31" s="5" customFormat="1">
      <c r="B166" s="6"/>
      <c r="C166" s="6"/>
      <c r="D166" s="6"/>
      <c r="E166" s="6"/>
      <c r="G166" s="6"/>
      <c r="H166" s="6"/>
      <c r="V166" s="41"/>
      <c r="AE166" s="46"/>
    </row>
    <row r="167" spans="2:31" s="5" customFormat="1">
      <c r="B167" s="6"/>
      <c r="C167" s="6"/>
      <c r="D167" s="6"/>
      <c r="E167" s="6"/>
      <c r="G167" s="6"/>
      <c r="H167" s="6"/>
      <c r="V167" s="41"/>
      <c r="AE167" s="46"/>
    </row>
    <row r="168" spans="2:31" s="5" customFormat="1">
      <c r="B168" s="6"/>
      <c r="C168" s="6"/>
      <c r="D168" s="6"/>
      <c r="E168" s="6"/>
      <c r="G168" s="6"/>
      <c r="H168" s="6"/>
      <c r="V168" s="41"/>
      <c r="AE168" s="46"/>
    </row>
    <row r="169" spans="2:31" s="5" customFormat="1">
      <c r="B169" s="6"/>
      <c r="C169" s="6"/>
      <c r="D169" s="6"/>
      <c r="E169" s="6"/>
      <c r="G169" s="6"/>
      <c r="H169" s="6"/>
      <c r="V169" s="41"/>
      <c r="AE169" s="46"/>
    </row>
    <row r="170" spans="2:31" s="5" customFormat="1">
      <c r="B170" s="6"/>
      <c r="C170" s="6"/>
      <c r="D170" s="6"/>
      <c r="E170" s="6"/>
      <c r="G170" s="6"/>
      <c r="H170" s="6"/>
      <c r="V170" s="41"/>
      <c r="AE170" s="46"/>
    </row>
  </sheetData>
  <mergeCells count="6">
    <mergeCell ref="A2:AD2"/>
    <mergeCell ref="A6:A8"/>
    <mergeCell ref="B6:AD6"/>
    <mergeCell ref="B7:P7"/>
    <mergeCell ref="R7:AD7"/>
    <mergeCell ref="Q7:Q8"/>
  </mergeCells>
  <phoneticPr fontId="110" type="noConversion"/>
  <printOptions horizontalCentered="1"/>
  <pageMargins left="0.2" right="0.2" top="0.25" bottom="0.25" header="0.3" footer="0.3"/>
  <pageSetup paperSize="9" scale="4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B166"/>
  <sheetViews>
    <sheetView workbookViewId="0"/>
  </sheetViews>
  <sheetFormatPr defaultColWidth="9.33203125" defaultRowHeight="12.4"/>
  <cols>
    <col min="1" max="1" width="12" style="1" customWidth="1"/>
    <col min="2" max="2" width="20.83203125" style="3" customWidth="1"/>
    <col min="3" max="3" width="28.5" style="3" customWidth="1"/>
    <col min="4" max="4" width="22" style="3" customWidth="1"/>
    <col min="5" max="5" width="22.33203125" style="1" customWidth="1"/>
    <col min="6" max="6" width="23.1640625" style="3" customWidth="1"/>
    <col min="7" max="7" width="24" style="1" customWidth="1"/>
    <col min="8" max="8" width="25.5" style="1" customWidth="1"/>
    <col min="9" max="9" width="22.83203125" style="1" customWidth="1"/>
    <col min="10" max="10" width="22.1640625" style="1" customWidth="1"/>
    <col min="11" max="11" width="25" style="1" customWidth="1"/>
    <col min="12" max="12" width="28" style="1" customWidth="1"/>
    <col min="13" max="13" width="26.33203125" style="1" customWidth="1"/>
    <col min="14" max="14" width="31" style="1" customWidth="1"/>
    <col min="15" max="15" width="16.1640625" style="1" customWidth="1"/>
    <col min="16" max="16" width="18.33203125" style="1" customWidth="1"/>
    <col min="17" max="18" width="18.83203125" style="1" customWidth="1"/>
    <col min="19" max="19" width="18.6640625" style="43" customWidth="1"/>
    <col min="20" max="20" width="19" style="1" customWidth="1"/>
    <col min="21" max="21" width="19.1640625" style="1" customWidth="1"/>
    <col min="22" max="22" width="19" style="1" customWidth="1"/>
    <col min="23" max="23" width="18.33203125" style="1" customWidth="1"/>
    <col min="24" max="24" width="19.83203125" style="1" customWidth="1"/>
    <col min="25" max="25" width="19.33203125" style="1" customWidth="1"/>
    <col min="26" max="26" width="22.1640625" style="1" customWidth="1"/>
    <col min="27" max="27" width="23.33203125" style="1" customWidth="1"/>
    <col min="28" max="28" width="9.83203125" style="49" customWidth="1"/>
    <col min="29" max="16384" width="9.33203125" style="1"/>
  </cols>
  <sheetData>
    <row r="1" spans="1:28" s="5" customFormat="1" ht="24" customHeight="1">
      <c r="A1" s="21" t="s">
        <v>16</v>
      </c>
      <c r="B1" s="6"/>
      <c r="C1" s="6"/>
      <c r="D1" s="6"/>
      <c r="F1" s="6"/>
      <c r="S1" s="41"/>
      <c r="AB1" s="46"/>
    </row>
    <row r="2" spans="1:28" s="5" customFormat="1" ht="30.75" customHeight="1">
      <c r="A2" s="438" t="s">
        <v>18</v>
      </c>
      <c r="B2" s="438"/>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46"/>
    </row>
    <row r="3" spans="1:28" s="5" customFormat="1">
      <c r="B3" s="59">
        <f>IFERROR(B18/B10,0)</f>
        <v>0.86960000006617755</v>
      </c>
      <c r="C3" s="59">
        <f t="shared" ref="C3:M3" si="0">IFERROR(C18/C10,0)</f>
        <v>0.86956521741785131</v>
      </c>
      <c r="D3" s="59">
        <f t="shared" si="0"/>
        <v>0.86956521742305792</v>
      </c>
      <c r="E3" s="59">
        <f t="shared" si="0"/>
        <v>0.86963990065847274</v>
      </c>
      <c r="F3" s="59">
        <f t="shared" si="0"/>
        <v>0.86959999998318682</v>
      </c>
      <c r="G3" s="59">
        <f t="shared" si="0"/>
        <v>0.86960000000033533</v>
      </c>
      <c r="H3" s="59">
        <f t="shared" si="0"/>
        <v>0.86960000001877313</v>
      </c>
      <c r="I3" s="59">
        <f t="shared" si="0"/>
        <v>0.86960000004346794</v>
      </c>
      <c r="J3" s="59">
        <f t="shared" si="0"/>
        <v>0.86959999993659831</v>
      </c>
      <c r="K3" s="59">
        <f t="shared" si="0"/>
        <v>0.86960000004323057</v>
      </c>
      <c r="L3" s="59">
        <f t="shared" si="0"/>
        <v>0.86466657969976402</v>
      </c>
      <c r="M3" s="59">
        <f t="shared" si="0"/>
        <v>0.88273726821931353</v>
      </c>
      <c r="N3" s="51">
        <f>IFERROR(N18/N10,0)</f>
        <v>0.86964165722812747</v>
      </c>
      <c r="O3" s="37">
        <f t="shared" ref="O3:Y3" si="1">IFERROR(O18/O10,0)</f>
        <v>0.86960000006617766</v>
      </c>
      <c r="P3" s="37">
        <f t="shared" si="1"/>
        <v>0.86956521741785131</v>
      </c>
      <c r="Q3" s="37">
        <f t="shared" si="1"/>
        <v>0.86956521742305781</v>
      </c>
      <c r="R3" s="37">
        <f t="shared" si="1"/>
        <v>0.86963989893069316</v>
      </c>
      <c r="S3" s="42">
        <f t="shared" si="1"/>
        <v>0.86959999266760801</v>
      </c>
      <c r="T3" s="37">
        <f t="shared" si="1"/>
        <v>0.86959999862765058</v>
      </c>
      <c r="U3" s="37">
        <f t="shared" si="1"/>
        <v>0.86959999058329085</v>
      </c>
      <c r="V3" s="37">
        <f t="shared" si="1"/>
        <v>0.86960000219556244</v>
      </c>
      <c r="W3" s="37">
        <f t="shared" si="1"/>
        <v>0.86960001492157313</v>
      </c>
      <c r="X3" s="37">
        <f t="shared" si="1"/>
        <v>0.86959998194775945</v>
      </c>
      <c r="Y3" s="37">
        <f t="shared" si="1"/>
        <v>0.86466675897926093</v>
      </c>
      <c r="Z3" s="18" t="s">
        <v>12</v>
      </c>
      <c r="AA3" s="35">
        <f>IFERROR(AA18/AA10,0)</f>
        <v>0.869641833067056</v>
      </c>
      <c r="AB3" s="46"/>
    </row>
    <row r="4" spans="1:28" s="5" customFormat="1">
      <c r="B4" s="59">
        <f>IFERROR(B20/B12,0)</f>
        <v>0.90910000015253167</v>
      </c>
      <c r="C4" s="59">
        <f t="shared" ref="C4:M4" si="2">IFERROR(C20/C12,0)</f>
        <v>0.90909090908802148</v>
      </c>
      <c r="D4" s="59">
        <f t="shared" si="2"/>
        <v>0.90909090910131063</v>
      </c>
      <c r="E4" s="59">
        <f t="shared" si="2"/>
        <v>0.90911630170538316</v>
      </c>
      <c r="F4" s="59">
        <f t="shared" si="2"/>
        <v>0.9091000000021523</v>
      </c>
      <c r="G4" s="59">
        <f t="shared" si="2"/>
        <v>0.90909999999581037</v>
      </c>
      <c r="H4" s="59">
        <f>IFERROR(H20/H12,0)</f>
        <v>0.90910000000450231</v>
      </c>
      <c r="I4" s="59">
        <f t="shared" si="2"/>
        <v>0.9091000000042655</v>
      </c>
      <c r="J4" s="59">
        <f t="shared" si="2"/>
        <v>0.90909999999762559</v>
      </c>
      <c r="K4" s="59">
        <f t="shared" si="2"/>
        <v>0.90909999999940261</v>
      </c>
      <c r="L4" s="59">
        <f t="shared" si="2"/>
        <v>0.88388996894887717</v>
      </c>
      <c r="M4" s="59">
        <f t="shared" si="2"/>
        <v>0.87736995592189582</v>
      </c>
      <c r="N4" s="51">
        <f>IFERROR(N20/N12,0)</f>
        <v>0.89617564171892539</v>
      </c>
      <c r="O4" s="37">
        <f t="shared" ref="O4:Y4" si="3">IFERROR(O20/O12,0)</f>
        <v>0.90910000015253178</v>
      </c>
      <c r="P4" s="37">
        <f t="shared" si="3"/>
        <v>0.90909090908802148</v>
      </c>
      <c r="Q4" s="37">
        <f t="shared" si="3"/>
        <v>0.90909090910131052</v>
      </c>
      <c r="R4" s="37">
        <f t="shared" si="3"/>
        <v>0.9091162996993799</v>
      </c>
      <c r="S4" s="42">
        <f t="shared" si="3"/>
        <v>0.90909999787450735</v>
      </c>
      <c r="T4" s="37">
        <f t="shared" si="3"/>
        <v>0.90910000036360761</v>
      </c>
      <c r="U4" s="37">
        <f t="shared" si="3"/>
        <v>0.90910000345464359</v>
      </c>
      <c r="V4" s="37">
        <f t="shared" si="3"/>
        <v>0.90909999885107551</v>
      </c>
      <c r="W4" s="37">
        <f t="shared" si="3"/>
        <v>0.90910000040840233</v>
      </c>
      <c r="X4" s="37">
        <f t="shared" si="3"/>
        <v>0.90909999973428601</v>
      </c>
      <c r="Y4" s="37">
        <f t="shared" si="3"/>
        <v>0.88388997001018865</v>
      </c>
      <c r="Z4" s="18" t="s">
        <v>13</v>
      </c>
      <c r="AA4" s="35">
        <f>IFERROR(AA20/AA12,0)</f>
        <v>0.89615278979005708</v>
      </c>
      <c r="AB4" s="46"/>
    </row>
    <row r="5" spans="1:28" s="5" customFormat="1">
      <c r="B5" s="59"/>
      <c r="C5" s="59"/>
      <c r="D5" s="59"/>
      <c r="E5" s="59"/>
      <c r="F5" s="59"/>
      <c r="G5" s="59"/>
      <c r="H5" s="59"/>
      <c r="I5" s="59"/>
      <c r="J5" s="59">
        <f>J23/J15</f>
        <v>0.86960000001918969</v>
      </c>
      <c r="K5" s="59">
        <f>K23/K15</f>
        <v>0.86959999997274839</v>
      </c>
      <c r="L5" s="59"/>
      <c r="M5" s="59"/>
      <c r="N5" s="51">
        <f>IFERROR(N23/N15,0)</f>
        <v>0.85362089854439926</v>
      </c>
      <c r="O5" s="37">
        <f t="shared" ref="O5:Y5" si="4">IFERROR(O21/O13,0)</f>
        <v>0</v>
      </c>
      <c r="P5" s="37">
        <f t="shared" si="4"/>
        <v>0</v>
      </c>
      <c r="Q5" s="37">
        <f t="shared" si="4"/>
        <v>0</v>
      </c>
      <c r="R5" s="37">
        <f t="shared" si="4"/>
        <v>0</v>
      </c>
      <c r="S5" s="42">
        <f t="shared" si="4"/>
        <v>0</v>
      </c>
      <c r="T5" s="37">
        <f t="shared" si="4"/>
        <v>0</v>
      </c>
      <c r="U5" s="37">
        <f t="shared" si="4"/>
        <v>0</v>
      </c>
      <c r="V5" s="37">
        <f t="shared" si="4"/>
        <v>0</v>
      </c>
      <c r="W5" s="37">
        <f t="shared" si="4"/>
        <v>0</v>
      </c>
      <c r="X5" s="37">
        <f t="shared" si="4"/>
        <v>0</v>
      </c>
      <c r="Y5" s="37">
        <f t="shared" si="4"/>
        <v>0</v>
      </c>
      <c r="Z5" s="18" t="s">
        <v>14</v>
      </c>
      <c r="AA5" s="35">
        <f>IFERROR(AA21/AA13,0)</f>
        <v>0</v>
      </c>
      <c r="AB5" s="46"/>
    </row>
    <row r="6" spans="1:28" s="10" customFormat="1" ht="39" customHeight="1">
      <c r="A6" s="427" t="s">
        <v>2</v>
      </c>
      <c r="B6" s="430">
        <v>2019</v>
      </c>
      <c r="C6" s="430"/>
      <c r="D6" s="430"/>
      <c r="E6" s="430"/>
      <c r="F6" s="430"/>
      <c r="G6" s="430"/>
      <c r="H6" s="430"/>
      <c r="I6" s="430"/>
      <c r="J6" s="430"/>
      <c r="K6" s="430"/>
      <c r="L6" s="430"/>
      <c r="M6" s="430"/>
      <c r="N6" s="430"/>
      <c r="O6" s="430"/>
      <c r="P6" s="430"/>
      <c r="Q6" s="430"/>
      <c r="R6" s="430"/>
      <c r="S6" s="430"/>
      <c r="T6" s="430"/>
      <c r="U6" s="430"/>
      <c r="V6" s="430"/>
      <c r="W6" s="430"/>
      <c r="X6" s="430"/>
      <c r="Y6" s="430"/>
      <c r="Z6" s="430"/>
      <c r="AA6" s="430"/>
      <c r="AB6" s="47"/>
    </row>
    <row r="7" spans="1:28" s="11" customFormat="1" ht="39" customHeight="1">
      <c r="A7" s="428"/>
      <c r="B7" s="432" t="s">
        <v>5</v>
      </c>
      <c r="C7" s="433"/>
      <c r="D7" s="433"/>
      <c r="E7" s="433"/>
      <c r="F7" s="433"/>
      <c r="G7" s="433"/>
      <c r="H7" s="433"/>
      <c r="I7" s="433"/>
      <c r="J7" s="433"/>
      <c r="K7" s="433"/>
      <c r="L7" s="433"/>
      <c r="M7" s="433"/>
      <c r="N7" s="435"/>
      <c r="O7" s="432" t="s">
        <v>6</v>
      </c>
      <c r="P7" s="433"/>
      <c r="Q7" s="433"/>
      <c r="R7" s="433"/>
      <c r="S7" s="433"/>
      <c r="T7" s="433"/>
      <c r="U7" s="433"/>
      <c r="V7" s="433"/>
      <c r="W7" s="433"/>
      <c r="X7" s="433"/>
      <c r="Y7" s="433"/>
      <c r="Z7" s="433"/>
      <c r="AA7" s="435"/>
      <c r="AB7" s="48"/>
    </row>
    <row r="8" spans="1:28" s="11" customFormat="1" ht="39" customHeight="1">
      <c r="A8" s="429"/>
      <c r="B8" s="2">
        <v>43466</v>
      </c>
      <c r="C8" s="2">
        <v>43497</v>
      </c>
      <c r="D8" s="2">
        <v>43525</v>
      </c>
      <c r="E8" s="2">
        <v>43556</v>
      </c>
      <c r="F8" s="45" t="s">
        <v>20</v>
      </c>
      <c r="G8" s="2">
        <v>43617</v>
      </c>
      <c r="H8" s="2">
        <v>43647</v>
      </c>
      <c r="I8" s="2">
        <v>43678</v>
      </c>
      <c r="J8" s="2">
        <v>43709</v>
      </c>
      <c r="K8" s="2">
        <v>43739</v>
      </c>
      <c r="L8" s="2">
        <v>43770</v>
      </c>
      <c r="M8" s="2">
        <v>43800</v>
      </c>
      <c r="N8" s="4" t="s">
        <v>8</v>
      </c>
      <c r="O8" s="2">
        <v>43466</v>
      </c>
      <c r="P8" s="2">
        <v>43497</v>
      </c>
      <c r="Q8" s="2">
        <v>43525</v>
      </c>
      <c r="R8" s="2">
        <v>43556</v>
      </c>
      <c r="S8" s="45" t="s">
        <v>20</v>
      </c>
      <c r="T8" s="2">
        <v>43617</v>
      </c>
      <c r="U8" s="2">
        <v>43647</v>
      </c>
      <c r="V8" s="2">
        <v>43678</v>
      </c>
      <c r="W8" s="2">
        <v>43709</v>
      </c>
      <c r="X8" s="2">
        <v>43739</v>
      </c>
      <c r="Y8" s="2">
        <v>43770</v>
      </c>
      <c r="Z8" s="2">
        <v>43800</v>
      </c>
      <c r="AA8" s="4" t="s">
        <v>7</v>
      </c>
      <c r="AB8" s="48"/>
    </row>
    <row r="9" spans="1:28" s="14" customFormat="1" ht="39" customHeight="1">
      <c r="A9" s="32" t="s">
        <v>3</v>
      </c>
      <c r="B9" s="12">
        <f t="shared" ref="B9:I9" si="5">B10+B11+B13+B12+B14+B15</f>
        <v>9019767089</v>
      </c>
      <c r="C9" s="12">
        <f t="shared" si="5"/>
        <v>83438285636</v>
      </c>
      <c r="D9" s="12">
        <f t="shared" si="5"/>
        <v>39315367903</v>
      </c>
      <c r="E9" s="12">
        <f t="shared" si="5"/>
        <v>78464526750.075012</v>
      </c>
      <c r="F9" s="12">
        <f t="shared" si="5"/>
        <v>93777641697</v>
      </c>
      <c r="G9" s="12">
        <f t="shared" si="5"/>
        <v>124475406096</v>
      </c>
      <c r="H9" s="12">
        <f t="shared" si="5"/>
        <v>58512018890</v>
      </c>
      <c r="I9" s="12">
        <f t="shared" si="5"/>
        <v>67804743844</v>
      </c>
      <c r="J9" s="12">
        <f>J10+J11+J13+J12+J14+J15</f>
        <v>93810264992</v>
      </c>
      <c r="K9" s="12">
        <f>K10+K11+K13+K12+K14+K15</f>
        <v>107768822509</v>
      </c>
      <c r="L9" s="12">
        <f>L10+L11+L13+L12+L14+L15+L16</f>
        <v>137552710896</v>
      </c>
      <c r="M9" s="12">
        <f>SUM(M10:M16)</f>
        <v>343938842390</v>
      </c>
      <c r="N9" s="27">
        <f>SUM(B9:M9)</f>
        <v>1237878398692.075</v>
      </c>
      <c r="O9" s="13">
        <f>O10+O11+O13+O12+O14+O15</f>
        <v>389959.66662343277</v>
      </c>
      <c r="P9" s="13">
        <f t="shared" ref="P9:W9" si="6">P10+P11+P13+P12+P14+P15</f>
        <v>3606582.4783228873</v>
      </c>
      <c r="Q9" s="13">
        <f t="shared" si="6"/>
        <v>1699756.502507566</v>
      </c>
      <c r="R9" s="13">
        <f t="shared" si="6"/>
        <v>3380634.5100000002</v>
      </c>
      <c r="S9" s="13">
        <f t="shared" si="6"/>
        <v>4018754.74</v>
      </c>
      <c r="T9" s="13">
        <f t="shared" si="6"/>
        <v>5358390.28</v>
      </c>
      <c r="U9" s="13">
        <f t="shared" si="6"/>
        <v>2531344.1</v>
      </c>
      <c r="V9" s="13">
        <f t="shared" si="6"/>
        <v>2932731.1300000004</v>
      </c>
      <c r="W9" s="13">
        <f t="shared" si="6"/>
        <v>4057537.4200000004</v>
      </c>
      <c r="X9" s="13">
        <f>X10+X11+X13+X12+X14+X15</f>
        <v>4661123.6800000006</v>
      </c>
      <c r="Y9" s="13">
        <f>Y10+Y11+Y13+Y12+Y14+Y15+Y16</f>
        <v>5953374.1900000004</v>
      </c>
      <c r="Z9" s="13">
        <f>Z10+Z11+Z13+Z12+Z14+Z16</f>
        <v>13740466.179779174</v>
      </c>
      <c r="AA9" s="30">
        <f>AA10+AA11+AA13+AA12+AA14+AA15+AA16</f>
        <v>53482539.526204698</v>
      </c>
      <c r="AB9" s="34" t="e">
        <f>[17]!'!IS (01)!R6C7'-AA9</f>
        <v>#REF!</v>
      </c>
    </row>
    <row r="10" spans="1:28" s="10" customFormat="1" ht="39" customHeight="1">
      <c r="A10" s="33" t="s">
        <v>4</v>
      </c>
      <c r="B10" s="15">
        <v>5705861644</v>
      </c>
      <c r="C10" s="15">
        <f>'[18]Estimate Revenue'!$H$7</f>
        <v>19653465113</v>
      </c>
      <c r="D10" s="15">
        <v>12323173039</v>
      </c>
      <c r="E10" s="15">
        <f>'[19]Estimate Revenue'!$S$8+'[19]Estimate Revenue'!$S$9</f>
        <v>27874974363.118675</v>
      </c>
      <c r="F10" s="15">
        <v>25408712282</v>
      </c>
      <c r="G10" s="15">
        <f>'[20]Estimate Revenue'!$F$8+'[20]Estimate Revenue'!$F$9</f>
        <v>50104440767</v>
      </c>
      <c r="H10" s="20">
        <v>10525664319</v>
      </c>
      <c r="I10" s="20">
        <f>'[21]Estimate Revenue'!$E$8</f>
        <v>8171537288</v>
      </c>
      <c r="J10" s="20">
        <f>'[22]Estimate Revenue'!$E$8</f>
        <v>4921003970</v>
      </c>
      <c r="K10" s="20">
        <f>'[23]Estimate Revenue'!$E$8</f>
        <v>2572256803</v>
      </c>
      <c r="L10" s="20">
        <f>'[24]Estimate Revenue'!$F$8</f>
        <v>465541090</v>
      </c>
      <c r="M10" s="16">
        <v>708919669</v>
      </c>
      <c r="N10" s="28">
        <f>SUM(B10:M10)</f>
        <v>168435550347.11868</v>
      </c>
      <c r="O10" s="17">
        <f t="shared" ref="O10:O15" si="7">B10/$O$25</f>
        <v>246686.62533506268</v>
      </c>
      <c r="P10" s="17">
        <f t="shared" ref="P10:P15" si="8">C10/$P$25</f>
        <v>849512.21582018584</v>
      </c>
      <c r="Q10" s="17">
        <f t="shared" ref="Q10:Q15" si="9">D10/$Q$25</f>
        <v>532778.77384349331</v>
      </c>
      <c r="R10" s="17">
        <f t="shared" ref="R10:R15" si="10">ROUND(E10/$R$25,2)</f>
        <v>1200989.8500000001</v>
      </c>
      <c r="S10" s="17">
        <f t="shared" ref="S10:S15" si="11">ROUND(F10/$S$25,2)</f>
        <v>1088867.04</v>
      </c>
      <c r="T10" s="17">
        <f t="shared" ref="T10:T15" si="12">ROUND(G10/$T$25,2)</f>
        <v>2156885.1</v>
      </c>
      <c r="U10" s="17">
        <f t="shared" ref="U10:U15" si="13">ROUND(H10/$U$25,2)</f>
        <v>455360.78</v>
      </c>
      <c r="V10" s="17">
        <f t="shared" ref="V10:V15" si="14">ROUND(I10/$V$25,2)</f>
        <v>353440.19</v>
      </c>
      <c r="W10" s="17">
        <f t="shared" ref="W10:W15" si="15">ROUND(J10/$W$25,2)</f>
        <v>212846.19</v>
      </c>
      <c r="X10" s="17">
        <f>ROUND(K10/$X$25,2)</f>
        <v>111232.73</v>
      </c>
      <c r="Y10" s="17">
        <f>ROUND(L10/$Y$25,2)</f>
        <v>20148.93</v>
      </c>
      <c r="Z10" s="17">
        <f>M10/$Z$25</f>
        <v>30695.807274301798</v>
      </c>
      <c r="AA10" s="31">
        <f>SUM(O10:Z10)</f>
        <v>7259444.2322730441</v>
      </c>
      <c r="AB10" s="47"/>
    </row>
    <row r="11" spans="1:28" s="10" customFormat="1" ht="39" customHeight="1">
      <c r="A11" s="33" t="s">
        <v>1</v>
      </c>
      <c r="B11" s="15">
        <v>32620500</v>
      </c>
      <c r="C11" s="15">
        <f>'[18]Estimate Revenue'!$H$8</f>
        <v>819441939</v>
      </c>
      <c r="D11" s="15">
        <v>772212182</v>
      </c>
      <c r="E11" s="15">
        <f>'[19]Estimate Revenue'!$G$10</f>
        <v>853958273</v>
      </c>
      <c r="F11" s="15">
        <v>861325398</v>
      </c>
      <c r="G11" s="15">
        <f>'[20]Estimate Revenue'!$G$10</f>
        <v>885044222</v>
      </c>
      <c r="H11" s="20">
        <v>894100013</v>
      </c>
      <c r="I11" s="20">
        <f>'[21]Estimate Revenue'!$E$9</f>
        <v>1016957707</v>
      </c>
      <c r="J11" s="20">
        <f>'[22]Estimate Revenue'!$D$9</f>
        <v>979308134</v>
      </c>
      <c r="K11" s="20">
        <f>'[23]Estimate Revenue'!$D$9</f>
        <v>1125390508</v>
      </c>
      <c r="L11" s="20">
        <f>'[24]Estimate Revenue'!$E$9</f>
        <v>1216785608</v>
      </c>
      <c r="M11" s="16">
        <v>2422572941</v>
      </c>
      <c r="N11" s="28">
        <f>SUM(B11:M11)</f>
        <v>11879717425</v>
      </c>
      <c r="O11" s="17">
        <f t="shared" si="7"/>
        <v>1410.3112840466927</v>
      </c>
      <c r="P11" s="17">
        <f t="shared" si="8"/>
        <v>35420.010330667821</v>
      </c>
      <c r="Q11" s="17">
        <f t="shared" si="9"/>
        <v>33385.740683095544</v>
      </c>
      <c r="R11" s="17">
        <f t="shared" si="10"/>
        <v>36792.69</v>
      </c>
      <c r="S11" s="17">
        <f t="shared" si="11"/>
        <v>36911.31</v>
      </c>
      <c r="T11" s="17">
        <f t="shared" si="12"/>
        <v>38099.19</v>
      </c>
      <c r="U11" s="17">
        <f t="shared" si="13"/>
        <v>38680.51</v>
      </c>
      <c r="V11" s="17">
        <f t="shared" si="14"/>
        <v>43986.06</v>
      </c>
      <c r="W11" s="17">
        <f t="shared" si="15"/>
        <v>42357.62</v>
      </c>
      <c r="X11" s="17">
        <f>ROUND(K11/$X$25,2)</f>
        <v>48665.54</v>
      </c>
      <c r="Y11" s="17">
        <f>ROUND(L11/$Y$25,2)</f>
        <v>52663.3</v>
      </c>
      <c r="Z11" s="17">
        <f t="shared" ref="Z11:Z16" si="16">M11/$Z$25</f>
        <v>104895.99224940463</v>
      </c>
      <c r="AA11" s="31">
        <f t="shared" ref="AA11:AA16" si="17">SUM(O11:Z11)</f>
        <v>513268.27454721462</v>
      </c>
      <c r="AB11" s="47"/>
    </row>
    <row r="12" spans="1:28" s="10" customFormat="1" ht="39" customHeight="1">
      <c r="A12" s="33" t="s">
        <v>11</v>
      </c>
      <c r="B12" s="15">
        <v>3281284945</v>
      </c>
      <c r="C12" s="16">
        <f>'[18]Estimate Revenue'!$H$9</f>
        <v>62965378584</v>
      </c>
      <c r="D12" s="15">
        <v>26219982682</v>
      </c>
      <c r="E12" s="15">
        <f>'[19]Estimate Revenue'!$S$11</f>
        <v>49735594113.956329</v>
      </c>
      <c r="F12" s="15">
        <v>67507604017</v>
      </c>
      <c r="G12" s="15">
        <f>'[20]Estimate Revenue'!$G$11</f>
        <v>68168031416</v>
      </c>
      <c r="H12" s="20">
        <v>46020657208</v>
      </c>
      <c r="I12" s="20">
        <f>'[21]Estimate Revenue'!$E$10</f>
        <v>57532143006</v>
      </c>
      <c r="J12" s="20">
        <f>'[22]Estimate Revenue'!$E$10</f>
        <v>83387781780</v>
      </c>
      <c r="K12" s="20">
        <f>'[23]Estimate Revenue'!$E$10</f>
        <v>102782066754</v>
      </c>
      <c r="L12" s="20">
        <f>'[24]Estimate Revenue'!$F$10</f>
        <v>123125693427</v>
      </c>
      <c r="M12" s="16">
        <v>309650529244</v>
      </c>
      <c r="N12" s="28">
        <f>SUM(B12:M12)</f>
        <v>1000376747176.9563</v>
      </c>
      <c r="O12" s="17">
        <f t="shared" si="7"/>
        <v>141862.73000432338</v>
      </c>
      <c r="P12" s="17">
        <f t="shared" si="8"/>
        <v>2721650.2521720338</v>
      </c>
      <c r="Q12" s="17">
        <f t="shared" si="9"/>
        <v>1133591.9879809772</v>
      </c>
      <c r="R12" s="17">
        <f t="shared" si="10"/>
        <v>2142851.9700000002</v>
      </c>
      <c r="S12" s="17">
        <f t="shared" si="11"/>
        <v>2892976.39</v>
      </c>
      <c r="T12" s="17">
        <f t="shared" si="12"/>
        <v>2934482.63</v>
      </c>
      <c r="U12" s="17">
        <f t="shared" si="13"/>
        <v>1990943.42</v>
      </c>
      <c r="V12" s="17">
        <f t="shared" si="14"/>
        <v>2488414.4900000002</v>
      </c>
      <c r="W12" s="17">
        <f t="shared" si="15"/>
        <v>3606737.97</v>
      </c>
      <c r="X12" s="17">
        <f>ROUND(K12/$X$25,2)</f>
        <v>4444629.91</v>
      </c>
      <c r="Y12" s="17">
        <f>ROUND(L12/$Y$25,2)</f>
        <v>5328963.1399999997</v>
      </c>
      <c r="Z12" s="17">
        <f t="shared" si="16"/>
        <v>13407686.912491882</v>
      </c>
      <c r="AA12" s="31">
        <f t="shared" si="17"/>
        <v>43234791.802649215</v>
      </c>
      <c r="AB12" s="47"/>
    </row>
    <row r="13" spans="1:28" s="10" customFormat="1" ht="39" customHeight="1">
      <c r="A13" s="33" t="s">
        <v>9</v>
      </c>
      <c r="B13" s="16">
        <v>0</v>
      </c>
      <c r="C13" s="16">
        <v>0</v>
      </c>
      <c r="D13" s="16">
        <v>0</v>
      </c>
      <c r="E13" s="16">
        <v>0</v>
      </c>
      <c r="F13" s="16">
        <v>0</v>
      </c>
      <c r="G13" s="16">
        <f>'[20]Estimate Revenue'!$G$12</f>
        <v>4350104924</v>
      </c>
      <c r="H13" s="16">
        <v>0</v>
      </c>
      <c r="I13" s="16">
        <v>0</v>
      </c>
      <c r="J13" s="16">
        <v>0</v>
      </c>
      <c r="K13" s="16">
        <f>'[23]Estimate Revenue'!$E$11</f>
        <v>-4350104924</v>
      </c>
      <c r="L13" s="16">
        <v>0</v>
      </c>
      <c r="M13" s="16">
        <v>0</v>
      </c>
      <c r="N13" s="28">
        <f t="shared" ref="N13:N16" si="18">SUM(B13:M13)</f>
        <v>0</v>
      </c>
      <c r="O13" s="17">
        <f t="shared" si="7"/>
        <v>0</v>
      </c>
      <c r="P13" s="17">
        <f t="shared" si="8"/>
        <v>0</v>
      </c>
      <c r="Q13" s="17">
        <f t="shared" si="9"/>
        <v>0</v>
      </c>
      <c r="R13" s="17">
        <f t="shared" si="10"/>
        <v>0</v>
      </c>
      <c r="S13" s="17">
        <f t="shared" si="11"/>
        <v>0</v>
      </c>
      <c r="T13" s="17">
        <f t="shared" si="12"/>
        <v>187262.37</v>
      </c>
      <c r="U13" s="17">
        <f t="shared" si="13"/>
        <v>0</v>
      </c>
      <c r="V13" s="17">
        <f t="shared" si="14"/>
        <v>0</v>
      </c>
      <c r="W13" s="17">
        <f t="shared" si="15"/>
        <v>0</v>
      </c>
      <c r="X13" s="17">
        <f>ROUND(K13/23230,2)</f>
        <v>-187262.37</v>
      </c>
      <c r="Y13" s="16">
        <v>0</v>
      </c>
      <c r="Z13" s="17">
        <f t="shared" si="16"/>
        <v>0</v>
      </c>
      <c r="AA13" s="31">
        <f t="shared" si="17"/>
        <v>0</v>
      </c>
      <c r="AB13" s="47"/>
    </row>
    <row r="14" spans="1:28" s="10" customFormat="1" ht="39" customHeight="1">
      <c r="A14" s="33" t="s">
        <v>21</v>
      </c>
      <c r="B14" s="16">
        <v>0</v>
      </c>
      <c r="C14" s="16">
        <v>0</v>
      </c>
      <c r="D14" s="16">
        <v>0</v>
      </c>
      <c r="E14" s="16">
        <v>0</v>
      </c>
      <c r="F14" s="16">
        <v>0</v>
      </c>
      <c r="G14" s="16">
        <f>'[20]Estimate Revenue'!$G$13</f>
        <v>967784767</v>
      </c>
      <c r="H14" s="16">
        <v>1071597350</v>
      </c>
      <c r="I14" s="20">
        <f>'[21]Estimate Revenue'!$E$11</f>
        <v>1084105843</v>
      </c>
      <c r="J14" s="20">
        <f>'[22]Estimate Revenue'!$D$11</f>
        <v>1103677994</v>
      </c>
      <c r="K14" s="16">
        <f>'[23]Estimate Revenue'!$D$12</f>
        <v>1177089872</v>
      </c>
      <c r="L14" s="16">
        <f>'[24]Estimate Revenue'!$E$12</f>
        <v>1365430291</v>
      </c>
      <c r="M14" s="16">
        <v>2245216756</v>
      </c>
      <c r="N14" s="28">
        <f t="shared" si="18"/>
        <v>9014902873</v>
      </c>
      <c r="O14" s="17">
        <f t="shared" si="7"/>
        <v>0</v>
      </c>
      <c r="P14" s="17">
        <f t="shared" si="8"/>
        <v>0</v>
      </c>
      <c r="Q14" s="17">
        <f t="shared" si="9"/>
        <v>0</v>
      </c>
      <c r="R14" s="17">
        <f t="shared" si="10"/>
        <v>0</v>
      </c>
      <c r="S14" s="17">
        <f t="shared" si="11"/>
        <v>0</v>
      </c>
      <c r="T14" s="17">
        <f t="shared" si="12"/>
        <v>41660.99</v>
      </c>
      <c r="U14" s="17">
        <f t="shared" si="13"/>
        <v>46359.39</v>
      </c>
      <c r="V14" s="17">
        <f t="shared" si="14"/>
        <v>46890.39</v>
      </c>
      <c r="W14" s="17">
        <f t="shared" si="15"/>
        <v>47736.94</v>
      </c>
      <c r="X14" s="17">
        <f>ROUND(K14/$X$25,2)</f>
        <v>50901.18</v>
      </c>
      <c r="Y14" s="17">
        <f>ROUND(L14/$Y$25,2)</f>
        <v>59096.74</v>
      </c>
      <c r="Z14" s="17">
        <f t="shared" si="16"/>
        <v>97216.573111063</v>
      </c>
      <c r="AA14" s="31">
        <f t="shared" si="17"/>
        <v>389862.20311106299</v>
      </c>
      <c r="AB14" s="47"/>
    </row>
    <row r="15" spans="1:28" s="10" customFormat="1" ht="39" customHeight="1">
      <c r="A15" s="33" t="s">
        <v>22</v>
      </c>
      <c r="B15" s="16">
        <v>0</v>
      </c>
      <c r="C15" s="16">
        <v>0</v>
      </c>
      <c r="D15" s="16">
        <v>0</v>
      </c>
      <c r="E15" s="16">
        <v>0</v>
      </c>
      <c r="F15" s="16">
        <v>0</v>
      </c>
      <c r="G15" s="16">
        <v>0</v>
      </c>
      <c r="H15" s="16">
        <v>0</v>
      </c>
      <c r="I15" s="16">
        <v>0</v>
      </c>
      <c r="J15" s="20">
        <f>'[22]Estimate Revenue'!$E$12</f>
        <v>3418493114</v>
      </c>
      <c r="K15" s="16">
        <f>'[23]Estimate Revenue'!$E$13</f>
        <v>4462123496</v>
      </c>
      <c r="L15" s="16">
        <f>'[24]Estimate Revenue'!$F$13</f>
        <v>11379260480</v>
      </c>
      <c r="M15" s="16">
        <v>26602775968</v>
      </c>
      <c r="N15" s="28">
        <f t="shared" si="18"/>
        <v>45862653058</v>
      </c>
      <c r="O15" s="17">
        <f t="shared" si="7"/>
        <v>0</v>
      </c>
      <c r="P15" s="17">
        <f t="shared" si="8"/>
        <v>0</v>
      </c>
      <c r="Q15" s="17">
        <f t="shared" si="9"/>
        <v>0</v>
      </c>
      <c r="R15" s="17">
        <f t="shared" si="10"/>
        <v>0</v>
      </c>
      <c r="S15" s="17">
        <f t="shared" si="11"/>
        <v>0</v>
      </c>
      <c r="T15" s="17">
        <f t="shared" si="12"/>
        <v>0</v>
      </c>
      <c r="U15" s="17">
        <f t="shared" si="13"/>
        <v>0</v>
      </c>
      <c r="V15" s="17">
        <f t="shared" si="14"/>
        <v>0</v>
      </c>
      <c r="W15" s="17">
        <f t="shared" si="15"/>
        <v>147858.70000000001</v>
      </c>
      <c r="X15" s="17">
        <f>ROUND(K15/$X$25,2)</f>
        <v>192956.69</v>
      </c>
      <c r="Y15" s="17">
        <f>ROUND(L15/$Y$25,2)</f>
        <v>492502.08</v>
      </c>
      <c r="Z15" s="17">
        <f t="shared" si="16"/>
        <v>1151884.6489716389</v>
      </c>
      <c r="AA15" s="31">
        <f t="shared" si="17"/>
        <v>1985202.1189716388</v>
      </c>
      <c r="AB15" s="47"/>
    </row>
    <row r="16" spans="1:28" s="10" customFormat="1" ht="39" customHeight="1">
      <c r="A16" s="33" t="s">
        <v>23</v>
      </c>
      <c r="B16" s="16">
        <v>0</v>
      </c>
      <c r="C16" s="16">
        <v>0</v>
      </c>
      <c r="D16" s="16">
        <v>0</v>
      </c>
      <c r="E16" s="16">
        <v>0</v>
      </c>
      <c r="F16" s="16">
        <v>0</v>
      </c>
      <c r="G16" s="16">
        <v>0</v>
      </c>
      <c r="H16" s="16">
        <v>0</v>
      </c>
      <c r="I16" s="16">
        <v>0</v>
      </c>
      <c r="J16" s="16">
        <v>0</v>
      </c>
      <c r="K16" s="16">
        <v>0</v>
      </c>
      <c r="L16" s="16">
        <v>0</v>
      </c>
      <c r="M16" s="16">
        <v>2308827812</v>
      </c>
      <c r="N16" s="28">
        <f t="shared" si="18"/>
        <v>2308827812</v>
      </c>
      <c r="O16" s="17">
        <v>0</v>
      </c>
      <c r="P16" s="17">
        <v>0</v>
      </c>
      <c r="Q16" s="17">
        <v>0</v>
      </c>
      <c r="R16" s="17">
        <v>0</v>
      </c>
      <c r="S16" s="17">
        <v>0</v>
      </c>
      <c r="T16" s="17">
        <v>0</v>
      </c>
      <c r="U16" s="17">
        <v>0</v>
      </c>
      <c r="V16" s="17">
        <v>0</v>
      </c>
      <c r="W16" s="17">
        <v>0</v>
      </c>
      <c r="X16" s="17">
        <v>0</v>
      </c>
      <c r="Y16" s="17">
        <v>0</v>
      </c>
      <c r="Z16" s="17">
        <f t="shared" si="16"/>
        <v>99970.894652522198</v>
      </c>
      <c r="AA16" s="31">
        <f t="shared" si="17"/>
        <v>99970.894652522198</v>
      </c>
      <c r="AB16" s="47"/>
    </row>
    <row r="17" spans="1:28" s="14" customFormat="1" ht="39" customHeight="1">
      <c r="A17" s="32" t="s">
        <v>15</v>
      </c>
      <c r="B17" s="12">
        <f t="shared" ref="B17:I17" si="19">SUM(B18:B23)</f>
        <v>7971567039</v>
      </c>
      <c r="C17" s="12">
        <f t="shared" si="19"/>
        <v>75078113368</v>
      </c>
      <c r="D17" s="12">
        <f t="shared" si="19"/>
        <v>35256104840</v>
      </c>
      <c r="E17" s="12">
        <f t="shared" si="19"/>
        <v>70235626486</v>
      </c>
      <c r="F17" s="12">
        <f t="shared" si="19"/>
        <v>84251545330</v>
      </c>
      <c r="G17" s="12">
        <f t="shared" si="19"/>
        <v>107233257524</v>
      </c>
      <c r="H17" s="12">
        <f t="shared" si="19"/>
        <v>52771111898</v>
      </c>
      <c r="I17" s="12">
        <f t="shared" si="19"/>
        <v>61318440397</v>
      </c>
      <c r="J17" s="12">
        <f>SUM(J18:J23)</f>
        <v>84959308715</v>
      </c>
      <c r="K17" s="12">
        <f>SUM(K18:K23)</f>
        <v>101549073992</v>
      </c>
      <c r="L17" s="12">
        <f>SUM(L18:L24)</f>
        <v>121409138393</v>
      </c>
      <c r="M17" s="12">
        <f>SUM(M18:M24)</f>
        <v>301201184017</v>
      </c>
      <c r="N17" s="29">
        <f>SUM(B17:M17)</f>
        <v>1103234471999</v>
      </c>
      <c r="O17" s="13">
        <f t="shared" ref="O17:V17" si="20">SUM(O18:O23)</f>
        <v>344641.89533073932</v>
      </c>
      <c r="P17" s="13">
        <f t="shared" si="20"/>
        <v>3245217.7811973202</v>
      </c>
      <c r="Q17" s="13">
        <f t="shared" si="20"/>
        <v>1524258.74794639</v>
      </c>
      <c r="R17" s="13">
        <f t="shared" si="20"/>
        <v>3026093.3427832834</v>
      </c>
      <c r="S17" s="13">
        <f t="shared" si="20"/>
        <v>3610522.6100000003</v>
      </c>
      <c r="T17" s="13">
        <f t="shared" si="20"/>
        <v>4616154.0100000007</v>
      </c>
      <c r="U17" s="13">
        <f t="shared" si="20"/>
        <v>2282981.2600000002</v>
      </c>
      <c r="V17" s="13">
        <f t="shared" si="20"/>
        <v>2652181.67</v>
      </c>
      <c r="W17" s="13">
        <f>SUM(W18:W23)</f>
        <v>3674710.59</v>
      </c>
      <c r="X17" s="13">
        <f>SUM(X18:X24)</f>
        <v>4391311.3099999996</v>
      </c>
      <c r="Y17" s="13">
        <f>SUM(Y18:Y24)</f>
        <v>5254669.49</v>
      </c>
      <c r="Z17" s="13">
        <f>SUM(Z18:Z24)</f>
        <v>13041835.203160858</v>
      </c>
      <c r="AA17" s="30">
        <f>SUM(O17:Z17)</f>
        <v>47664577.9104186</v>
      </c>
      <c r="AB17" s="34" t="e">
        <f>[17]!'!IS (01)!R13C7'-AA17</f>
        <v>#REF!</v>
      </c>
    </row>
    <row r="18" spans="1:28" s="10" customFormat="1" ht="39" customHeight="1">
      <c r="A18" s="33" t="s">
        <v>4</v>
      </c>
      <c r="B18" s="15">
        <f>'[25]01.2019'!$J$8</f>
        <v>4961817286</v>
      </c>
      <c r="C18" s="15">
        <f>'[18]Estimate Revenue'!$B$7</f>
        <v>17089969664</v>
      </c>
      <c r="D18" s="15">
        <f>'[26]Estimate Revenue'!$B$7</f>
        <v>10715802643</v>
      </c>
      <c r="E18" s="15">
        <v>24241189936</v>
      </c>
      <c r="F18" s="15">
        <v>22095416200</v>
      </c>
      <c r="G18" s="15">
        <f>'[20]Estimate Revenue'!$C$8</f>
        <v>43570821691</v>
      </c>
      <c r="H18" s="20">
        <f>'[27]Estimate Revenue'!$C$8</f>
        <v>9153117692</v>
      </c>
      <c r="I18" s="20">
        <f>'[21]Estimate Revenue'!$C$8</f>
        <v>7105968826</v>
      </c>
      <c r="J18" s="20">
        <f>'[22]Estimate Revenue'!$C$8</f>
        <v>4279305052</v>
      </c>
      <c r="K18" s="20">
        <f>'[23]Estimate Revenue'!$C$8</f>
        <v>2236834516</v>
      </c>
      <c r="L18" s="20">
        <f>'[24]Estimate Revenue'!$C$8</f>
        <v>402537822</v>
      </c>
      <c r="M18" s="16">
        <v>625789812</v>
      </c>
      <c r="N18" s="28">
        <f>SUM(B18:M18)</f>
        <v>146478571140</v>
      </c>
      <c r="O18" s="17">
        <f>B18/$O$25</f>
        <v>214518.68940769564</v>
      </c>
      <c r="P18" s="17">
        <f>C18/$P$25</f>
        <v>738706.27464880049</v>
      </c>
      <c r="Q18" s="17">
        <f>D18/$Q$25</f>
        <v>463285.89031560742</v>
      </c>
      <c r="R18" s="17">
        <f>E18/$R$25</f>
        <v>1044428.6917707884</v>
      </c>
      <c r="S18" s="17">
        <f>ROUND(F18/$S$25,2)</f>
        <v>946878.77</v>
      </c>
      <c r="T18" s="17">
        <f>ROUND(G18/$T$25,2)</f>
        <v>1875627.28</v>
      </c>
      <c r="U18" s="17">
        <f>ROUND(H18/$U$25,2)</f>
        <v>395981.73</v>
      </c>
      <c r="V18" s="17">
        <f>ROUND(I18/$V$25,2)</f>
        <v>307351.59000000003</v>
      </c>
      <c r="W18" s="17">
        <f>ROUND(J18/$W$25,2)</f>
        <v>185091.05</v>
      </c>
      <c r="X18" s="17">
        <f t="shared" ref="X18:X20" si="21">ROUND(K18/$X$25,2)</f>
        <v>96727.98</v>
      </c>
      <c r="Y18" s="17">
        <f>ROUND(L18/$Y$25,2)</f>
        <v>17422.11</v>
      </c>
      <c r="Z18" s="17">
        <f t="shared" ref="Z18:Z20" si="22">M18/$Z$25</f>
        <v>27096.333059103701</v>
      </c>
      <c r="AA18" s="31">
        <f>SUM(O18:Z18)</f>
        <v>6313116.3892019968</v>
      </c>
      <c r="AB18" s="47"/>
    </row>
    <row r="19" spans="1:28" s="10" customFormat="1" ht="39" customHeight="1">
      <c r="A19" s="33" t="s">
        <v>1</v>
      </c>
      <c r="B19" s="15">
        <f>'[25]01.2019'!$J$9</f>
        <v>26733609</v>
      </c>
      <c r="C19" s="15">
        <f>'[18]Estimate Revenue'!$B$8</f>
        <v>746890446</v>
      </c>
      <c r="D19" s="15">
        <f>'[26]Estimate Revenue'!$B$8</f>
        <v>703954304</v>
      </c>
      <c r="E19" s="15">
        <f>'[19]Estimate Revenue'!$C$10</f>
        <v>778997166</v>
      </c>
      <c r="F19" s="15">
        <v>784966318</v>
      </c>
      <c r="G19" s="15">
        <f>'[20]Estimate Revenue'!$C$10</f>
        <v>806536979</v>
      </c>
      <c r="H19" s="20">
        <f>'[27]Estimate Revenue'!$C$10</f>
        <v>816339824</v>
      </c>
      <c r="I19" s="20">
        <f>'[21]Estimate Revenue'!$C$9</f>
        <v>909019735</v>
      </c>
      <c r="J19" s="20">
        <f>'[22]Estimate Revenue'!$C$9</f>
        <v>893803684</v>
      </c>
      <c r="K19" s="20">
        <f>'[23]Estimate Revenue'!$C$9</f>
        <v>921724565</v>
      </c>
      <c r="L19" s="20">
        <f>'[24]Estimate Revenue'!$C$9</f>
        <v>1214569593</v>
      </c>
      <c r="M19" s="16">
        <v>2205860980</v>
      </c>
      <c r="N19" s="28">
        <f t="shared" ref="N19:N21" si="23">SUM(B19:M19)</f>
        <v>10809397203</v>
      </c>
      <c r="O19" s="17">
        <f t="shared" ref="O19:O23" si="24">B19/$O$25</f>
        <v>1155.7980544747081</v>
      </c>
      <c r="P19" s="17">
        <f t="shared" ref="P19:P23" si="25">C19/$P$25</f>
        <v>32284.004581802463</v>
      </c>
      <c r="Q19" s="17">
        <f t="shared" ref="Q19:Q23" si="26">D19/$Q$25</f>
        <v>30434.686727194119</v>
      </c>
      <c r="R19" s="17">
        <f t="shared" ref="R19:R23" si="27">E19/$R$25</f>
        <v>33562.997242567857</v>
      </c>
      <c r="S19" s="17">
        <f t="shared" ref="S19:S23" si="28">ROUND(F19/$S$25,2)</f>
        <v>33639.01</v>
      </c>
      <c r="T19" s="17">
        <f t="shared" ref="T19:T23" si="29">ROUND(G19/$T$25,2)</f>
        <v>34719.629999999997</v>
      </c>
      <c r="U19" s="17">
        <f t="shared" ref="U19:U23" si="30">ROUND(H19/$U$25,2)</f>
        <v>35316.449999999997</v>
      </c>
      <c r="V19" s="17">
        <f t="shared" ref="V19:V23" si="31">ROUND(I19/$V$25,2)</f>
        <v>39317.46</v>
      </c>
      <c r="W19" s="17">
        <f t="shared" ref="W19:W23" si="32">ROUND(J19/$W$25,2)</f>
        <v>38659.33</v>
      </c>
      <c r="X19" s="17">
        <f t="shared" si="21"/>
        <v>39858.36</v>
      </c>
      <c r="Y19" s="17">
        <f t="shared" ref="Y19:Y20" si="33">ROUND(L19/$Y$25,2)</f>
        <v>52567.39</v>
      </c>
      <c r="Z19" s="17">
        <f t="shared" si="22"/>
        <v>95512.491015371299</v>
      </c>
      <c r="AA19" s="31">
        <f t="shared" ref="AA19:AA23" si="34">SUM(O19:Z19)</f>
        <v>467027.6076214104</v>
      </c>
      <c r="AB19" s="47"/>
    </row>
    <row r="20" spans="1:28" s="10" customFormat="1" ht="39" customHeight="1">
      <c r="A20" s="33" t="s">
        <v>11</v>
      </c>
      <c r="B20" s="15">
        <f>'[25]01.2019'!$J$10</f>
        <v>2983016144</v>
      </c>
      <c r="C20" s="16">
        <f>'[18]Estimate Revenue'!$B$9</f>
        <v>57241253258</v>
      </c>
      <c r="D20" s="15">
        <f>'[26]Estimate Revenue'!$B$9</f>
        <v>23836347893</v>
      </c>
      <c r="E20" s="15">
        <f>'[19]Estimate Revenue'!$C$11</f>
        <v>45215439384</v>
      </c>
      <c r="F20" s="15">
        <v>61371162812</v>
      </c>
      <c r="G20" s="15">
        <f>'[20]Estimate Revenue'!$C$11</f>
        <v>61971557360</v>
      </c>
      <c r="H20" s="20">
        <f>'[27]Estimate Revenue'!$C$11</f>
        <v>41837379468</v>
      </c>
      <c r="I20" s="20">
        <f>'[21]Estimate Revenue'!$C$10</f>
        <v>52302471207</v>
      </c>
      <c r="J20" s="20">
        <f>'[22]Estimate Revenue'!$C$10</f>
        <v>75807832416</v>
      </c>
      <c r="K20" s="20">
        <f>'[23]Estimate Revenue'!$C$10</f>
        <v>93439176886</v>
      </c>
      <c r="L20" s="20">
        <f>'[24]Estimate Revenue'!$C$10</f>
        <v>108829565340</v>
      </c>
      <c r="M20" s="16">
        <v>271678071194</v>
      </c>
      <c r="N20" s="28">
        <f>SUM(B20:M20)</f>
        <v>896513273362</v>
      </c>
      <c r="O20" s="17">
        <f t="shared" si="24"/>
        <v>128967.40786856896</v>
      </c>
      <c r="P20" s="17">
        <f t="shared" si="25"/>
        <v>2474227.5019667172</v>
      </c>
      <c r="Q20" s="17">
        <f t="shared" si="26"/>
        <v>1030538.1709035884</v>
      </c>
      <c r="R20" s="17">
        <f t="shared" si="27"/>
        <v>1948101.6537699269</v>
      </c>
      <c r="S20" s="17">
        <f t="shared" si="28"/>
        <v>2630004.83</v>
      </c>
      <c r="T20" s="17">
        <f t="shared" si="29"/>
        <v>2667738.16</v>
      </c>
      <c r="U20" s="17">
        <f t="shared" si="30"/>
        <v>1809966.67</v>
      </c>
      <c r="V20" s="17">
        <f t="shared" si="31"/>
        <v>2262217.61</v>
      </c>
      <c r="W20" s="17">
        <f t="shared" si="32"/>
        <v>3278885.49</v>
      </c>
      <c r="X20" s="17">
        <f t="shared" si="21"/>
        <v>4040613.05</v>
      </c>
      <c r="Y20" s="17">
        <f t="shared" si="33"/>
        <v>4710217.07</v>
      </c>
      <c r="Z20" s="17">
        <f t="shared" si="22"/>
        <v>11763501.675427582</v>
      </c>
      <c r="AA20" s="31">
        <f t="shared" si="34"/>
        <v>38744979.289936386</v>
      </c>
      <c r="AB20" s="47"/>
    </row>
    <row r="21" spans="1:28" s="10" customFormat="1" ht="41.25" customHeight="1">
      <c r="A21" s="33" t="s">
        <v>9</v>
      </c>
      <c r="B21" s="16">
        <v>0</v>
      </c>
      <c r="C21" s="16">
        <v>0</v>
      </c>
      <c r="D21" s="16">
        <v>0</v>
      </c>
      <c r="E21" s="16">
        <v>0</v>
      </c>
      <c r="F21" s="16">
        <v>0</v>
      </c>
      <c r="G21" s="16">
        <v>0</v>
      </c>
      <c r="H21" s="16">
        <v>0</v>
      </c>
      <c r="I21" s="16">
        <v>0</v>
      </c>
      <c r="J21" s="16">
        <v>0</v>
      </c>
      <c r="K21" s="16">
        <v>0</v>
      </c>
      <c r="L21" s="16">
        <v>0</v>
      </c>
      <c r="M21" s="16">
        <v>0</v>
      </c>
      <c r="N21" s="28">
        <f t="shared" si="23"/>
        <v>0</v>
      </c>
      <c r="O21" s="17">
        <f t="shared" si="24"/>
        <v>0</v>
      </c>
      <c r="P21" s="17">
        <f t="shared" si="25"/>
        <v>0</v>
      </c>
      <c r="Q21" s="17">
        <f t="shared" si="26"/>
        <v>0</v>
      </c>
      <c r="R21" s="17">
        <f t="shared" si="27"/>
        <v>0</v>
      </c>
      <c r="S21" s="17">
        <f t="shared" si="28"/>
        <v>0</v>
      </c>
      <c r="T21" s="17">
        <f t="shared" si="29"/>
        <v>0</v>
      </c>
      <c r="U21" s="17">
        <f t="shared" si="30"/>
        <v>0</v>
      </c>
      <c r="V21" s="17">
        <f t="shared" si="31"/>
        <v>0</v>
      </c>
      <c r="W21" s="17">
        <f t="shared" si="32"/>
        <v>0</v>
      </c>
      <c r="X21" s="16">
        <v>0</v>
      </c>
      <c r="Y21" s="16">
        <v>0</v>
      </c>
      <c r="Z21" s="16">
        <v>0</v>
      </c>
      <c r="AA21" s="31">
        <f t="shared" si="34"/>
        <v>0</v>
      </c>
      <c r="AB21" s="47"/>
    </row>
    <row r="22" spans="1:28" s="10" customFormat="1" ht="41.25" customHeight="1">
      <c r="A22" s="33" t="s">
        <v>21</v>
      </c>
      <c r="B22" s="16">
        <v>0</v>
      </c>
      <c r="C22" s="16">
        <v>0</v>
      </c>
      <c r="D22" s="16">
        <v>0</v>
      </c>
      <c r="E22" s="16">
        <v>0</v>
      </c>
      <c r="F22" s="16">
        <v>0</v>
      </c>
      <c r="G22" s="15">
        <f>'[20]Estimate Revenue'!$C$13</f>
        <v>884341494</v>
      </c>
      <c r="H22" s="20">
        <f>'[27]Estimate Revenue'!$C$12</f>
        <v>964274914</v>
      </c>
      <c r="I22" s="20">
        <f>'[21]Estimate Revenue'!$C$11</f>
        <v>1000980629</v>
      </c>
      <c r="J22" s="20">
        <f>'[22]Estimate Revenue'!$C$11</f>
        <v>1005645951</v>
      </c>
      <c r="K22" s="20">
        <f>'[23]Estimate Revenue'!$C$12</f>
        <v>1071075433</v>
      </c>
      <c r="L22" s="20">
        <f>'[24]Estimate Revenue'!$C$12</f>
        <v>1240555016</v>
      </c>
      <c r="M22" s="16">
        <v>2054433576</v>
      </c>
      <c r="N22" s="28">
        <f t="shared" ref="N22:N23" si="35">SUM(B22:M22)</f>
        <v>8221307013</v>
      </c>
      <c r="O22" s="17">
        <f t="shared" si="24"/>
        <v>0</v>
      </c>
      <c r="P22" s="17">
        <f t="shared" si="25"/>
        <v>0</v>
      </c>
      <c r="Q22" s="17">
        <f t="shared" si="26"/>
        <v>0</v>
      </c>
      <c r="R22" s="17">
        <f t="shared" si="27"/>
        <v>0</v>
      </c>
      <c r="S22" s="17">
        <f t="shared" si="28"/>
        <v>0</v>
      </c>
      <c r="T22" s="17">
        <f t="shared" si="29"/>
        <v>38068.94</v>
      </c>
      <c r="U22" s="17">
        <f t="shared" si="30"/>
        <v>41716.410000000003</v>
      </c>
      <c r="V22" s="17">
        <f t="shared" si="31"/>
        <v>43295.01</v>
      </c>
      <c r="W22" s="17">
        <f t="shared" si="32"/>
        <v>43496.800000000003</v>
      </c>
      <c r="X22" s="17">
        <f t="shared" ref="X22:X23" si="36">ROUND(K22/$X$25,2)</f>
        <v>46316.78</v>
      </c>
      <c r="Y22" s="17">
        <f t="shared" ref="Y22:Y24" si="37">ROUND(L22/$Y$25,2)</f>
        <v>53692.06</v>
      </c>
      <c r="Z22" s="17">
        <f t="shared" ref="Z22:Z24" si="38">M22/$Z$25</f>
        <v>88955.772937865346</v>
      </c>
      <c r="AA22" s="31">
        <f t="shared" si="34"/>
        <v>355541.77293786535</v>
      </c>
      <c r="AB22" s="47"/>
    </row>
    <row r="23" spans="1:28" s="10" customFormat="1" ht="41.25" customHeight="1">
      <c r="A23" s="33" t="s">
        <v>22</v>
      </c>
      <c r="B23" s="16">
        <v>0</v>
      </c>
      <c r="C23" s="16">
        <v>0</v>
      </c>
      <c r="D23" s="16">
        <v>0</v>
      </c>
      <c r="E23" s="16">
        <v>0</v>
      </c>
      <c r="F23" s="16">
        <v>0</v>
      </c>
      <c r="G23" s="16">
        <v>0</v>
      </c>
      <c r="H23" s="16">
        <v>0</v>
      </c>
      <c r="I23" s="16">
        <v>0</v>
      </c>
      <c r="J23" s="20">
        <f>'[22]Estimate Revenue'!$C$12</f>
        <v>2972721612</v>
      </c>
      <c r="K23" s="16">
        <f>'[23]Estimate Revenue'!$C$13</f>
        <v>3880262592</v>
      </c>
      <c r="L23" s="16">
        <f>'[24]Estimate Revenue'!$C$13</f>
        <v>9721910622</v>
      </c>
      <c r="M23" s="16">
        <v>22574424287</v>
      </c>
      <c r="N23" s="28">
        <f t="shared" si="35"/>
        <v>39149319113</v>
      </c>
      <c r="O23" s="17">
        <f t="shared" si="24"/>
        <v>0</v>
      </c>
      <c r="P23" s="17">
        <f t="shared" si="25"/>
        <v>0</v>
      </c>
      <c r="Q23" s="17">
        <f t="shared" si="26"/>
        <v>0</v>
      </c>
      <c r="R23" s="17">
        <f t="shared" si="27"/>
        <v>0</v>
      </c>
      <c r="S23" s="17">
        <f t="shared" si="28"/>
        <v>0</v>
      </c>
      <c r="T23" s="17">
        <f t="shared" si="29"/>
        <v>0</v>
      </c>
      <c r="U23" s="17">
        <f t="shared" si="30"/>
        <v>0</v>
      </c>
      <c r="V23" s="17">
        <f t="shared" si="31"/>
        <v>0</v>
      </c>
      <c r="W23" s="17">
        <f t="shared" si="32"/>
        <v>128577.92</v>
      </c>
      <c r="X23" s="17">
        <f t="shared" si="36"/>
        <v>167795.14</v>
      </c>
      <c r="Y23" s="17">
        <f t="shared" si="37"/>
        <v>420770.86</v>
      </c>
      <c r="Z23" s="17">
        <f t="shared" si="38"/>
        <v>977459.37592552498</v>
      </c>
      <c r="AA23" s="31">
        <f t="shared" si="34"/>
        <v>1694603.295925525</v>
      </c>
      <c r="AB23" s="47"/>
    </row>
    <row r="24" spans="1:28" s="10" customFormat="1" ht="41.25" customHeight="1">
      <c r="A24" s="33" t="s">
        <v>23</v>
      </c>
      <c r="B24" s="16">
        <v>0</v>
      </c>
      <c r="C24" s="16">
        <v>0</v>
      </c>
      <c r="D24" s="16">
        <v>0</v>
      </c>
      <c r="E24" s="16">
        <v>0</v>
      </c>
      <c r="F24" s="16">
        <v>0</v>
      </c>
      <c r="G24" s="16">
        <v>0</v>
      </c>
      <c r="H24" s="16">
        <v>0</v>
      </c>
      <c r="I24" s="20"/>
      <c r="J24" s="20">
        <v>0</v>
      </c>
      <c r="K24" s="16">
        <v>0</v>
      </c>
      <c r="L24" s="16">
        <v>0</v>
      </c>
      <c r="M24" s="16">
        <v>2062604168</v>
      </c>
      <c r="N24" s="28">
        <f t="shared" ref="N24" si="39">SUM(B24:M24)</f>
        <v>2062604168</v>
      </c>
      <c r="O24" s="17">
        <f t="shared" ref="O24" si="40">B24/$O$25</f>
        <v>0</v>
      </c>
      <c r="P24" s="17">
        <f t="shared" ref="P24" si="41">C24/$P$25</f>
        <v>0</v>
      </c>
      <c r="Q24" s="17">
        <f t="shared" ref="Q24" si="42">D24/$Q$25</f>
        <v>0</v>
      </c>
      <c r="R24" s="17">
        <f t="shared" ref="R24" si="43">E24/$R$25</f>
        <v>0</v>
      </c>
      <c r="S24" s="17">
        <f t="shared" ref="S24" si="44">ROUND(F24/$S$25,2)</f>
        <v>0</v>
      </c>
      <c r="T24" s="17">
        <f t="shared" ref="T24" si="45">ROUND(G24/$T$25,2)</f>
        <v>0</v>
      </c>
      <c r="U24" s="17">
        <f t="shared" ref="U24" si="46">ROUND(H24/$U$25,2)</f>
        <v>0</v>
      </c>
      <c r="V24" s="17">
        <f t="shared" ref="V24" si="47">ROUND(I24/$V$25,2)</f>
        <v>0</v>
      </c>
      <c r="W24" s="17">
        <f t="shared" ref="W24" si="48">ROUND(J24/$W$25,2)</f>
        <v>0</v>
      </c>
      <c r="X24" s="17">
        <f t="shared" ref="X24" si="49">ROUND(K24/$X$25,2)</f>
        <v>0</v>
      </c>
      <c r="Y24" s="17">
        <f t="shared" si="37"/>
        <v>0</v>
      </c>
      <c r="Z24" s="17">
        <f t="shared" si="38"/>
        <v>89309.554795410266</v>
      </c>
      <c r="AA24" s="31">
        <f>SUM(O24:Z24)</f>
        <v>89309.554795410266</v>
      </c>
      <c r="AB24" s="47"/>
    </row>
    <row r="25" spans="1:28" s="9" customFormat="1" ht="22.5" customHeight="1">
      <c r="A25" s="9" t="s">
        <v>19</v>
      </c>
      <c r="F25" s="40"/>
      <c r="O25" s="9">
        <v>23130</v>
      </c>
      <c r="P25" s="9">
        <v>23135</v>
      </c>
      <c r="Q25" s="9">
        <v>23130</v>
      </c>
      <c r="R25" s="9">
        <v>23210</v>
      </c>
      <c r="S25" s="9">
        <v>23335</v>
      </c>
      <c r="T25" s="9">
        <v>23230</v>
      </c>
      <c r="U25" s="9">
        <v>23115</v>
      </c>
      <c r="V25" s="9">
        <v>23120</v>
      </c>
      <c r="W25" s="50">
        <v>23120</v>
      </c>
      <c r="X25" s="9">
        <v>23125</v>
      </c>
      <c r="Y25" s="9">
        <v>23105</v>
      </c>
      <c r="Z25" s="9">
        <v>23095</v>
      </c>
      <c r="AB25" s="46"/>
    </row>
    <row r="26" spans="1:28" s="5" customFormat="1">
      <c r="B26" s="6"/>
      <c r="C26" s="6"/>
      <c r="D26" s="6"/>
      <c r="F26" s="6"/>
      <c r="N26" s="52"/>
      <c r="S26" s="41"/>
      <c r="AB26" s="46"/>
    </row>
    <row r="27" spans="1:28" s="5" customFormat="1">
      <c r="B27" s="6"/>
      <c r="C27" s="6"/>
      <c r="D27" s="6"/>
      <c r="F27" s="44"/>
      <c r="N27" s="52"/>
      <c r="S27" s="41"/>
      <c r="AB27" s="46"/>
    </row>
    <row r="28" spans="1:28" s="5" customFormat="1" ht="15.4">
      <c r="B28" s="6"/>
      <c r="C28" s="6"/>
      <c r="D28" s="6"/>
      <c r="F28" s="44"/>
      <c r="N28" s="38"/>
      <c r="O28" s="39"/>
      <c r="S28" s="41"/>
      <c r="T28" s="53"/>
      <c r="U28" s="53"/>
      <c r="V28" s="53"/>
      <c r="W28" s="53"/>
      <c r="X28" s="53"/>
      <c r="Y28" s="53"/>
      <c r="AA28" s="54"/>
      <c r="AB28" s="46"/>
    </row>
    <row r="29" spans="1:28" s="5" customFormat="1" ht="15.4">
      <c r="B29" s="6"/>
      <c r="C29" s="6"/>
      <c r="D29" s="6"/>
      <c r="F29" s="53"/>
      <c r="G29" s="53"/>
      <c r="H29" s="53"/>
      <c r="I29" s="53"/>
      <c r="J29" s="53"/>
      <c r="K29" s="53"/>
      <c r="L29" s="53"/>
      <c r="N29" s="38"/>
      <c r="O29" s="39"/>
      <c r="S29" s="41"/>
      <c r="T29" s="53"/>
      <c r="U29" s="53"/>
      <c r="V29" s="53"/>
      <c r="W29" s="53"/>
      <c r="X29" s="53"/>
      <c r="Y29" s="53"/>
      <c r="AB29" s="46"/>
    </row>
    <row r="30" spans="1:28" s="5" customFormat="1" ht="15.4">
      <c r="B30" s="55">
        <f>IFERROR(B18/B10,0)</f>
        <v>0.86960000006617755</v>
      </c>
      <c r="C30" s="55">
        <f t="shared" ref="C30:E30" si="50">IFERROR(C18/C10,0)</f>
        <v>0.86956521741785131</v>
      </c>
      <c r="D30" s="55">
        <f t="shared" si="50"/>
        <v>0.86956521742305792</v>
      </c>
      <c r="E30" s="55">
        <f t="shared" si="50"/>
        <v>0.86963990065847274</v>
      </c>
      <c r="F30" s="55">
        <f>IFERROR(F18/F10,0)</f>
        <v>0.86959999998318682</v>
      </c>
      <c r="G30" s="55">
        <f t="shared" ref="G30:L30" si="51">IFERROR(G18/G10,0)</f>
        <v>0.86960000000033533</v>
      </c>
      <c r="H30" s="55">
        <f>IFERROR(H18/H10,0)</f>
        <v>0.86960000001877313</v>
      </c>
      <c r="I30" s="55">
        <f t="shared" si="51"/>
        <v>0.86960000004346794</v>
      </c>
      <c r="J30" s="55">
        <f t="shared" si="51"/>
        <v>0.86959999993659831</v>
      </c>
      <c r="K30" s="55">
        <f t="shared" si="51"/>
        <v>0.86960000004323057</v>
      </c>
      <c r="L30" s="55">
        <f t="shared" si="51"/>
        <v>0.86466657969976402</v>
      </c>
      <c r="M30" s="55">
        <f>IFERROR(M18/M10,0)</f>
        <v>0.88273726821931353</v>
      </c>
      <c r="N30" s="55">
        <f>IFERROR(N18/N10,0)</f>
        <v>0.86964165722812747</v>
      </c>
      <c r="O30" s="39"/>
      <c r="S30" s="41"/>
      <c r="T30" s="53"/>
      <c r="U30" s="53"/>
      <c r="V30" s="53"/>
      <c r="W30" s="53"/>
      <c r="X30" s="53"/>
      <c r="Y30" s="53"/>
      <c r="AB30" s="46"/>
    </row>
    <row r="31" spans="1:28" s="5" customFormat="1" ht="15.4">
      <c r="B31" s="55">
        <f t="shared" ref="B31:E31" si="52">IFERROR(B19/B11,0)</f>
        <v>0.81953400469030213</v>
      </c>
      <c r="C31" s="55">
        <f t="shared" si="52"/>
        <v>0.91146231411033507</v>
      </c>
      <c r="D31" s="55">
        <f t="shared" si="52"/>
        <v>0.91160735405233484</v>
      </c>
      <c r="E31" s="55">
        <f t="shared" si="52"/>
        <v>0.91221923907750468</v>
      </c>
      <c r="F31" s="55">
        <f t="shared" ref="F31:L35" si="53">IFERROR(F19/F11,0)</f>
        <v>0.91134700059082663</v>
      </c>
      <c r="G31" s="55">
        <f t="shared" si="53"/>
        <v>0.91129568325683052</v>
      </c>
      <c r="H31" s="55">
        <f t="shared" si="53"/>
        <v>0.91302965231027233</v>
      </c>
      <c r="I31" s="55">
        <f t="shared" si="53"/>
        <v>0.89386188702142355</v>
      </c>
      <c r="J31" s="55">
        <f t="shared" si="53"/>
        <v>0.91268892084991093</v>
      </c>
      <c r="K31" s="57">
        <f t="shared" si="53"/>
        <v>0.81902642544769</v>
      </c>
      <c r="L31" s="57">
        <f t="shared" si="53"/>
        <v>0.99817879584913694</v>
      </c>
      <c r="M31" s="57">
        <f t="shared" ref="M31:N31" si="54">IFERROR(M19/M11,0)</f>
        <v>0.91054471164424688</v>
      </c>
      <c r="N31" s="57">
        <f t="shared" si="54"/>
        <v>0.90990356220531066</v>
      </c>
      <c r="O31" s="39"/>
      <c r="S31" s="41"/>
      <c r="AB31" s="46"/>
    </row>
    <row r="32" spans="1:28" s="5" customFormat="1" ht="15.4">
      <c r="B32" s="55">
        <f t="shared" ref="B32:E32" si="55">IFERROR(B20/B12,0)</f>
        <v>0.90910000015253167</v>
      </c>
      <c r="C32" s="55">
        <f t="shared" si="55"/>
        <v>0.90909090908802148</v>
      </c>
      <c r="D32" s="55">
        <f t="shared" si="55"/>
        <v>0.90909090910131063</v>
      </c>
      <c r="E32" s="55">
        <f t="shared" si="55"/>
        <v>0.90911630170538316</v>
      </c>
      <c r="F32" s="55">
        <f t="shared" si="53"/>
        <v>0.9091000000021523</v>
      </c>
      <c r="G32" s="55">
        <f>IFERROR(G20/G12,0)</f>
        <v>0.90909999999581037</v>
      </c>
      <c r="H32" s="55">
        <f t="shared" si="53"/>
        <v>0.90910000000450231</v>
      </c>
      <c r="I32" s="55">
        <f t="shared" si="53"/>
        <v>0.9091000000042655</v>
      </c>
      <c r="J32" s="55">
        <f t="shared" si="53"/>
        <v>0.90909999999762559</v>
      </c>
      <c r="K32" s="55">
        <f t="shared" si="53"/>
        <v>0.90909999999940261</v>
      </c>
      <c r="L32" s="55">
        <f t="shared" si="53"/>
        <v>0.88388996894887717</v>
      </c>
      <c r="M32" s="55">
        <f t="shared" ref="M32:N32" si="56">IFERROR(M20/M12,0)</f>
        <v>0.87736995592189582</v>
      </c>
      <c r="N32" s="55">
        <f t="shared" si="56"/>
        <v>0.89617564171892539</v>
      </c>
      <c r="S32" s="41"/>
      <c r="AB32" s="46"/>
    </row>
    <row r="33" spans="2:28" s="5" customFormat="1" ht="15.4">
      <c r="B33" s="55">
        <f t="shared" ref="B33:E33" si="57">IFERROR(B21/B13,0)</f>
        <v>0</v>
      </c>
      <c r="C33" s="55">
        <f t="shared" si="57"/>
        <v>0</v>
      </c>
      <c r="D33" s="55">
        <f t="shared" si="57"/>
        <v>0</v>
      </c>
      <c r="E33" s="55">
        <f t="shared" si="57"/>
        <v>0</v>
      </c>
      <c r="F33" s="55">
        <f t="shared" si="53"/>
        <v>0</v>
      </c>
      <c r="G33" s="55">
        <f t="shared" si="53"/>
        <v>0</v>
      </c>
      <c r="H33" s="55">
        <f t="shared" si="53"/>
        <v>0</v>
      </c>
      <c r="I33" s="55">
        <f t="shared" si="53"/>
        <v>0</v>
      </c>
      <c r="J33" s="55">
        <f t="shared" si="53"/>
        <v>0</v>
      </c>
      <c r="K33" s="55">
        <f t="shared" si="53"/>
        <v>0</v>
      </c>
      <c r="L33" s="55">
        <f t="shared" si="53"/>
        <v>0</v>
      </c>
      <c r="M33" s="55">
        <f t="shared" ref="M33:N33" si="58">IFERROR(M21/M13,0)</f>
        <v>0</v>
      </c>
      <c r="N33" s="55">
        <f t="shared" si="58"/>
        <v>0</v>
      </c>
      <c r="S33" s="41"/>
      <c r="AB33" s="46"/>
    </row>
    <row r="34" spans="2:28" s="5" customFormat="1" ht="15.4">
      <c r="B34" s="55">
        <f t="shared" ref="B34:E34" si="59">IFERROR(B22/B14,0)</f>
        <v>0</v>
      </c>
      <c r="C34" s="55">
        <f t="shared" si="59"/>
        <v>0</v>
      </c>
      <c r="D34" s="55">
        <f t="shared" si="59"/>
        <v>0</v>
      </c>
      <c r="E34" s="55">
        <f t="shared" si="59"/>
        <v>0</v>
      </c>
      <c r="F34" s="55">
        <f t="shared" si="53"/>
        <v>0</v>
      </c>
      <c r="G34" s="55">
        <f t="shared" si="53"/>
        <v>0.91377910063756973</v>
      </c>
      <c r="H34" s="55">
        <f t="shared" si="53"/>
        <v>0.89984816965066217</v>
      </c>
      <c r="I34" s="55">
        <f t="shared" si="53"/>
        <v>0.92332371000789815</v>
      </c>
      <c r="J34" s="55">
        <f t="shared" si="53"/>
        <v>0.91117695239649765</v>
      </c>
      <c r="K34" s="55">
        <f t="shared" si="53"/>
        <v>0.90993513620173261</v>
      </c>
      <c r="L34" s="55">
        <f t="shared" si="53"/>
        <v>0.90854511151312956</v>
      </c>
      <c r="M34" s="55">
        <f t="shared" ref="M34:N34" si="60">IFERROR(M22/M14,0)</f>
        <v>0.91502683226901771</v>
      </c>
      <c r="N34" s="55">
        <f t="shared" si="60"/>
        <v>0.91196845144312622</v>
      </c>
      <c r="S34" s="41"/>
      <c r="AB34" s="46"/>
    </row>
    <row r="35" spans="2:28" s="5" customFormat="1" ht="15.4">
      <c r="B35" s="55">
        <f t="shared" ref="B35:E35" si="61">IFERROR(B23/B15,0)</f>
        <v>0</v>
      </c>
      <c r="C35" s="55">
        <f t="shared" si="61"/>
        <v>0</v>
      </c>
      <c r="D35" s="55">
        <f t="shared" si="61"/>
        <v>0</v>
      </c>
      <c r="E35" s="55">
        <f t="shared" si="61"/>
        <v>0</v>
      </c>
      <c r="F35" s="55">
        <f t="shared" si="53"/>
        <v>0</v>
      </c>
      <c r="G35" s="55">
        <f t="shared" si="53"/>
        <v>0</v>
      </c>
      <c r="H35" s="55">
        <f t="shared" si="53"/>
        <v>0</v>
      </c>
      <c r="I35" s="55">
        <f t="shared" si="53"/>
        <v>0</v>
      </c>
      <c r="J35" s="55">
        <f t="shared" si="53"/>
        <v>0.86960000001918969</v>
      </c>
      <c r="K35" s="55">
        <f t="shared" si="53"/>
        <v>0.86959999997274839</v>
      </c>
      <c r="L35" s="55">
        <f t="shared" si="53"/>
        <v>0.85435346515593602</v>
      </c>
      <c r="M35" s="55">
        <f t="shared" ref="M35:N35" si="62">IFERROR(M23/M15,0)</f>
        <v>0.84857401025195145</v>
      </c>
      <c r="N35" s="55">
        <f t="shared" si="62"/>
        <v>0.85362089854439926</v>
      </c>
      <c r="S35" s="41"/>
      <c r="AB35" s="46"/>
    </row>
    <row r="36" spans="2:28" s="5" customFormat="1">
      <c r="B36" s="6"/>
      <c r="C36" s="6"/>
      <c r="D36" s="6"/>
      <c r="F36" s="56"/>
      <c r="G36" s="56"/>
      <c r="H36" s="56"/>
      <c r="I36" s="56"/>
      <c r="J36" s="56"/>
      <c r="K36" s="56"/>
      <c r="L36" s="56"/>
      <c r="S36" s="41"/>
      <c r="AB36" s="46"/>
    </row>
    <row r="37" spans="2:28" s="5" customFormat="1">
      <c r="B37" s="6"/>
      <c r="C37" s="6"/>
      <c r="D37" s="6"/>
      <c r="F37" s="6"/>
      <c r="S37" s="41"/>
      <c r="AB37" s="46"/>
    </row>
    <row r="38" spans="2:28" s="5" customFormat="1">
      <c r="B38" s="6"/>
      <c r="C38" s="6"/>
      <c r="D38" s="6"/>
      <c r="F38" s="6"/>
      <c r="S38" s="41"/>
      <c r="AB38" s="46"/>
    </row>
    <row r="39" spans="2:28" s="5" customFormat="1">
      <c r="B39" s="6"/>
      <c r="C39" s="6"/>
      <c r="D39" s="6"/>
      <c r="F39" s="6"/>
      <c r="S39" s="41"/>
      <c r="AB39" s="46"/>
    </row>
    <row r="40" spans="2:28" s="5" customFormat="1">
      <c r="B40" s="6"/>
      <c r="C40" s="6"/>
      <c r="D40" s="6"/>
      <c r="F40" s="6"/>
      <c r="S40" s="41"/>
      <c r="AB40" s="46"/>
    </row>
    <row r="41" spans="2:28" s="5" customFormat="1">
      <c r="B41" s="6"/>
      <c r="C41" s="6"/>
      <c r="D41" s="6"/>
      <c r="F41" s="6"/>
      <c r="S41" s="41"/>
      <c r="AB41" s="46"/>
    </row>
    <row r="42" spans="2:28" s="5" customFormat="1">
      <c r="B42" s="6"/>
      <c r="C42" s="6"/>
      <c r="D42" s="6"/>
      <c r="F42" s="6"/>
      <c r="S42" s="41"/>
      <c r="AB42" s="46"/>
    </row>
    <row r="43" spans="2:28" s="5" customFormat="1">
      <c r="B43" s="6"/>
      <c r="C43" s="6"/>
      <c r="D43" s="6"/>
      <c r="F43" s="6"/>
      <c r="S43" s="41"/>
      <c r="AB43" s="46"/>
    </row>
    <row r="44" spans="2:28" s="5" customFormat="1">
      <c r="B44" s="6"/>
      <c r="C44" s="6"/>
      <c r="D44" s="6"/>
      <c r="F44" s="6"/>
      <c r="S44" s="41"/>
      <c r="AB44" s="46"/>
    </row>
    <row r="45" spans="2:28" s="5" customFormat="1">
      <c r="B45" s="6"/>
      <c r="C45" s="6"/>
      <c r="D45" s="6"/>
      <c r="F45" s="6"/>
      <c r="S45" s="41"/>
      <c r="AB45" s="46"/>
    </row>
    <row r="46" spans="2:28" s="5" customFormat="1">
      <c r="B46" s="6"/>
      <c r="C46" s="6"/>
      <c r="D46" s="6"/>
      <c r="F46" s="6"/>
      <c r="S46" s="41"/>
      <c r="AB46" s="46"/>
    </row>
    <row r="47" spans="2:28" s="5" customFormat="1">
      <c r="B47" s="6"/>
      <c r="C47" s="6"/>
      <c r="D47" s="6"/>
      <c r="F47" s="6"/>
      <c r="S47" s="41"/>
      <c r="AB47" s="46"/>
    </row>
    <row r="48" spans="2:28" s="5" customFormat="1">
      <c r="B48" s="6"/>
      <c r="C48" s="6"/>
      <c r="D48" s="6"/>
      <c r="F48" s="6"/>
      <c r="S48" s="41"/>
      <c r="AB48" s="46"/>
    </row>
    <row r="49" spans="2:28" s="5" customFormat="1">
      <c r="B49" s="6"/>
      <c r="C49" s="6"/>
      <c r="D49" s="6"/>
      <c r="F49" s="6"/>
      <c r="S49" s="41"/>
      <c r="AB49" s="46"/>
    </row>
    <row r="50" spans="2:28" s="5" customFormat="1">
      <c r="B50" s="6"/>
      <c r="C50" s="6"/>
      <c r="D50" s="6"/>
      <c r="F50" s="6"/>
      <c r="S50" s="41"/>
      <c r="AB50" s="46"/>
    </row>
    <row r="51" spans="2:28" s="5" customFormat="1">
      <c r="B51" s="6"/>
      <c r="C51" s="6"/>
      <c r="D51" s="6"/>
      <c r="F51" s="6"/>
      <c r="S51" s="41"/>
      <c r="AB51" s="46"/>
    </row>
    <row r="52" spans="2:28" s="5" customFormat="1">
      <c r="B52" s="6"/>
      <c r="C52" s="6"/>
      <c r="D52" s="6"/>
      <c r="F52" s="6"/>
      <c r="S52" s="41"/>
      <c r="AB52" s="46"/>
    </row>
    <row r="53" spans="2:28" s="5" customFormat="1">
      <c r="B53" s="6"/>
      <c r="C53" s="6"/>
      <c r="D53" s="6"/>
      <c r="F53" s="6"/>
      <c r="S53" s="41"/>
      <c r="AB53" s="46"/>
    </row>
    <row r="54" spans="2:28" s="5" customFormat="1">
      <c r="B54" s="6"/>
      <c r="C54" s="6"/>
      <c r="D54" s="6"/>
      <c r="F54" s="6"/>
      <c r="S54" s="41"/>
      <c r="AB54" s="46"/>
    </row>
    <row r="55" spans="2:28" s="5" customFormat="1">
      <c r="B55" s="6"/>
      <c r="C55" s="6"/>
      <c r="D55" s="6"/>
      <c r="F55" s="6"/>
      <c r="S55" s="41"/>
      <c r="AB55" s="46"/>
    </row>
    <row r="56" spans="2:28" s="5" customFormat="1">
      <c r="B56" s="6"/>
      <c r="C56" s="6"/>
      <c r="D56" s="6"/>
      <c r="F56" s="6"/>
      <c r="S56" s="41"/>
      <c r="AB56" s="46"/>
    </row>
    <row r="57" spans="2:28" s="5" customFormat="1">
      <c r="B57" s="6"/>
      <c r="C57" s="6"/>
      <c r="D57" s="6"/>
      <c r="F57" s="6"/>
      <c r="S57" s="41"/>
      <c r="AB57" s="46"/>
    </row>
    <row r="58" spans="2:28" s="5" customFormat="1">
      <c r="B58" s="6"/>
      <c r="C58" s="6"/>
      <c r="D58" s="6"/>
      <c r="F58" s="6"/>
      <c r="S58" s="41"/>
      <c r="AB58" s="46"/>
    </row>
    <row r="59" spans="2:28" s="5" customFormat="1">
      <c r="B59" s="6"/>
      <c r="C59" s="6"/>
      <c r="D59" s="6"/>
      <c r="F59" s="6"/>
      <c r="S59" s="41"/>
      <c r="AB59" s="46"/>
    </row>
    <row r="60" spans="2:28" s="5" customFormat="1">
      <c r="B60" s="6"/>
      <c r="C60" s="6"/>
      <c r="D60" s="6"/>
      <c r="F60" s="6"/>
      <c r="S60" s="41"/>
      <c r="AB60" s="46"/>
    </row>
    <row r="61" spans="2:28" s="5" customFormat="1">
      <c r="B61" s="6"/>
      <c r="C61" s="6"/>
      <c r="D61" s="6"/>
      <c r="F61" s="6"/>
      <c r="S61" s="41"/>
      <c r="AB61" s="46"/>
    </row>
    <row r="62" spans="2:28" s="5" customFormat="1">
      <c r="B62" s="6"/>
      <c r="C62" s="6"/>
      <c r="D62" s="6"/>
      <c r="F62" s="6"/>
      <c r="S62" s="41"/>
      <c r="AB62" s="46"/>
    </row>
    <row r="63" spans="2:28" s="5" customFormat="1">
      <c r="B63" s="6"/>
      <c r="C63" s="6"/>
      <c r="D63" s="6"/>
      <c r="F63" s="6"/>
      <c r="S63" s="41"/>
      <c r="AB63" s="46"/>
    </row>
    <row r="64" spans="2:28" s="5" customFormat="1">
      <c r="B64" s="6"/>
      <c r="C64" s="6"/>
      <c r="D64" s="6"/>
      <c r="F64" s="6"/>
      <c r="S64" s="41"/>
      <c r="AB64" s="46"/>
    </row>
    <row r="65" spans="2:28" s="5" customFormat="1">
      <c r="B65" s="6"/>
      <c r="C65" s="6"/>
      <c r="D65" s="6"/>
      <c r="F65" s="6"/>
      <c r="S65" s="41"/>
      <c r="AB65" s="46"/>
    </row>
    <row r="66" spans="2:28" s="5" customFormat="1">
      <c r="B66" s="6"/>
      <c r="C66" s="6"/>
      <c r="D66" s="6"/>
      <c r="F66" s="6"/>
      <c r="S66" s="41"/>
      <c r="AB66" s="46"/>
    </row>
    <row r="67" spans="2:28" s="5" customFormat="1">
      <c r="B67" s="6"/>
      <c r="C67" s="6"/>
      <c r="D67" s="6"/>
      <c r="F67" s="6"/>
      <c r="S67" s="41"/>
      <c r="AB67" s="46"/>
    </row>
    <row r="68" spans="2:28" s="5" customFormat="1">
      <c r="B68" s="6"/>
      <c r="C68" s="6"/>
      <c r="D68" s="6"/>
      <c r="F68" s="6"/>
      <c r="S68" s="41"/>
      <c r="AB68" s="46"/>
    </row>
    <row r="69" spans="2:28" s="5" customFormat="1">
      <c r="B69" s="6"/>
      <c r="C69" s="6"/>
      <c r="D69" s="6"/>
      <c r="F69" s="6"/>
      <c r="S69" s="41"/>
      <c r="AB69" s="46"/>
    </row>
    <row r="70" spans="2:28" s="5" customFormat="1">
      <c r="B70" s="6"/>
      <c r="C70" s="6"/>
      <c r="D70" s="6"/>
      <c r="F70" s="6"/>
      <c r="S70" s="41"/>
      <c r="AB70" s="46"/>
    </row>
    <row r="71" spans="2:28" s="5" customFormat="1">
      <c r="B71" s="6"/>
      <c r="C71" s="6"/>
      <c r="D71" s="6"/>
      <c r="F71" s="6"/>
      <c r="S71" s="41"/>
      <c r="AB71" s="46"/>
    </row>
    <row r="72" spans="2:28" s="5" customFormat="1">
      <c r="B72" s="6"/>
      <c r="C72" s="6"/>
      <c r="D72" s="6"/>
      <c r="F72" s="6"/>
      <c r="S72" s="41"/>
      <c r="AB72" s="46"/>
    </row>
    <row r="73" spans="2:28" s="5" customFormat="1">
      <c r="B73" s="6"/>
      <c r="C73" s="6"/>
      <c r="D73" s="6"/>
      <c r="F73" s="6"/>
      <c r="S73" s="41"/>
      <c r="AB73" s="46"/>
    </row>
    <row r="74" spans="2:28" s="5" customFormat="1">
      <c r="B74" s="6"/>
      <c r="C74" s="6"/>
      <c r="D74" s="6"/>
      <c r="F74" s="6"/>
      <c r="S74" s="41"/>
      <c r="AB74" s="46"/>
    </row>
    <row r="75" spans="2:28" s="5" customFormat="1">
      <c r="B75" s="6"/>
      <c r="C75" s="6"/>
      <c r="D75" s="6"/>
      <c r="F75" s="6"/>
      <c r="S75" s="41"/>
      <c r="AB75" s="46"/>
    </row>
    <row r="76" spans="2:28" s="5" customFormat="1">
      <c r="B76" s="6"/>
      <c r="C76" s="6"/>
      <c r="D76" s="6"/>
      <c r="F76" s="6"/>
      <c r="S76" s="41"/>
      <c r="AB76" s="46"/>
    </row>
    <row r="77" spans="2:28" s="5" customFormat="1">
      <c r="B77" s="6"/>
      <c r="C77" s="6"/>
      <c r="D77" s="6"/>
      <c r="F77" s="6"/>
      <c r="S77" s="41"/>
      <c r="AB77" s="46"/>
    </row>
    <row r="78" spans="2:28" s="5" customFormat="1">
      <c r="B78" s="6"/>
      <c r="C78" s="6"/>
      <c r="D78" s="6"/>
      <c r="F78" s="6"/>
      <c r="S78" s="41"/>
      <c r="AB78" s="46"/>
    </row>
    <row r="79" spans="2:28" s="5" customFormat="1">
      <c r="B79" s="6"/>
      <c r="C79" s="6"/>
      <c r="D79" s="6"/>
      <c r="F79" s="6"/>
      <c r="S79" s="41"/>
      <c r="AB79" s="46"/>
    </row>
    <row r="80" spans="2:28" s="5" customFormat="1">
      <c r="B80" s="6"/>
      <c r="C80" s="6"/>
      <c r="D80" s="6"/>
      <c r="F80" s="6"/>
      <c r="S80" s="41"/>
      <c r="AB80" s="46"/>
    </row>
    <row r="81" spans="2:28" s="5" customFormat="1">
      <c r="B81" s="6"/>
      <c r="C81" s="6"/>
      <c r="D81" s="6"/>
      <c r="F81" s="6"/>
      <c r="S81" s="41"/>
      <c r="AB81" s="46"/>
    </row>
    <row r="82" spans="2:28" s="5" customFormat="1">
      <c r="B82" s="6"/>
      <c r="C82" s="6"/>
      <c r="D82" s="6"/>
      <c r="F82" s="6"/>
      <c r="S82" s="41"/>
      <c r="AB82" s="46"/>
    </row>
    <row r="83" spans="2:28" s="5" customFormat="1">
      <c r="B83" s="6"/>
      <c r="C83" s="6"/>
      <c r="D83" s="6"/>
      <c r="F83" s="6"/>
      <c r="S83" s="41"/>
      <c r="AB83" s="46"/>
    </row>
    <row r="84" spans="2:28" s="5" customFormat="1">
      <c r="B84" s="6"/>
      <c r="C84" s="6"/>
      <c r="D84" s="6"/>
      <c r="F84" s="6"/>
      <c r="S84" s="41"/>
      <c r="AB84" s="46"/>
    </row>
    <row r="85" spans="2:28" s="5" customFormat="1">
      <c r="B85" s="6"/>
      <c r="C85" s="6"/>
      <c r="D85" s="6"/>
      <c r="F85" s="6"/>
      <c r="S85" s="41"/>
      <c r="AB85" s="46"/>
    </row>
    <row r="86" spans="2:28" s="5" customFormat="1">
      <c r="B86" s="6"/>
      <c r="C86" s="6"/>
      <c r="D86" s="6"/>
      <c r="F86" s="6"/>
      <c r="S86" s="41"/>
      <c r="AB86" s="46"/>
    </row>
    <row r="87" spans="2:28" s="5" customFormat="1">
      <c r="B87" s="6"/>
      <c r="C87" s="6"/>
      <c r="D87" s="6"/>
      <c r="F87" s="6"/>
      <c r="S87" s="41"/>
      <c r="AB87" s="46"/>
    </row>
    <row r="88" spans="2:28" s="5" customFormat="1">
      <c r="B88" s="6"/>
      <c r="C88" s="6"/>
      <c r="D88" s="6"/>
      <c r="F88" s="6"/>
      <c r="S88" s="41"/>
      <c r="AB88" s="46"/>
    </row>
    <row r="89" spans="2:28" s="5" customFormat="1">
      <c r="B89" s="6"/>
      <c r="C89" s="6"/>
      <c r="D89" s="6"/>
      <c r="F89" s="6"/>
      <c r="S89" s="41"/>
      <c r="AB89" s="46"/>
    </row>
    <row r="90" spans="2:28" s="5" customFormat="1">
      <c r="B90" s="6"/>
      <c r="C90" s="6"/>
      <c r="D90" s="6"/>
      <c r="F90" s="6"/>
      <c r="S90" s="41"/>
      <c r="AB90" s="46"/>
    </row>
    <row r="91" spans="2:28" s="5" customFormat="1">
      <c r="B91" s="6"/>
      <c r="C91" s="6"/>
      <c r="D91" s="6"/>
      <c r="F91" s="6"/>
      <c r="S91" s="41"/>
      <c r="AB91" s="46"/>
    </row>
    <row r="92" spans="2:28" s="5" customFormat="1">
      <c r="B92" s="6"/>
      <c r="C92" s="6"/>
      <c r="D92" s="6"/>
      <c r="F92" s="6"/>
      <c r="S92" s="41"/>
      <c r="AB92" s="46"/>
    </row>
    <row r="93" spans="2:28" s="5" customFormat="1">
      <c r="B93" s="6"/>
      <c r="C93" s="6"/>
      <c r="D93" s="6"/>
      <c r="F93" s="6"/>
      <c r="S93" s="41"/>
      <c r="AB93" s="46"/>
    </row>
    <row r="94" spans="2:28" s="5" customFormat="1">
      <c r="B94" s="6"/>
      <c r="C94" s="6"/>
      <c r="D94" s="6"/>
      <c r="F94" s="6"/>
      <c r="S94" s="41"/>
      <c r="AB94" s="46"/>
    </row>
    <row r="95" spans="2:28" s="5" customFormat="1">
      <c r="B95" s="6"/>
      <c r="C95" s="6"/>
      <c r="D95" s="6"/>
      <c r="F95" s="6"/>
      <c r="S95" s="41"/>
      <c r="AB95" s="46"/>
    </row>
    <row r="96" spans="2:28" s="5" customFormat="1">
      <c r="B96" s="6"/>
      <c r="C96" s="6"/>
      <c r="D96" s="6"/>
      <c r="F96" s="6"/>
      <c r="S96" s="41"/>
      <c r="AB96" s="46"/>
    </row>
    <row r="97" spans="2:28" s="5" customFormat="1">
      <c r="B97" s="6"/>
      <c r="C97" s="6"/>
      <c r="D97" s="6"/>
      <c r="F97" s="6"/>
      <c r="S97" s="41"/>
      <c r="AB97" s="46"/>
    </row>
    <row r="98" spans="2:28" s="5" customFormat="1">
      <c r="B98" s="6"/>
      <c r="C98" s="6"/>
      <c r="D98" s="6"/>
      <c r="F98" s="6"/>
      <c r="S98" s="41"/>
      <c r="AB98" s="46"/>
    </row>
    <row r="99" spans="2:28" s="5" customFormat="1">
      <c r="B99" s="6"/>
      <c r="C99" s="6"/>
      <c r="D99" s="6"/>
      <c r="F99" s="6"/>
      <c r="S99" s="41"/>
      <c r="AB99" s="46"/>
    </row>
    <row r="100" spans="2:28" s="5" customFormat="1">
      <c r="B100" s="6"/>
      <c r="C100" s="6"/>
      <c r="D100" s="6"/>
      <c r="F100" s="6"/>
      <c r="S100" s="41"/>
      <c r="AB100" s="46"/>
    </row>
    <row r="101" spans="2:28" s="5" customFormat="1">
      <c r="B101" s="6"/>
      <c r="C101" s="6"/>
      <c r="D101" s="6"/>
      <c r="F101" s="6"/>
      <c r="S101" s="41"/>
      <c r="AB101" s="46"/>
    </row>
    <row r="102" spans="2:28" s="5" customFormat="1">
      <c r="B102" s="6"/>
      <c r="C102" s="6"/>
      <c r="D102" s="6"/>
      <c r="F102" s="6"/>
      <c r="S102" s="41"/>
      <c r="AB102" s="46"/>
    </row>
    <row r="103" spans="2:28" s="5" customFormat="1">
      <c r="B103" s="6"/>
      <c r="C103" s="6"/>
      <c r="D103" s="6"/>
      <c r="F103" s="6"/>
      <c r="S103" s="41"/>
      <c r="AB103" s="46"/>
    </row>
    <row r="104" spans="2:28" s="5" customFormat="1">
      <c r="B104" s="6"/>
      <c r="C104" s="6"/>
      <c r="D104" s="6"/>
      <c r="F104" s="6"/>
      <c r="S104" s="41"/>
      <c r="AB104" s="46"/>
    </row>
    <row r="105" spans="2:28" s="5" customFormat="1">
      <c r="B105" s="6"/>
      <c r="C105" s="6"/>
      <c r="D105" s="6"/>
      <c r="F105" s="6"/>
      <c r="S105" s="41"/>
      <c r="AB105" s="46"/>
    </row>
    <row r="106" spans="2:28" s="5" customFormat="1">
      <c r="B106" s="6"/>
      <c r="C106" s="6"/>
      <c r="D106" s="6"/>
      <c r="F106" s="6"/>
      <c r="S106" s="41"/>
      <c r="AB106" s="46"/>
    </row>
    <row r="107" spans="2:28" s="5" customFormat="1">
      <c r="B107" s="6"/>
      <c r="C107" s="6"/>
      <c r="D107" s="6"/>
      <c r="F107" s="6"/>
      <c r="S107" s="41"/>
      <c r="AB107" s="46"/>
    </row>
    <row r="108" spans="2:28" s="5" customFormat="1">
      <c r="B108" s="6"/>
      <c r="C108" s="6"/>
      <c r="D108" s="6"/>
      <c r="F108" s="6"/>
      <c r="S108" s="41"/>
      <c r="AB108" s="46"/>
    </row>
    <row r="109" spans="2:28" s="5" customFormat="1">
      <c r="B109" s="6"/>
      <c r="C109" s="6"/>
      <c r="D109" s="6"/>
      <c r="F109" s="6"/>
      <c r="S109" s="41"/>
      <c r="AB109" s="46"/>
    </row>
    <row r="110" spans="2:28" s="5" customFormat="1">
      <c r="B110" s="6"/>
      <c r="C110" s="6"/>
      <c r="D110" s="6"/>
      <c r="F110" s="6"/>
      <c r="S110" s="41"/>
      <c r="AB110" s="46"/>
    </row>
    <row r="111" spans="2:28" s="5" customFormat="1">
      <c r="B111" s="6"/>
      <c r="C111" s="6"/>
      <c r="D111" s="6"/>
      <c r="F111" s="6"/>
      <c r="S111" s="41"/>
      <c r="AB111" s="46"/>
    </row>
    <row r="112" spans="2:28" s="5" customFormat="1">
      <c r="B112" s="6"/>
      <c r="C112" s="6"/>
      <c r="D112" s="6"/>
      <c r="F112" s="6"/>
      <c r="S112" s="41"/>
      <c r="AB112" s="46"/>
    </row>
    <row r="113" spans="2:28" s="5" customFormat="1">
      <c r="B113" s="6"/>
      <c r="C113" s="6"/>
      <c r="D113" s="6"/>
      <c r="F113" s="6"/>
      <c r="S113" s="41"/>
      <c r="AB113" s="46"/>
    </row>
    <row r="114" spans="2:28" s="5" customFormat="1">
      <c r="B114" s="6"/>
      <c r="C114" s="6"/>
      <c r="D114" s="6"/>
      <c r="F114" s="6"/>
      <c r="S114" s="41"/>
      <c r="AB114" s="46"/>
    </row>
    <row r="115" spans="2:28" s="5" customFormat="1">
      <c r="B115" s="6"/>
      <c r="C115" s="6"/>
      <c r="D115" s="6"/>
      <c r="F115" s="6"/>
      <c r="S115" s="41"/>
      <c r="AB115" s="46"/>
    </row>
    <row r="116" spans="2:28" s="5" customFormat="1">
      <c r="B116" s="6"/>
      <c r="C116" s="6"/>
      <c r="D116" s="6"/>
      <c r="F116" s="6"/>
      <c r="S116" s="41"/>
      <c r="AB116" s="46"/>
    </row>
    <row r="117" spans="2:28" s="5" customFormat="1">
      <c r="B117" s="6"/>
      <c r="C117" s="6"/>
      <c r="D117" s="6"/>
      <c r="F117" s="6"/>
      <c r="S117" s="41"/>
      <c r="AB117" s="46"/>
    </row>
    <row r="118" spans="2:28" s="5" customFormat="1">
      <c r="B118" s="6"/>
      <c r="C118" s="6"/>
      <c r="D118" s="6"/>
      <c r="F118" s="6"/>
      <c r="S118" s="41"/>
      <c r="AB118" s="46"/>
    </row>
    <row r="119" spans="2:28" s="5" customFormat="1">
      <c r="B119" s="6"/>
      <c r="C119" s="6"/>
      <c r="D119" s="6"/>
      <c r="F119" s="6"/>
      <c r="S119" s="41"/>
      <c r="AB119" s="46"/>
    </row>
    <row r="120" spans="2:28" s="5" customFormat="1">
      <c r="B120" s="6"/>
      <c r="C120" s="6"/>
      <c r="D120" s="6"/>
      <c r="F120" s="6"/>
      <c r="S120" s="41"/>
      <c r="AB120" s="46"/>
    </row>
    <row r="121" spans="2:28" s="5" customFormat="1">
      <c r="B121" s="6"/>
      <c r="C121" s="6"/>
      <c r="D121" s="6"/>
      <c r="F121" s="6"/>
      <c r="S121" s="41"/>
      <c r="AB121" s="46"/>
    </row>
    <row r="122" spans="2:28" s="5" customFormat="1">
      <c r="B122" s="6"/>
      <c r="C122" s="6"/>
      <c r="D122" s="6"/>
      <c r="F122" s="6"/>
      <c r="S122" s="41"/>
      <c r="AB122" s="46"/>
    </row>
    <row r="123" spans="2:28" s="5" customFormat="1">
      <c r="B123" s="6"/>
      <c r="C123" s="6"/>
      <c r="D123" s="6"/>
      <c r="F123" s="6"/>
      <c r="S123" s="41"/>
      <c r="AB123" s="46"/>
    </row>
    <row r="124" spans="2:28" s="5" customFormat="1">
      <c r="B124" s="6"/>
      <c r="C124" s="6"/>
      <c r="D124" s="6"/>
      <c r="F124" s="6"/>
      <c r="S124" s="41"/>
      <c r="AB124" s="46"/>
    </row>
    <row r="125" spans="2:28" s="5" customFormat="1">
      <c r="B125" s="6"/>
      <c r="C125" s="6"/>
      <c r="D125" s="6"/>
      <c r="F125" s="6"/>
      <c r="S125" s="41"/>
      <c r="AB125" s="46"/>
    </row>
    <row r="126" spans="2:28" s="5" customFormat="1">
      <c r="B126" s="6"/>
      <c r="C126" s="6"/>
      <c r="D126" s="6"/>
      <c r="F126" s="6"/>
      <c r="S126" s="41"/>
      <c r="AB126" s="46"/>
    </row>
    <row r="127" spans="2:28" s="5" customFormat="1">
      <c r="B127" s="6"/>
      <c r="C127" s="6"/>
      <c r="D127" s="6"/>
      <c r="F127" s="6"/>
      <c r="S127" s="41"/>
      <c r="AB127" s="46"/>
    </row>
    <row r="128" spans="2:28" s="5" customFormat="1">
      <c r="B128" s="6"/>
      <c r="C128" s="6"/>
      <c r="D128" s="6"/>
      <c r="F128" s="6"/>
      <c r="S128" s="41"/>
      <c r="AB128" s="46"/>
    </row>
    <row r="129" spans="2:28" s="5" customFormat="1">
      <c r="B129" s="6"/>
      <c r="C129" s="6"/>
      <c r="D129" s="6"/>
      <c r="F129" s="6"/>
      <c r="S129" s="41"/>
      <c r="AB129" s="46"/>
    </row>
    <row r="130" spans="2:28" s="5" customFormat="1">
      <c r="B130" s="6"/>
      <c r="C130" s="6"/>
      <c r="D130" s="6"/>
      <c r="F130" s="6"/>
      <c r="S130" s="41"/>
      <c r="AB130" s="46"/>
    </row>
    <row r="131" spans="2:28" s="5" customFormat="1">
      <c r="B131" s="6"/>
      <c r="C131" s="6"/>
      <c r="D131" s="6"/>
      <c r="F131" s="6"/>
      <c r="S131" s="41"/>
      <c r="AB131" s="46"/>
    </row>
    <row r="132" spans="2:28" s="5" customFormat="1">
      <c r="B132" s="6"/>
      <c r="C132" s="6"/>
      <c r="D132" s="6"/>
      <c r="F132" s="6"/>
      <c r="S132" s="41"/>
      <c r="AB132" s="46"/>
    </row>
    <row r="133" spans="2:28" s="5" customFormat="1">
      <c r="B133" s="6"/>
      <c r="C133" s="6"/>
      <c r="D133" s="6"/>
      <c r="F133" s="6"/>
      <c r="S133" s="41"/>
      <c r="AB133" s="46"/>
    </row>
    <row r="134" spans="2:28" s="5" customFormat="1">
      <c r="B134" s="6"/>
      <c r="C134" s="6"/>
      <c r="D134" s="6"/>
      <c r="F134" s="6"/>
      <c r="S134" s="41"/>
      <c r="AB134" s="46"/>
    </row>
    <row r="135" spans="2:28" s="5" customFormat="1">
      <c r="B135" s="6"/>
      <c r="C135" s="6"/>
      <c r="D135" s="6"/>
      <c r="F135" s="6"/>
      <c r="S135" s="41"/>
      <c r="AB135" s="46"/>
    </row>
    <row r="136" spans="2:28" s="5" customFormat="1">
      <c r="B136" s="6"/>
      <c r="C136" s="6"/>
      <c r="D136" s="6"/>
      <c r="F136" s="6"/>
      <c r="S136" s="41"/>
      <c r="AB136" s="46"/>
    </row>
    <row r="137" spans="2:28" s="5" customFormat="1">
      <c r="B137" s="6"/>
      <c r="C137" s="6"/>
      <c r="D137" s="6"/>
      <c r="F137" s="6"/>
      <c r="S137" s="41"/>
      <c r="AB137" s="46"/>
    </row>
    <row r="138" spans="2:28" s="5" customFormat="1">
      <c r="B138" s="6"/>
      <c r="C138" s="6"/>
      <c r="D138" s="6"/>
      <c r="F138" s="6"/>
      <c r="S138" s="41"/>
      <c r="AB138" s="46"/>
    </row>
    <row r="139" spans="2:28" s="5" customFormat="1">
      <c r="B139" s="6"/>
      <c r="C139" s="6"/>
      <c r="D139" s="6"/>
      <c r="F139" s="6"/>
      <c r="S139" s="41"/>
      <c r="AB139" s="46"/>
    </row>
    <row r="140" spans="2:28" s="5" customFormat="1">
      <c r="B140" s="6"/>
      <c r="C140" s="6"/>
      <c r="D140" s="6"/>
      <c r="F140" s="6"/>
      <c r="S140" s="41"/>
      <c r="AB140" s="46"/>
    </row>
    <row r="141" spans="2:28" s="5" customFormat="1">
      <c r="B141" s="6"/>
      <c r="C141" s="6"/>
      <c r="D141" s="6"/>
      <c r="F141" s="6"/>
      <c r="S141" s="41"/>
      <c r="AB141" s="46"/>
    </row>
    <row r="142" spans="2:28" s="5" customFormat="1">
      <c r="B142" s="6"/>
      <c r="C142" s="6"/>
      <c r="D142" s="6"/>
      <c r="F142" s="6"/>
      <c r="S142" s="41"/>
      <c r="AB142" s="46"/>
    </row>
    <row r="143" spans="2:28" s="5" customFormat="1">
      <c r="B143" s="6"/>
      <c r="C143" s="6"/>
      <c r="D143" s="6"/>
      <c r="F143" s="6"/>
      <c r="S143" s="41"/>
      <c r="AB143" s="46"/>
    </row>
    <row r="144" spans="2:28" s="5" customFormat="1">
      <c r="B144" s="6"/>
      <c r="C144" s="6"/>
      <c r="D144" s="6"/>
      <c r="F144" s="6"/>
      <c r="S144" s="41"/>
      <c r="AB144" s="46"/>
    </row>
    <row r="145" spans="2:28" s="5" customFormat="1">
      <c r="B145" s="6"/>
      <c r="C145" s="6"/>
      <c r="D145" s="6"/>
      <c r="F145" s="6"/>
      <c r="S145" s="41"/>
      <c r="AB145" s="46"/>
    </row>
    <row r="146" spans="2:28" s="5" customFormat="1">
      <c r="B146" s="6"/>
      <c r="C146" s="6"/>
      <c r="D146" s="6"/>
      <c r="F146" s="6"/>
      <c r="S146" s="41"/>
      <c r="AB146" s="46"/>
    </row>
    <row r="147" spans="2:28" s="5" customFormat="1">
      <c r="B147" s="6"/>
      <c r="C147" s="6"/>
      <c r="D147" s="6"/>
      <c r="F147" s="6"/>
      <c r="S147" s="41"/>
      <c r="AB147" s="46"/>
    </row>
    <row r="148" spans="2:28" s="5" customFormat="1">
      <c r="B148" s="6"/>
      <c r="C148" s="6"/>
      <c r="D148" s="6"/>
      <c r="F148" s="6"/>
      <c r="S148" s="41"/>
      <c r="AB148" s="46"/>
    </row>
    <row r="149" spans="2:28" s="5" customFormat="1">
      <c r="B149" s="6"/>
      <c r="C149" s="6"/>
      <c r="D149" s="6"/>
      <c r="F149" s="6"/>
      <c r="S149" s="41"/>
      <c r="AB149" s="46"/>
    </row>
    <row r="150" spans="2:28" s="5" customFormat="1">
      <c r="B150" s="6"/>
      <c r="C150" s="6"/>
      <c r="D150" s="6"/>
      <c r="F150" s="6"/>
      <c r="S150" s="41"/>
      <c r="AB150" s="46"/>
    </row>
    <row r="151" spans="2:28" s="5" customFormat="1">
      <c r="B151" s="6"/>
      <c r="C151" s="6"/>
      <c r="D151" s="6"/>
      <c r="F151" s="6"/>
      <c r="S151" s="41"/>
      <c r="AB151" s="46"/>
    </row>
    <row r="152" spans="2:28" s="5" customFormat="1">
      <c r="B152" s="6"/>
      <c r="C152" s="6"/>
      <c r="D152" s="6"/>
      <c r="F152" s="6"/>
      <c r="S152" s="41"/>
      <c r="AB152" s="46"/>
    </row>
    <row r="153" spans="2:28" s="5" customFormat="1">
      <c r="B153" s="6"/>
      <c r="C153" s="6"/>
      <c r="D153" s="6"/>
      <c r="F153" s="6"/>
      <c r="S153" s="41"/>
      <c r="AB153" s="46"/>
    </row>
    <row r="154" spans="2:28" s="5" customFormat="1">
      <c r="B154" s="6"/>
      <c r="C154" s="6"/>
      <c r="D154" s="6"/>
      <c r="F154" s="6"/>
      <c r="S154" s="41"/>
      <c r="AB154" s="46"/>
    </row>
    <row r="155" spans="2:28" s="5" customFormat="1">
      <c r="B155" s="6"/>
      <c r="C155" s="6"/>
      <c r="D155" s="6"/>
      <c r="F155" s="6"/>
      <c r="S155" s="41"/>
      <c r="AB155" s="46"/>
    </row>
    <row r="156" spans="2:28" s="5" customFormat="1">
      <c r="B156" s="6"/>
      <c r="C156" s="6"/>
      <c r="D156" s="6"/>
      <c r="F156" s="6"/>
      <c r="S156" s="41"/>
      <c r="AB156" s="46"/>
    </row>
    <row r="157" spans="2:28" s="5" customFormat="1">
      <c r="B157" s="6"/>
      <c r="C157" s="6"/>
      <c r="D157" s="6"/>
      <c r="F157" s="6"/>
      <c r="S157" s="41"/>
      <c r="AB157" s="46"/>
    </row>
    <row r="158" spans="2:28" s="5" customFormat="1">
      <c r="B158" s="6"/>
      <c r="C158" s="6"/>
      <c r="D158" s="6"/>
      <c r="F158" s="6"/>
      <c r="S158" s="41"/>
      <c r="AB158" s="46"/>
    </row>
    <row r="159" spans="2:28" s="5" customFormat="1">
      <c r="B159" s="6"/>
      <c r="C159" s="6"/>
      <c r="D159" s="6"/>
      <c r="F159" s="6"/>
      <c r="S159" s="41"/>
      <c r="AB159" s="46"/>
    </row>
    <row r="160" spans="2:28" s="5" customFormat="1">
      <c r="B160" s="6"/>
      <c r="C160" s="6"/>
      <c r="D160" s="6"/>
      <c r="F160" s="6"/>
      <c r="S160" s="41"/>
      <c r="AB160" s="46"/>
    </row>
    <row r="161" spans="2:28" s="5" customFormat="1">
      <c r="B161" s="6"/>
      <c r="C161" s="6"/>
      <c r="D161" s="6"/>
      <c r="F161" s="6"/>
      <c r="S161" s="41"/>
      <c r="AB161" s="46"/>
    </row>
    <row r="162" spans="2:28" s="5" customFormat="1">
      <c r="B162" s="6"/>
      <c r="C162" s="6"/>
      <c r="D162" s="6"/>
      <c r="F162" s="6"/>
      <c r="S162" s="41"/>
      <c r="AB162" s="46"/>
    </row>
    <row r="163" spans="2:28" s="5" customFormat="1">
      <c r="B163" s="6"/>
      <c r="C163" s="6"/>
      <c r="D163" s="6"/>
      <c r="F163" s="6"/>
      <c r="S163" s="41"/>
      <c r="AB163" s="46"/>
    </row>
    <row r="164" spans="2:28" s="5" customFormat="1">
      <c r="B164" s="6"/>
      <c r="C164" s="6"/>
      <c r="D164" s="6"/>
      <c r="F164" s="6"/>
      <c r="S164" s="41"/>
      <c r="AB164" s="46"/>
    </row>
    <row r="165" spans="2:28" s="5" customFormat="1">
      <c r="B165" s="6"/>
      <c r="C165" s="6"/>
      <c r="D165" s="6"/>
      <c r="F165" s="6"/>
      <c r="S165" s="41"/>
      <c r="AB165" s="46"/>
    </row>
    <row r="166" spans="2:28" s="5" customFormat="1">
      <c r="B166" s="6"/>
      <c r="C166" s="6"/>
      <c r="D166" s="6"/>
      <c r="F166" s="6"/>
      <c r="S166" s="41"/>
      <c r="AB166" s="46"/>
    </row>
  </sheetData>
  <mergeCells count="5">
    <mergeCell ref="A2:AA2"/>
    <mergeCell ref="A6:A8"/>
    <mergeCell ref="B6:AA6"/>
    <mergeCell ref="B7:N7"/>
    <mergeCell ref="O7:AA7"/>
  </mergeCells>
  <phoneticPr fontId="110" type="noConversion"/>
  <pageMargins left="0.7" right="0.7" top="0.75" bottom="0.75" header="0.3" footer="0.3"/>
  <pageSetup paperSize="9" scale="28"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AB159"/>
  <sheetViews>
    <sheetView workbookViewId="0"/>
  </sheetViews>
  <sheetFormatPr defaultColWidth="9.33203125" defaultRowHeight="12.4"/>
  <cols>
    <col min="1" max="1" width="12.1640625" style="1" customWidth="1"/>
    <col min="2" max="2" width="23.1640625" style="3" customWidth="1"/>
    <col min="3" max="3" width="25" style="3" customWidth="1"/>
    <col min="4" max="4" width="23.6640625" style="3" customWidth="1"/>
    <col min="5" max="5" width="24.83203125" style="1" customWidth="1"/>
    <col min="6" max="6" width="25" style="1" customWidth="1"/>
    <col min="7" max="7" width="24.1640625" style="1" customWidth="1"/>
    <col min="8" max="8" width="24" style="1" customWidth="1"/>
    <col min="9" max="9" width="25.5" style="1" customWidth="1"/>
    <col min="10" max="10" width="23.5" style="1" customWidth="1"/>
    <col min="11" max="11" width="22.5" style="1" customWidth="1"/>
    <col min="12" max="13" width="24.5" style="1" customWidth="1"/>
    <col min="14" max="14" width="27.1640625" style="1" customWidth="1"/>
    <col min="15" max="15" width="16.6640625" style="1" customWidth="1"/>
    <col min="16" max="16" width="19.83203125" style="1" customWidth="1"/>
    <col min="17" max="17" width="20.1640625" style="1" customWidth="1"/>
    <col min="18" max="18" width="19.6640625" style="1" customWidth="1"/>
    <col min="19" max="19" width="20.5" style="1" customWidth="1"/>
    <col min="20" max="20" width="19.83203125" style="1" customWidth="1"/>
    <col min="21" max="22" width="20.1640625" style="1" customWidth="1"/>
    <col min="23" max="23" width="20.33203125" style="1" customWidth="1"/>
    <col min="24" max="24" width="19.5" style="1" customWidth="1"/>
    <col min="25" max="25" width="21.1640625" style="1" customWidth="1"/>
    <col min="26" max="26" width="19.1640625" style="1" customWidth="1"/>
    <col min="27" max="27" width="24.5" style="1" customWidth="1"/>
    <col min="28" max="28" width="9.33203125" style="26" customWidth="1"/>
    <col min="29" max="16384" width="9.33203125" style="1"/>
  </cols>
  <sheetData>
    <row r="1" spans="1:28" s="5" customFormat="1" ht="24" customHeight="1">
      <c r="A1" s="21" t="s">
        <v>16</v>
      </c>
      <c r="B1" s="6"/>
      <c r="C1" s="6"/>
      <c r="D1" s="6"/>
      <c r="AB1" s="22"/>
    </row>
    <row r="2" spans="1:28" s="5" customFormat="1" ht="30.75" customHeight="1">
      <c r="A2" s="438" t="s">
        <v>17</v>
      </c>
      <c r="B2" s="438"/>
      <c r="C2" s="438"/>
      <c r="D2" s="438"/>
      <c r="E2" s="438"/>
      <c r="F2" s="438"/>
      <c r="G2" s="438"/>
      <c r="H2" s="438"/>
      <c r="I2" s="438"/>
      <c r="J2" s="438"/>
      <c r="K2" s="438"/>
      <c r="L2" s="438"/>
      <c r="M2" s="438"/>
      <c r="N2" s="438"/>
      <c r="O2" s="438"/>
      <c r="P2" s="438"/>
      <c r="Q2" s="438"/>
      <c r="R2" s="438"/>
      <c r="S2" s="438"/>
      <c r="T2" s="438"/>
      <c r="U2" s="438"/>
      <c r="V2" s="438"/>
      <c r="W2" s="438"/>
      <c r="X2" s="438"/>
      <c r="Y2" s="438"/>
      <c r="Z2" s="438"/>
      <c r="AA2" s="438"/>
      <c r="AB2" s="22"/>
    </row>
    <row r="3" spans="1:28" s="5" customFormat="1">
      <c r="B3" s="7"/>
      <c r="C3" s="7"/>
      <c r="D3" s="7"/>
      <c r="E3" s="7"/>
      <c r="F3" s="7"/>
      <c r="G3" s="7"/>
      <c r="H3" s="7"/>
      <c r="I3" s="7"/>
      <c r="J3" s="7"/>
      <c r="K3" s="7"/>
      <c r="L3" s="7"/>
      <c r="M3" s="18" t="s">
        <v>12</v>
      </c>
      <c r="N3" s="36">
        <f>IFERROR(N15/N10,0)</f>
        <v>0</v>
      </c>
      <c r="O3" s="8"/>
      <c r="P3" s="8"/>
      <c r="Q3" s="8"/>
      <c r="R3" s="8"/>
      <c r="Z3" s="18" t="s">
        <v>12</v>
      </c>
      <c r="AA3" s="19">
        <f>IFERROR(AA15/AA10,0)</f>
        <v>0</v>
      </c>
      <c r="AB3" s="22"/>
    </row>
    <row r="4" spans="1:28" s="5" customFormat="1">
      <c r="B4" s="7"/>
      <c r="C4" s="7"/>
      <c r="D4" s="7"/>
      <c r="E4" s="7"/>
      <c r="F4" s="7"/>
      <c r="G4" s="7"/>
      <c r="H4" s="7"/>
      <c r="I4" s="7"/>
      <c r="J4" s="7"/>
      <c r="K4" s="7"/>
      <c r="L4" s="7"/>
      <c r="M4" s="18" t="s">
        <v>13</v>
      </c>
      <c r="N4" s="36">
        <f t="shared" ref="N4" si="0">IFERROR(N17/N12,0)</f>
        <v>0.90909999999647129</v>
      </c>
      <c r="O4" s="8"/>
      <c r="P4" s="8"/>
      <c r="Q4" s="8"/>
      <c r="R4" s="8"/>
      <c r="Z4" s="18" t="s">
        <v>13</v>
      </c>
      <c r="AA4" s="19">
        <f t="shared" ref="AA4" si="1">IFERROR(AA17/AA12,0)</f>
        <v>0.90910000070462182</v>
      </c>
      <c r="AB4" s="22"/>
    </row>
    <row r="5" spans="1:28" s="5" customFormat="1">
      <c r="B5" s="7"/>
      <c r="C5" s="7"/>
      <c r="D5" s="7"/>
      <c r="E5" s="7"/>
      <c r="F5" s="7"/>
      <c r="G5" s="7"/>
      <c r="H5" s="7"/>
      <c r="I5" s="7"/>
      <c r="J5" s="7"/>
      <c r="K5" s="7"/>
      <c r="L5" s="7"/>
      <c r="M5" s="18" t="s">
        <v>14</v>
      </c>
      <c r="N5" s="36">
        <f t="shared" ref="N5" si="2">IFERROR(N18/N13,0)</f>
        <v>0</v>
      </c>
      <c r="O5" s="8"/>
      <c r="P5" s="8"/>
      <c r="Q5" s="8"/>
      <c r="R5" s="8"/>
      <c r="Z5" s="18" t="s">
        <v>14</v>
      </c>
      <c r="AA5" s="19">
        <f t="shared" ref="AA5" si="3">IFERROR(AA18/AA13,0)</f>
        <v>0</v>
      </c>
      <c r="AB5" s="22"/>
    </row>
    <row r="6" spans="1:28" s="10" customFormat="1" ht="39" customHeight="1">
      <c r="A6" s="427" t="s">
        <v>2</v>
      </c>
      <c r="B6" s="439">
        <v>2018</v>
      </c>
      <c r="C6" s="439"/>
      <c r="D6" s="439"/>
      <c r="E6" s="439"/>
      <c r="F6" s="439"/>
      <c r="G6" s="439"/>
      <c r="H6" s="439"/>
      <c r="I6" s="439"/>
      <c r="J6" s="439"/>
      <c r="K6" s="439"/>
      <c r="L6" s="439"/>
      <c r="M6" s="439"/>
      <c r="N6" s="439"/>
      <c r="O6" s="439"/>
      <c r="P6" s="439"/>
      <c r="Q6" s="439"/>
      <c r="R6" s="439"/>
      <c r="S6" s="439"/>
      <c r="T6" s="439"/>
      <c r="U6" s="439"/>
      <c r="V6" s="439"/>
      <c r="W6" s="439"/>
      <c r="X6" s="439"/>
      <c r="Y6" s="439"/>
      <c r="Z6" s="439"/>
      <c r="AA6" s="439"/>
      <c r="AB6" s="23"/>
    </row>
    <row r="7" spans="1:28" s="11" customFormat="1" ht="39" customHeight="1">
      <c r="A7" s="428"/>
      <c r="B7" s="432" t="s">
        <v>5</v>
      </c>
      <c r="C7" s="433"/>
      <c r="D7" s="433"/>
      <c r="E7" s="433"/>
      <c r="F7" s="433"/>
      <c r="G7" s="433"/>
      <c r="H7" s="433"/>
      <c r="I7" s="433"/>
      <c r="J7" s="433"/>
      <c r="K7" s="433"/>
      <c r="L7" s="433"/>
      <c r="M7" s="433"/>
      <c r="N7" s="435"/>
      <c r="O7" s="432" t="s">
        <v>6</v>
      </c>
      <c r="P7" s="433"/>
      <c r="Q7" s="433"/>
      <c r="R7" s="433"/>
      <c r="S7" s="433"/>
      <c r="T7" s="433"/>
      <c r="U7" s="433"/>
      <c r="V7" s="433"/>
      <c r="W7" s="433"/>
      <c r="X7" s="433"/>
      <c r="Y7" s="433"/>
      <c r="Z7" s="433"/>
      <c r="AA7" s="435"/>
      <c r="AB7" s="24"/>
    </row>
    <row r="8" spans="1:28" s="11" customFormat="1" ht="39" customHeight="1">
      <c r="A8" s="429"/>
      <c r="B8" s="2">
        <v>43101</v>
      </c>
      <c r="C8" s="2">
        <v>43132</v>
      </c>
      <c r="D8" s="2">
        <v>43160</v>
      </c>
      <c r="E8" s="2">
        <v>43191</v>
      </c>
      <c r="F8" s="2">
        <v>43221</v>
      </c>
      <c r="G8" s="2">
        <v>43252</v>
      </c>
      <c r="H8" s="2">
        <v>43282</v>
      </c>
      <c r="I8" s="2">
        <v>43313</v>
      </c>
      <c r="J8" s="2">
        <v>43344</v>
      </c>
      <c r="K8" s="2">
        <v>43374</v>
      </c>
      <c r="L8" s="2">
        <v>43405</v>
      </c>
      <c r="M8" s="2">
        <v>43435</v>
      </c>
      <c r="N8" s="4" t="s">
        <v>8</v>
      </c>
      <c r="O8" s="2">
        <v>43101</v>
      </c>
      <c r="P8" s="2">
        <v>43132</v>
      </c>
      <c r="Q8" s="2">
        <v>43160</v>
      </c>
      <c r="R8" s="2">
        <v>43191</v>
      </c>
      <c r="S8" s="2">
        <v>43221</v>
      </c>
      <c r="T8" s="2">
        <v>43252</v>
      </c>
      <c r="U8" s="2">
        <v>43282</v>
      </c>
      <c r="V8" s="2">
        <v>43313</v>
      </c>
      <c r="W8" s="2">
        <v>43344</v>
      </c>
      <c r="X8" s="2">
        <v>43374</v>
      </c>
      <c r="Y8" s="2">
        <v>43405</v>
      </c>
      <c r="Z8" s="2">
        <v>43435</v>
      </c>
      <c r="AA8" s="4" t="s">
        <v>7</v>
      </c>
      <c r="AB8" s="24"/>
    </row>
    <row r="9" spans="1:28" s="14" customFormat="1" ht="39" customHeight="1">
      <c r="A9" s="32" t="s">
        <v>3</v>
      </c>
      <c r="B9" s="12">
        <f t="shared" ref="B9:H9" si="4">B10+B11+B13+B12</f>
        <v>4682925247</v>
      </c>
      <c r="C9" s="12" t="e">
        <f t="shared" si="4"/>
        <v>#REF!</v>
      </c>
      <c r="D9" s="12" t="e">
        <f t="shared" si="4"/>
        <v>#REF!</v>
      </c>
      <c r="E9" s="12">
        <f t="shared" si="4"/>
        <v>79930517016</v>
      </c>
      <c r="F9" s="12">
        <f t="shared" si="4"/>
        <v>73244403113</v>
      </c>
      <c r="G9" s="12">
        <f t="shared" si="4"/>
        <v>86532518874</v>
      </c>
      <c r="H9" s="12">
        <f t="shared" si="4"/>
        <v>91361249883</v>
      </c>
      <c r="I9" s="12">
        <f>I10+I11+I13+I12</f>
        <v>78228497161</v>
      </c>
      <c r="J9" s="12">
        <f t="shared" ref="J9:M9" si="5">J10+J11+J13+J12</f>
        <v>56290324522</v>
      </c>
      <c r="K9" s="12">
        <f t="shared" si="5"/>
        <v>75505176037</v>
      </c>
      <c r="L9" s="12">
        <f t="shared" si="5"/>
        <v>68511920146</v>
      </c>
      <c r="M9" s="12">
        <f t="shared" si="5"/>
        <v>162737032647.20001</v>
      </c>
      <c r="N9" s="27" t="e">
        <f>SUM(B9:M9)</f>
        <v>#REF!</v>
      </c>
      <c r="O9" s="13">
        <f>O10+O11+O13</f>
        <v>206842.98794169613</v>
      </c>
      <c r="P9" s="13" t="e">
        <f>P10+P11+P13</f>
        <v>#REF!</v>
      </c>
      <c r="Q9" s="13" t="e">
        <f>Q10+Q11+Q13+Q12</f>
        <v>#REF!</v>
      </c>
      <c r="R9" s="13">
        <f t="shared" ref="R9:Z9" si="6">R10+R11+R13+R12</f>
        <v>3521168.15</v>
      </c>
      <c r="S9" s="13">
        <f t="shared" si="6"/>
        <v>3202641.15</v>
      </c>
      <c r="T9" s="13">
        <f t="shared" si="6"/>
        <v>3776239.1</v>
      </c>
      <c r="U9" s="13">
        <f t="shared" si="6"/>
        <v>3932052.9299999997</v>
      </c>
      <c r="V9" s="13">
        <f t="shared" si="6"/>
        <v>3365390.2800000003</v>
      </c>
      <c r="W9" s="13">
        <f>W10+W11+W13+W12</f>
        <v>2418488.7000000002</v>
      </c>
      <c r="X9" s="13">
        <f t="shared" si="6"/>
        <v>3241956.8899999997</v>
      </c>
      <c r="Y9" s="13">
        <f t="shared" si="6"/>
        <v>2946749.26</v>
      </c>
      <c r="Z9" s="13">
        <f t="shared" si="6"/>
        <v>7034235.2559844395</v>
      </c>
      <c r="AA9" s="30" t="e">
        <f t="shared" ref="AA9" si="7">AA10+AA11+AA13+AA12</f>
        <v>#REF!</v>
      </c>
      <c r="AB9" s="25" t="e">
        <f>AA9-'[28]IS (01)'!$G$6</f>
        <v>#REF!</v>
      </c>
    </row>
    <row r="10" spans="1:28" s="10" customFormat="1" ht="39" customHeight="1">
      <c r="A10" s="33" t="s">
        <v>4</v>
      </c>
      <c r="B10" s="15">
        <f>4670171406</f>
        <v>4670171406</v>
      </c>
      <c r="C10" s="15">
        <v>47430900943</v>
      </c>
      <c r="D10" s="15">
        <v>25144914531</v>
      </c>
      <c r="E10" s="15">
        <f>'[29]IS (01)'!$K$7</f>
        <v>52571320375</v>
      </c>
      <c r="F10" s="15">
        <v>46435668353</v>
      </c>
      <c r="G10" s="15">
        <v>44638200768</v>
      </c>
      <c r="H10" s="20">
        <v>39757680802</v>
      </c>
      <c r="I10" s="16">
        <f>'[30]Estimate Revenue'!$H$7</f>
        <v>31330306581</v>
      </c>
      <c r="J10" s="20">
        <f>'[31]Estimate Revenue'!$H$7</f>
        <v>31854817930</v>
      </c>
      <c r="K10" s="20">
        <f>'[32]Estimate Revenue'!$H$7</f>
        <v>35926033758</v>
      </c>
      <c r="L10" s="20">
        <f>'[33]Estimate Revenue'!$H$7</f>
        <v>37605881740</v>
      </c>
      <c r="M10" s="16">
        <v>63648521000</v>
      </c>
      <c r="N10" s="28">
        <f>SUM(B10:M10)</f>
        <v>461014418187</v>
      </c>
      <c r="O10" s="17">
        <f>B10/$O$19</f>
        <v>206279.65574204948</v>
      </c>
      <c r="P10" s="17">
        <f>C10/$P$19</f>
        <v>2090387.8776112825</v>
      </c>
      <c r="Q10" s="17">
        <f>D10/$Q$19</f>
        <v>1106730.3930897887</v>
      </c>
      <c r="R10" s="17">
        <f>ROUND(E10/$R$19,2)</f>
        <v>2315917.2000000002</v>
      </c>
      <c r="S10" s="17">
        <f>ROUND(F10/$S$19,2)</f>
        <v>2030418.38</v>
      </c>
      <c r="T10" s="17">
        <f>ROUND(G10/$T$19,2)+0.01</f>
        <v>1947990.44</v>
      </c>
      <c r="U10" s="17">
        <f>ROUND(H10/$U$19,2)</f>
        <v>1711111.72</v>
      </c>
      <c r="V10" s="17">
        <f>ROUND(I10/$V$19,2)</f>
        <v>1347829.92</v>
      </c>
      <c r="W10" s="17">
        <f>ROUND(J10/$W$19,2)</f>
        <v>1368628.05</v>
      </c>
      <c r="X10" s="17">
        <f>ROUND(K10/$X$19,2)</f>
        <v>1542551.9</v>
      </c>
      <c r="Y10" s="17">
        <f>ROUND(L10/$Y$19,2)</f>
        <v>1617457.28</v>
      </c>
      <c r="Z10" s="17">
        <f>M10/$Z$19</f>
        <v>2751178.7767451913</v>
      </c>
      <c r="AA10" s="31">
        <f t="shared" ref="AA10:AA18" si="8">SUM(O10:Z10)</f>
        <v>20036481.593188316</v>
      </c>
      <c r="AB10" s="23"/>
    </row>
    <row r="11" spans="1:28" s="10" customFormat="1" ht="39" customHeight="1">
      <c r="A11" s="33" t="s">
        <v>1</v>
      </c>
      <c r="B11" s="15">
        <v>12753841</v>
      </c>
      <c r="C11" s="15" t="e">
        <f>GETPIVOTDATA("Phát sinh nợ",#REF!,"Ngày ct",DATE(2018,2,28),"Tài khoản","51131","Mã vụ việc","SITE02")</f>
        <v>#REF!</v>
      </c>
      <c r="D11" s="15" t="e">
        <f>GETPIVOTDATA("Phát sinh nợ",#REF!,"Ngày ct",DATE(2018,3,31),"Tài khoản","51131","Mã vụ việc","SITE02")</f>
        <v>#REF!</v>
      </c>
      <c r="E11" s="15">
        <f>'[29]IS (01)'!$K$8</f>
        <v>1153025717</v>
      </c>
      <c r="F11" s="15">
        <v>889590561</v>
      </c>
      <c r="G11" s="15">
        <v>944762277</v>
      </c>
      <c r="H11" s="20">
        <v>828203167</v>
      </c>
      <c r="I11" s="16">
        <f>'[30]Estimate Revenue'!$H$11</f>
        <v>847297928</v>
      </c>
      <c r="J11" s="20">
        <f>'[31]Estimate Revenue'!$H$11</f>
        <v>849961633</v>
      </c>
      <c r="K11" s="20">
        <f>'[32]Estimate Revenue'!$H$11</f>
        <v>869416812</v>
      </c>
      <c r="L11" s="20">
        <f>'[33]Estimate Revenue'!$H$11</f>
        <v>843946311</v>
      </c>
      <c r="M11" s="16">
        <v>1583369056.2</v>
      </c>
      <c r="N11" s="28" t="e">
        <f t="shared" ref="N11:N13" si="9">SUM(B11:M11)</f>
        <v>#REF!</v>
      </c>
      <c r="O11" s="17">
        <f t="shared" ref="O11:O16" si="10">B11/$O$19</f>
        <v>563.33219964664306</v>
      </c>
      <c r="P11" s="17" t="e">
        <f t="shared" ref="P11:P13" si="11">C11/$P$19</f>
        <v>#REF!</v>
      </c>
      <c r="Q11" s="17" t="e">
        <f t="shared" ref="Q11:Q18" si="12">D11/$Q$19</f>
        <v>#REF!</v>
      </c>
      <c r="R11" s="17">
        <f t="shared" ref="R11:R13" si="13">ROUND(E11/$R$19,2)</f>
        <v>50794.080000000002</v>
      </c>
      <c r="S11" s="17">
        <f t="shared" ref="S11:S17" si="14">ROUND(F11/$S$19,2)</f>
        <v>38897.71</v>
      </c>
      <c r="T11" s="17">
        <f t="shared" ref="T11:T13" si="15">ROUND(G11/$T$19,2)</f>
        <v>41228.99</v>
      </c>
      <c r="U11" s="17">
        <f t="shared" ref="U11:V13" si="16">ROUND(H11/$U$19,2)</f>
        <v>35644.639999999999</v>
      </c>
      <c r="V11" s="17">
        <f t="shared" ref="V11:V17" si="17">ROUND(I11/$V$19,2)</f>
        <v>36450.76</v>
      </c>
      <c r="W11" s="17">
        <f>ROUND(J11/$W$19,2)</f>
        <v>36518.22</v>
      </c>
      <c r="X11" s="17">
        <f t="shared" ref="X11:X12" si="18">ROUND(K11/$X$19,2)</f>
        <v>37330.050000000003</v>
      </c>
      <c r="Y11" s="17">
        <f t="shared" ref="Y11:Y12" si="19">ROUND(L11/$Y$19,2)</f>
        <v>36298.769999999997</v>
      </c>
      <c r="Z11" s="17">
        <f t="shared" ref="Z11:Z12" si="20">M11/$Z$19</f>
        <v>68440.417384914632</v>
      </c>
      <c r="AA11" s="31" t="e">
        <f t="shared" si="8"/>
        <v>#REF!</v>
      </c>
      <c r="AB11" s="23"/>
    </row>
    <row r="12" spans="1:28" s="10" customFormat="1" ht="39" customHeight="1">
      <c r="A12" s="33" t="s">
        <v>11</v>
      </c>
      <c r="B12" s="16">
        <v>0</v>
      </c>
      <c r="C12" s="16">
        <v>0</v>
      </c>
      <c r="D12" s="15">
        <v>16363815438</v>
      </c>
      <c r="E12" s="15">
        <f>'[29]IS (01)'!$K$9</f>
        <v>18955852163</v>
      </c>
      <c r="F12" s="15">
        <v>25919144199</v>
      </c>
      <c r="G12" s="15">
        <v>36804864231</v>
      </c>
      <c r="H12" s="20">
        <v>50775365914</v>
      </c>
      <c r="I12" s="16">
        <f>'[30]Estimate Revenue'!$H$8</f>
        <v>46050892652</v>
      </c>
      <c r="J12" s="20">
        <f>'[31]Estimate Revenue'!$H$8</f>
        <v>18390582573</v>
      </c>
      <c r="K12" s="20">
        <f>'[32]Estimate Revenue'!$H$8</f>
        <v>38709725467</v>
      </c>
      <c r="L12" s="20">
        <f>'[33]Estimate Revenue'!$H$8</f>
        <v>30062092095</v>
      </c>
      <c r="M12" s="16">
        <v>97505142591</v>
      </c>
      <c r="N12" s="28">
        <f t="shared" si="9"/>
        <v>379537477323</v>
      </c>
      <c r="O12" s="16">
        <v>0</v>
      </c>
      <c r="P12" s="16">
        <v>0</v>
      </c>
      <c r="Q12" s="17">
        <f t="shared" si="12"/>
        <v>720238.35554577468</v>
      </c>
      <c r="R12" s="17">
        <f t="shared" si="13"/>
        <v>835059.57</v>
      </c>
      <c r="S12" s="17">
        <f t="shared" si="14"/>
        <v>1133325.06</v>
      </c>
      <c r="T12" s="17">
        <f t="shared" si="15"/>
        <v>1606147.25</v>
      </c>
      <c r="U12" s="17">
        <f t="shared" si="16"/>
        <v>2185296.5699999998</v>
      </c>
      <c r="V12" s="17">
        <f t="shared" si="17"/>
        <v>1981109.6</v>
      </c>
      <c r="W12" s="17">
        <f>ROUND(J12/$W$19,2)+0.01</f>
        <v>790143.19000000006</v>
      </c>
      <c r="X12" s="17">
        <f t="shared" si="18"/>
        <v>1662074.94</v>
      </c>
      <c r="Y12" s="17">
        <f t="shared" si="19"/>
        <v>1292993.21</v>
      </c>
      <c r="Z12" s="17">
        <f t="shared" si="20"/>
        <v>4214616.0618543336</v>
      </c>
      <c r="AA12" s="31">
        <f t="shared" si="8"/>
        <v>16421003.807400107</v>
      </c>
      <c r="AB12" s="23"/>
    </row>
    <row r="13" spans="1:28" s="10" customFormat="1" ht="39" customHeight="1">
      <c r="A13" s="33" t="s">
        <v>9</v>
      </c>
      <c r="B13" s="16">
        <v>0</v>
      </c>
      <c r="C13" s="15">
        <v>17288723733</v>
      </c>
      <c r="D13" s="15" t="e">
        <f>GETPIVOTDATA("Phát sinh nợ",#REF!,"Ngày ct",DATE(2018,3,31),"Tài khoản","51114","Mã vụ việc","SITE04")</f>
        <v>#REF!</v>
      </c>
      <c r="E13" s="15">
        <f>'[29]IS (01)'!$K$10</f>
        <v>7250318761</v>
      </c>
      <c r="F13" s="16">
        <v>0</v>
      </c>
      <c r="G13" s="16">
        <v>4144691598</v>
      </c>
      <c r="H13" s="16">
        <v>0</v>
      </c>
      <c r="I13" s="16">
        <v>0</v>
      </c>
      <c r="J13" s="20">
        <f>'[31]Estimate Revenue'!$H$9</f>
        <v>5194962386</v>
      </c>
      <c r="K13" s="16">
        <v>0</v>
      </c>
      <c r="L13" s="16">
        <v>0</v>
      </c>
      <c r="M13" s="16">
        <v>0</v>
      </c>
      <c r="N13" s="28" t="e">
        <f t="shared" si="9"/>
        <v>#REF!</v>
      </c>
      <c r="O13" s="16">
        <v>0</v>
      </c>
      <c r="P13" s="17">
        <f t="shared" si="11"/>
        <v>761953.44790656678</v>
      </c>
      <c r="Q13" s="17" t="e">
        <f t="shared" si="12"/>
        <v>#REF!</v>
      </c>
      <c r="R13" s="17">
        <f t="shared" si="13"/>
        <v>319397.3</v>
      </c>
      <c r="S13" s="16">
        <v>0</v>
      </c>
      <c r="T13" s="17">
        <f t="shared" si="15"/>
        <v>180872.42</v>
      </c>
      <c r="U13" s="16">
        <f t="shared" si="16"/>
        <v>0</v>
      </c>
      <c r="V13" s="16">
        <f t="shared" si="16"/>
        <v>0</v>
      </c>
      <c r="W13" s="17">
        <f>ROUND(J13/$W$19,2)</f>
        <v>223199.24</v>
      </c>
      <c r="X13" s="16">
        <f t="shared" ref="X13" si="21">ROUND(K13/$U$19,2)</f>
        <v>0</v>
      </c>
      <c r="Y13" s="16">
        <f t="shared" ref="Y13" si="22">ROUND(L13/$U$19,2)</f>
        <v>0</v>
      </c>
      <c r="Z13" s="17">
        <f>M13/$Z$19</f>
        <v>0</v>
      </c>
      <c r="AA13" s="31" t="e">
        <f t="shared" si="8"/>
        <v>#REF!</v>
      </c>
      <c r="AB13" s="23"/>
    </row>
    <row r="14" spans="1:28" s="14" customFormat="1" ht="39" customHeight="1">
      <c r="A14" s="32" t="s">
        <v>15</v>
      </c>
      <c r="B14" s="12" t="e">
        <f>B15+B16+B18+B17</f>
        <v>#REF!</v>
      </c>
      <c r="C14" s="12" t="e">
        <f t="shared" ref="C14:D14" si="23">C15+C16+C18+C17</f>
        <v>#REF!</v>
      </c>
      <c r="D14" s="12" t="e">
        <f t="shared" si="23"/>
        <v>#REF!</v>
      </c>
      <c r="E14" s="12">
        <f>E15+E16+E18+E17</f>
        <v>70181444615</v>
      </c>
      <c r="F14" s="12">
        <f>SUM(F15:F18)</f>
        <v>64844331681</v>
      </c>
      <c r="G14" s="12">
        <f>SUM(G15:G18)</f>
        <v>76748495919</v>
      </c>
      <c r="H14" s="12">
        <f t="shared" ref="H14:M14" si="24">SUM(H15:H18)</f>
        <v>81568780816</v>
      </c>
      <c r="I14" s="12">
        <f>SUM(I15:I18)</f>
        <v>69863717262</v>
      </c>
      <c r="J14" s="12">
        <f t="shared" si="24"/>
        <v>49749379534</v>
      </c>
      <c r="K14" s="12">
        <f t="shared" si="24"/>
        <v>66482757062</v>
      </c>
      <c r="L14" s="12">
        <f t="shared" si="24"/>
        <v>61631948395</v>
      </c>
      <c r="M14" s="12">
        <f t="shared" si="24"/>
        <v>145439706828</v>
      </c>
      <c r="N14" s="29" t="e">
        <f t="shared" ref="N14" si="25">SUM(B14:M14)</f>
        <v>#REF!</v>
      </c>
      <c r="O14" s="13" t="e">
        <f>O15+O16+O17+O18</f>
        <v>#REF!</v>
      </c>
      <c r="P14" s="13" t="e">
        <f t="shared" ref="P14" si="26">P15+P16+P17+P18</f>
        <v>#REF!</v>
      </c>
      <c r="Q14" s="13" t="e">
        <f>Q15+Q16+Q17+Q18</f>
        <v>#REF!</v>
      </c>
      <c r="R14" s="13">
        <f>R15+R16+R17+R18</f>
        <v>3091693.5953744496</v>
      </c>
      <c r="S14" s="13">
        <f>SUM(S15:S18)</f>
        <v>2835344.63</v>
      </c>
      <c r="T14" s="13">
        <f>SUM(T15:T18)</f>
        <v>3349268.8600000003</v>
      </c>
      <c r="U14" s="13">
        <f t="shared" ref="U14:Z14" si="27">SUM(U15:U18)</f>
        <v>3510599.5649999999</v>
      </c>
      <c r="V14" s="13">
        <f t="shared" si="27"/>
        <v>3005537.42</v>
      </c>
      <c r="W14" s="13">
        <f>SUM(W15:W18)</f>
        <v>2137459.91</v>
      </c>
      <c r="X14" s="13">
        <f t="shared" si="27"/>
        <v>2854562.34</v>
      </c>
      <c r="Y14" s="13">
        <f t="shared" si="27"/>
        <v>2650836.4900000002</v>
      </c>
      <c r="Z14" s="13">
        <f t="shared" si="27"/>
        <v>6286566.1045169653</v>
      </c>
      <c r="AA14" s="30" t="e">
        <f t="shared" si="8"/>
        <v>#REF!</v>
      </c>
      <c r="AB14" s="25" t="e">
        <f>AA14-'[28]IS (01)'!$G$13</f>
        <v>#REF!</v>
      </c>
    </row>
    <row r="15" spans="1:28" s="10" customFormat="1" ht="39" customHeight="1">
      <c r="A15" s="33" t="s">
        <v>4</v>
      </c>
      <c r="B15" s="15">
        <v>3952623946</v>
      </c>
      <c r="C15" s="15" t="e">
        <f>GETPIVOTDATA("Phát sinh nợ",#REF!,"Ngày ct",DATE(2018,2,28),"Tài khoản","632","Mã vụ việc","SITE01")</f>
        <v>#REF!</v>
      </c>
      <c r="D15" s="15">
        <v>21866017676</v>
      </c>
      <c r="E15" s="15">
        <v>45716020198</v>
      </c>
      <c r="F15" s="15">
        <v>40380457200</v>
      </c>
      <c r="G15" s="15">
        <v>38817379388</v>
      </c>
      <c r="H15" s="20">
        <v>34573279225</v>
      </c>
      <c r="I15" s="16">
        <f>'[30]Estimate Revenue'!$B$7</f>
        <v>27244834603</v>
      </c>
      <c r="J15" s="20">
        <f>'[34]09.2018'!$J$8</f>
        <v>27700949672</v>
      </c>
      <c r="K15" s="20">
        <f>'[32]Estimate Revenue'!$B$7</f>
        <v>31241278956</v>
      </c>
      <c r="L15" s="20">
        <f>'[33]Estimate Revenue'!$B$7</f>
        <v>32702074761</v>
      </c>
      <c r="M15" s="16">
        <v>55348753861</v>
      </c>
      <c r="N15" s="28" t="e">
        <f>SUM(B15:M15)</f>
        <v>#REF!</v>
      </c>
      <c r="O15" s="17">
        <f t="shared" si="10"/>
        <v>174585.86333922262</v>
      </c>
      <c r="P15" s="17" t="e">
        <f>C15/$P$19</f>
        <v>#REF!</v>
      </c>
      <c r="Q15" s="17">
        <f t="shared" si="12"/>
        <v>962412.74982394371</v>
      </c>
      <c r="R15" s="17">
        <f>E15/$R$19</f>
        <v>2013921.5946255506</v>
      </c>
      <c r="S15" s="17">
        <f t="shared" si="14"/>
        <v>1765651.82</v>
      </c>
      <c r="T15" s="17">
        <f>ROUND(G15/$T$19,2)+0.01</f>
        <v>1693972.49</v>
      </c>
      <c r="U15" s="17">
        <f>ROUND(H15/$U$19,2)+0.005</f>
        <v>1487982.7549999999</v>
      </c>
      <c r="V15" s="17">
        <f>ROUND(I15/$V$19,2)</f>
        <v>1172072.8999999999</v>
      </c>
      <c r="W15" s="17">
        <f>ROUND(J15/$W$19,2)</f>
        <v>1190158.95</v>
      </c>
      <c r="X15" s="17">
        <f t="shared" ref="X15:X17" si="28">ROUND(K15/$X$19,2)</f>
        <v>1341403.1299999999</v>
      </c>
      <c r="Y15" s="17">
        <f>ROUND(L15/$Y$19,2)</f>
        <v>1406540.85</v>
      </c>
      <c r="Z15" s="17">
        <f t="shared" ref="Z15:Z18" si="29">M15/$Z$19</f>
        <v>2392425.0642316835</v>
      </c>
      <c r="AA15" s="31" t="e">
        <f t="shared" si="8"/>
        <v>#REF!</v>
      </c>
      <c r="AB15" s="23"/>
    </row>
    <row r="16" spans="1:28" s="10" customFormat="1" ht="39" customHeight="1">
      <c r="A16" s="33" t="s">
        <v>1</v>
      </c>
      <c r="B16" s="15" t="e">
        <f>GETPIVOTDATA("Phát sinh nợ",#REF!,"Ngày ct",DATE(2018,1,31),"Tài khoản","632","Mã vụ việc","SITE02")</f>
        <v>#REF!</v>
      </c>
      <c r="C16" s="15" t="e">
        <f>GETPIVOTDATA("Phát sinh nợ",#REF!,"Ngày ct",DATE(2018,2,28),"Tài khoản","632","Mã vụ việc","SITE02")</f>
        <v>#REF!</v>
      </c>
      <c r="D16" s="15" t="e">
        <f>GETPIVOTDATA("Phát sinh nợ",#REF!,"Ngày ct",DATE(2018,3,31),"Tài khoản","632","Mã vụ việc","SITE02")</f>
        <v>#REF!</v>
      </c>
      <c r="E16" s="15">
        <v>927782021</v>
      </c>
      <c r="F16" s="15">
        <v>900780490</v>
      </c>
      <c r="G16" s="15">
        <v>867590645</v>
      </c>
      <c r="H16" s="20">
        <v>835616439</v>
      </c>
      <c r="I16" s="16">
        <f>'[30]Estimate Revenue'!$B$11</f>
        <v>754016149</v>
      </c>
      <c r="J16" s="20">
        <f>'[34]09.2018'!$J$9</f>
        <v>812011954</v>
      </c>
      <c r="K16" s="20">
        <f>'[32]Estimate Revenue'!$B$11</f>
        <v>50466684</v>
      </c>
      <c r="L16" s="20">
        <f>'[33]Estimate Revenue'!$B$11</f>
        <v>1600425710</v>
      </c>
      <c r="M16" s="16">
        <v>1449027838</v>
      </c>
      <c r="N16" s="28" t="e">
        <f t="shared" ref="N16:N18" si="30">SUM(B16:M16)</f>
        <v>#REF!</v>
      </c>
      <c r="O16" s="17" t="e">
        <f t="shared" si="10"/>
        <v>#REF!</v>
      </c>
      <c r="P16" s="17" t="e">
        <f t="shared" ref="P16:P18" si="31">C16/$P$19</f>
        <v>#REF!</v>
      </c>
      <c r="Q16" s="17" t="e">
        <f t="shared" si="12"/>
        <v>#REF!</v>
      </c>
      <c r="R16" s="17">
        <f t="shared" ref="R16:R18" si="32">E16/$R$19</f>
        <v>40871.454669603525</v>
      </c>
      <c r="S16" s="17">
        <f t="shared" si="14"/>
        <v>39386.99</v>
      </c>
      <c r="T16" s="17">
        <f t="shared" ref="T16:T18" si="33">ROUND(G16/$T$19,2)</f>
        <v>37861.25</v>
      </c>
      <c r="U16" s="17">
        <f t="shared" ref="U16:V18" si="34">ROUND(H16/$U$19,2)</f>
        <v>35963.69</v>
      </c>
      <c r="V16" s="17">
        <f t="shared" si="17"/>
        <v>32437.78</v>
      </c>
      <c r="W16" s="17">
        <f t="shared" ref="W16:W18" si="35">ROUND(J16/$W$19,2)</f>
        <v>34887.730000000003</v>
      </c>
      <c r="X16" s="17">
        <f t="shared" si="28"/>
        <v>2166.88</v>
      </c>
      <c r="Y16" s="17">
        <f t="shared" ref="Y16:Y17" si="36">ROUND(L16/$Y$19,2)</f>
        <v>68835.509999999995</v>
      </c>
      <c r="Z16" s="17">
        <f t="shared" si="29"/>
        <v>62633.57847417333</v>
      </c>
      <c r="AA16" s="31" t="e">
        <f t="shared" si="8"/>
        <v>#REF!</v>
      </c>
      <c r="AB16" s="23"/>
    </row>
    <row r="17" spans="1:28" s="10" customFormat="1" ht="39" customHeight="1">
      <c r="A17" s="33" t="s">
        <v>11</v>
      </c>
      <c r="B17" s="16">
        <v>0</v>
      </c>
      <c r="C17" s="16">
        <v>0</v>
      </c>
      <c r="D17" s="15">
        <v>14876344615</v>
      </c>
      <c r="E17" s="15">
        <v>17232765201</v>
      </c>
      <c r="F17" s="15">
        <v>23563093991</v>
      </c>
      <c r="G17" s="15">
        <v>33459302072</v>
      </c>
      <c r="H17" s="20">
        <v>46159885152</v>
      </c>
      <c r="I17" s="16">
        <f>'[30]Estimate Revenue'!$B$8</f>
        <v>41864866510</v>
      </c>
      <c r="J17" s="20">
        <f>'[34]09.2018'!$J$10</f>
        <v>16718878617</v>
      </c>
      <c r="K17" s="20">
        <f>'[32]Estimate Revenue'!$B$8</f>
        <v>35191011422</v>
      </c>
      <c r="L17" s="20">
        <f>'[33]Estimate Revenue'!$B$8</f>
        <v>27329447924</v>
      </c>
      <c r="M17" s="16">
        <v>88641925129</v>
      </c>
      <c r="N17" s="28">
        <f t="shared" si="30"/>
        <v>345037520633</v>
      </c>
      <c r="O17" s="16">
        <v>0</v>
      </c>
      <c r="P17" s="16">
        <v>0</v>
      </c>
      <c r="Q17" s="17">
        <f t="shared" si="12"/>
        <v>654768.68904049299</v>
      </c>
      <c r="R17" s="17">
        <f t="shared" si="32"/>
        <v>759152.65202643175</v>
      </c>
      <c r="S17" s="17">
        <f t="shared" si="14"/>
        <v>1030305.82</v>
      </c>
      <c r="T17" s="17">
        <f>ROUND(G17/$T$19,2)</f>
        <v>1460148.46</v>
      </c>
      <c r="U17" s="17">
        <f t="shared" si="34"/>
        <v>1986653.12</v>
      </c>
      <c r="V17" s="17">
        <f t="shared" si="17"/>
        <v>1801026.74</v>
      </c>
      <c r="W17" s="17">
        <f t="shared" si="35"/>
        <v>718319.17</v>
      </c>
      <c r="X17" s="17">
        <f t="shared" si="28"/>
        <v>1510992.33</v>
      </c>
      <c r="Y17" s="17">
        <f t="shared" si="36"/>
        <v>1175460.1299999999</v>
      </c>
      <c r="Z17" s="17">
        <f t="shared" si="29"/>
        <v>3831507.4618111085</v>
      </c>
      <c r="AA17" s="31">
        <f t="shared" si="8"/>
        <v>14928334.572878035</v>
      </c>
      <c r="AB17" s="23"/>
    </row>
    <row r="18" spans="1:28" s="10" customFormat="1" ht="39" customHeight="1">
      <c r="A18" s="33" t="s">
        <v>9</v>
      </c>
      <c r="B18" s="16">
        <v>0</v>
      </c>
      <c r="C18" s="15" t="e">
        <f>GETPIVOTDATA("Phát sinh nợ",#REF!,"Ngày ct",DATE(2018,2,28),"Tài khoản","632","Mã vụ việc","SITE04")</f>
        <v>#REF!</v>
      </c>
      <c r="D18" s="15" t="e">
        <f>GETPIVOTDATA("Phát sinh nợ",#REF!,"Ngày ct",DATE(2018,3,31),"Tài khoản","632","Mã vụ việc","SITE04")</f>
        <v>#REF!</v>
      </c>
      <c r="E18" s="15">
        <v>6304877195</v>
      </c>
      <c r="F18" s="16">
        <v>0</v>
      </c>
      <c r="G18" s="15">
        <v>3604223814</v>
      </c>
      <c r="H18" s="16">
        <v>0</v>
      </c>
      <c r="I18" s="16">
        <v>0</v>
      </c>
      <c r="J18" s="20">
        <f>'[34]09.2018'!$J$11</f>
        <v>4517539291</v>
      </c>
      <c r="K18" s="16">
        <v>0</v>
      </c>
      <c r="L18" s="16">
        <v>0</v>
      </c>
      <c r="M18" s="16">
        <v>0</v>
      </c>
      <c r="N18" s="28" t="e">
        <f t="shared" si="30"/>
        <v>#REF!</v>
      </c>
      <c r="O18" s="16">
        <v>0</v>
      </c>
      <c r="P18" s="17" t="e">
        <f t="shared" si="31"/>
        <v>#REF!</v>
      </c>
      <c r="Q18" s="17" t="e">
        <f t="shared" si="12"/>
        <v>#REF!</v>
      </c>
      <c r="R18" s="17">
        <f t="shared" si="32"/>
        <v>277747.89405286341</v>
      </c>
      <c r="S18" s="16">
        <v>0</v>
      </c>
      <c r="T18" s="17">
        <f t="shared" si="33"/>
        <v>157286.66</v>
      </c>
      <c r="U18" s="16">
        <f t="shared" si="34"/>
        <v>0</v>
      </c>
      <c r="V18" s="16">
        <f t="shared" si="34"/>
        <v>0</v>
      </c>
      <c r="W18" s="17">
        <f t="shared" si="35"/>
        <v>194094.06</v>
      </c>
      <c r="X18" s="16">
        <f t="shared" ref="X18" si="37">ROUND(K18/$U$19,2)</f>
        <v>0</v>
      </c>
      <c r="Y18" s="16">
        <f t="shared" ref="Y18" si="38">ROUND(L18/$U$19,2)</f>
        <v>0</v>
      </c>
      <c r="Z18" s="17">
        <f t="shared" si="29"/>
        <v>0</v>
      </c>
      <c r="AA18" s="31" t="e">
        <f t="shared" si="8"/>
        <v>#REF!</v>
      </c>
      <c r="AB18" s="23"/>
    </row>
    <row r="19" spans="1:28" s="9" customFormat="1" ht="22.5" customHeight="1">
      <c r="O19" s="9">
        <v>22640</v>
      </c>
      <c r="P19" s="9">
        <v>22690</v>
      </c>
      <c r="Q19" s="9">
        <v>22720</v>
      </c>
      <c r="R19" s="9">
        <v>22700</v>
      </c>
      <c r="S19" s="9">
        <v>22870</v>
      </c>
      <c r="T19" s="9">
        <v>22915</v>
      </c>
      <c r="U19" s="9">
        <v>23235</v>
      </c>
      <c r="V19" s="9">
        <v>23245</v>
      </c>
      <c r="W19" s="9">
        <v>23275</v>
      </c>
      <c r="X19" s="9">
        <v>23290</v>
      </c>
      <c r="Y19" s="9">
        <v>23250</v>
      </c>
      <c r="Z19" s="9">
        <v>23135</v>
      </c>
      <c r="AB19" s="22"/>
    </row>
    <row r="20" spans="1:28" s="5" customFormat="1">
      <c r="B20" s="6"/>
      <c r="C20" s="6"/>
      <c r="D20" s="6"/>
      <c r="AB20" s="22"/>
    </row>
    <row r="21" spans="1:28" s="5" customFormat="1">
      <c r="B21" s="6"/>
      <c r="C21" s="6"/>
      <c r="D21" s="6"/>
      <c r="AB21" s="22"/>
    </row>
    <row r="22" spans="1:28" s="5" customFormat="1">
      <c r="B22" s="6"/>
      <c r="C22" s="6"/>
      <c r="D22" s="6"/>
      <c r="AB22" s="22"/>
    </row>
    <row r="23" spans="1:28" s="5" customFormat="1">
      <c r="B23" s="6"/>
      <c r="C23" s="6"/>
      <c r="D23" s="6"/>
      <c r="AB23" s="22"/>
    </row>
    <row r="24" spans="1:28" s="5" customFormat="1">
      <c r="B24" s="6"/>
      <c r="C24" s="6"/>
      <c r="D24" s="6"/>
      <c r="AB24" s="22"/>
    </row>
    <row r="25" spans="1:28" s="5" customFormat="1">
      <c r="B25" s="6"/>
      <c r="C25" s="6"/>
      <c r="D25" s="6"/>
      <c r="AB25" s="22"/>
    </row>
    <row r="26" spans="1:28" s="5" customFormat="1">
      <c r="B26" s="6"/>
      <c r="C26" s="6"/>
      <c r="D26" s="6"/>
      <c r="AB26" s="22"/>
    </row>
    <row r="27" spans="1:28" s="5" customFormat="1">
      <c r="B27" s="6"/>
      <c r="C27" s="6"/>
      <c r="D27" s="6"/>
      <c r="AB27" s="22"/>
    </row>
    <row r="28" spans="1:28" s="5" customFormat="1">
      <c r="B28" s="6"/>
      <c r="C28" s="6"/>
      <c r="D28" s="6"/>
      <c r="AB28" s="22"/>
    </row>
    <row r="29" spans="1:28" s="5" customFormat="1">
      <c r="B29" s="6"/>
      <c r="C29" s="6"/>
      <c r="D29" s="6"/>
      <c r="AB29" s="22"/>
    </row>
    <row r="30" spans="1:28" s="5" customFormat="1">
      <c r="B30" s="6"/>
      <c r="C30" s="6"/>
      <c r="D30" s="6"/>
      <c r="AB30" s="22"/>
    </row>
    <row r="31" spans="1:28" s="5" customFormat="1">
      <c r="B31" s="6"/>
      <c r="C31" s="6"/>
      <c r="D31" s="6"/>
      <c r="AB31" s="22"/>
    </row>
    <row r="32" spans="1:28" s="5" customFormat="1">
      <c r="B32" s="6"/>
      <c r="C32" s="6"/>
      <c r="D32" s="6"/>
      <c r="AB32" s="22"/>
    </row>
    <row r="33" spans="2:28" s="5" customFormat="1">
      <c r="B33" s="6"/>
      <c r="C33" s="6"/>
      <c r="D33" s="6"/>
      <c r="AB33" s="22"/>
    </row>
    <row r="34" spans="2:28" s="5" customFormat="1">
      <c r="B34" s="6"/>
      <c r="C34" s="6"/>
      <c r="D34" s="6"/>
      <c r="AB34" s="22"/>
    </row>
    <row r="35" spans="2:28" s="5" customFormat="1">
      <c r="B35" s="6"/>
      <c r="C35" s="6"/>
      <c r="D35" s="6"/>
      <c r="AB35" s="22"/>
    </row>
    <row r="36" spans="2:28" s="5" customFormat="1">
      <c r="B36" s="6"/>
      <c r="C36" s="6"/>
      <c r="D36" s="6"/>
      <c r="AB36" s="22"/>
    </row>
    <row r="37" spans="2:28" s="5" customFormat="1">
      <c r="B37" s="6"/>
      <c r="C37" s="6"/>
      <c r="D37" s="6"/>
      <c r="AB37" s="22"/>
    </row>
    <row r="38" spans="2:28" s="5" customFormat="1">
      <c r="B38" s="6"/>
      <c r="C38" s="6"/>
      <c r="D38" s="6"/>
      <c r="AB38" s="22"/>
    </row>
    <row r="39" spans="2:28" s="5" customFormat="1">
      <c r="B39" s="6"/>
      <c r="C39" s="6"/>
      <c r="D39" s="6"/>
      <c r="AB39" s="22"/>
    </row>
    <row r="40" spans="2:28" s="5" customFormat="1">
      <c r="B40" s="6"/>
      <c r="C40" s="6"/>
      <c r="D40" s="6"/>
      <c r="AB40" s="22"/>
    </row>
    <row r="41" spans="2:28" s="5" customFormat="1">
      <c r="B41" s="6"/>
      <c r="C41" s="6"/>
      <c r="D41" s="6"/>
      <c r="AB41" s="22"/>
    </row>
    <row r="42" spans="2:28" s="5" customFormat="1">
      <c r="B42" s="6"/>
      <c r="C42" s="6"/>
      <c r="D42" s="6"/>
      <c r="AB42" s="22"/>
    </row>
    <row r="43" spans="2:28" s="5" customFormat="1">
      <c r="B43" s="6"/>
      <c r="C43" s="6"/>
      <c r="D43" s="6"/>
      <c r="AB43" s="22"/>
    </row>
    <row r="44" spans="2:28" s="5" customFormat="1">
      <c r="B44" s="6"/>
      <c r="C44" s="6"/>
      <c r="D44" s="6"/>
      <c r="AB44" s="22"/>
    </row>
    <row r="45" spans="2:28" s="5" customFormat="1">
      <c r="B45" s="6"/>
      <c r="C45" s="6"/>
      <c r="D45" s="6"/>
      <c r="AB45" s="22"/>
    </row>
    <row r="46" spans="2:28" s="5" customFormat="1">
      <c r="B46" s="6"/>
      <c r="C46" s="6"/>
      <c r="D46" s="6"/>
      <c r="AB46" s="22"/>
    </row>
    <row r="47" spans="2:28" s="5" customFormat="1">
      <c r="B47" s="6"/>
      <c r="C47" s="6"/>
      <c r="D47" s="6"/>
      <c r="AB47" s="22"/>
    </row>
    <row r="48" spans="2:28" s="5" customFormat="1">
      <c r="B48" s="6"/>
      <c r="C48" s="6"/>
      <c r="D48" s="6"/>
      <c r="AB48" s="22"/>
    </row>
    <row r="49" spans="2:28" s="5" customFormat="1">
      <c r="B49" s="6"/>
      <c r="C49" s="6"/>
      <c r="D49" s="6"/>
      <c r="AB49" s="22"/>
    </row>
    <row r="50" spans="2:28" s="5" customFormat="1">
      <c r="B50" s="6"/>
      <c r="C50" s="6"/>
      <c r="D50" s="6"/>
      <c r="AB50" s="22"/>
    </row>
    <row r="51" spans="2:28" s="5" customFormat="1">
      <c r="B51" s="6"/>
      <c r="C51" s="6"/>
      <c r="D51" s="6"/>
      <c r="AB51" s="22"/>
    </row>
    <row r="52" spans="2:28" s="5" customFormat="1">
      <c r="B52" s="6"/>
      <c r="C52" s="6"/>
      <c r="D52" s="6"/>
      <c r="AB52" s="22"/>
    </row>
    <row r="53" spans="2:28" s="5" customFormat="1">
      <c r="B53" s="6"/>
      <c r="C53" s="6"/>
      <c r="D53" s="6"/>
      <c r="AB53" s="22"/>
    </row>
    <row r="54" spans="2:28" s="5" customFormat="1">
      <c r="B54" s="6"/>
      <c r="C54" s="6"/>
      <c r="D54" s="6"/>
      <c r="AB54" s="22"/>
    </row>
    <row r="55" spans="2:28" s="5" customFormat="1">
      <c r="B55" s="6"/>
      <c r="C55" s="6"/>
      <c r="D55" s="6"/>
      <c r="AB55" s="22"/>
    </row>
    <row r="56" spans="2:28" s="5" customFormat="1">
      <c r="B56" s="6"/>
      <c r="C56" s="6"/>
      <c r="D56" s="6"/>
      <c r="AB56" s="22"/>
    </row>
    <row r="57" spans="2:28" s="5" customFormat="1">
      <c r="B57" s="6"/>
      <c r="C57" s="6"/>
      <c r="D57" s="6"/>
      <c r="AB57" s="22"/>
    </row>
    <row r="58" spans="2:28" s="5" customFormat="1">
      <c r="B58" s="6"/>
      <c r="C58" s="6"/>
      <c r="D58" s="6"/>
      <c r="AB58" s="22"/>
    </row>
    <row r="59" spans="2:28" s="5" customFormat="1">
      <c r="B59" s="6"/>
      <c r="C59" s="6"/>
      <c r="D59" s="6"/>
      <c r="AB59" s="22"/>
    </row>
    <row r="60" spans="2:28" s="5" customFormat="1">
      <c r="B60" s="6"/>
      <c r="C60" s="6"/>
      <c r="D60" s="6"/>
      <c r="AB60" s="22"/>
    </row>
    <row r="61" spans="2:28" s="5" customFormat="1">
      <c r="B61" s="6"/>
      <c r="C61" s="6"/>
      <c r="D61" s="6"/>
      <c r="AB61" s="22"/>
    </row>
    <row r="62" spans="2:28" s="5" customFormat="1">
      <c r="B62" s="6"/>
      <c r="C62" s="6"/>
      <c r="D62" s="6"/>
      <c r="AB62" s="22"/>
    </row>
    <row r="63" spans="2:28" s="5" customFormat="1">
      <c r="B63" s="6"/>
      <c r="C63" s="6"/>
      <c r="D63" s="6"/>
      <c r="AB63" s="22"/>
    </row>
    <row r="64" spans="2:28" s="5" customFormat="1">
      <c r="B64" s="6"/>
      <c r="C64" s="6"/>
      <c r="D64" s="6"/>
      <c r="AB64" s="22"/>
    </row>
    <row r="65" spans="2:28" s="5" customFormat="1">
      <c r="B65" s="6"/>
      <c r="C65" s="6"/>
      <c r="D65" s="6"/>
      <c r="AB65" s="22"/>
    </row>
    <row r="66" spans="2:28" s="5" customFormat="1">
      <c r="B66" s="6"/>
      <c r="C66" s="6"/>
      <c r="D66" s="6"/>
      <c r="AB66" s="22"/>
    </row>
    <row r="67" spans="2:28" s="5" customFormat="1">
      <c r="B67" s="6"/>
      <c r="C67" s="6"/>
      <c r="D67" s="6"/>
      <c r="AB67" s="22"/>
    </row>
    <row r="68" spans="2:28" s="5" customFormat="1">
      <c r="B68" s="6"/>
      <c r="C68" s="6"/>
      <c r="D68" s="6"/>
      <c r="AB68" s="22"/>
    </row>
    <row r="69" spans="2:28" s="5" customFormat="1">
      <c r="B69" s="6"/>
      <c r="C69" s="6"/>
      <c r="D69" s="6"/>
      <c r="AB69" s="22"/>
    </row>
    <row r="70" spans="2:28" s="5" customFormat="1">
      <c r="B70" s="6"/>
      <c r="C70" s="6"/>
      <c r="D70" s="6"/>
      <c r="AB70" s="22"/>
    </row>
    <row r="71" spans="2:28" s="5" customFormat="1">
      <c r="B71" s="6"/>
      <c r="C71" s="6"/>
      <c r="D71" s="6"/>
      <c r="AB71" s="22"/>
    </row>
    <row r="72" spans="2:28" s="5" customFormat="1">
      <c r="B72" s="6"/>
      <c r="C72" s="6"/>
      <c r="D72" s="6"/>
      <c r="AB72" s="22"/>
    </row>
    <row r="73" spans="2:28" s="5" customFormat="1">
      <c r="B73" s="6"/>
      <c r="C73" s="6"/>
      <c r="D73" s="6"/>
      <c r="AB73" s="22"/>
    </row>
    <row r="74" spans="2:28" s="5" customFormat="1">
      <c r="B74" s="6"/>
      <c r="C74" s="6"/>
      <c r="D74" s="6"/>
      <c r="AB74" s="22"/>
    </row>
    <row r="75" spans="2:28" s="5" customFormat="1">
      <c r="B75" s="6"/>
      <c r="C75" s="6"/>
      <c r="D75" s="6"/>
      <c r="AB75" s="22"/>
    </row>
    <row r="76" spans="2:28" s="5" customFormat="1">
      <c r="B76" s="6"/>
      <c r="C76" s="6"/>
      <c r="D76" s="6"/>
      <c r="AB76" s="22"/>
    </row>
    <row r="77" spans="2:28" s="5" customFormat="1">
      <c r="B77" s="6"/>
      <c r="C77" s="6"/>
      <c r="D77" s="6"/>
      <c r="AB77" s="22"/>
    </row>
    <row r="78" spans="2:28" s="5" customFormat="1">
      <c r="B78" s="6"/>
      <c r="C78" s="6"/>
      <c r="D78" s="6"/>
      <c r="AB78" s="22"/>
    </row>
    <row r="79" spans="2:28" s="5" customFormat="1">
      <c r="B79" s="6"/>
      <c r="C79" s="6"/>
      <c r="D79" s="6"/>
      <c r="AB79" s="22"/>
    </row>
    <row r="80" spans="2:28" s="5" customFormat="1">
      <c r="B80" s="6"/>
      <c r="C80" s="6"/>
      <c r="D80" s="6"/>
      <c r="AB80" s="22"/>
    </row>
    <row r="81" spans="2:28" s="5" customFormat="1">
      <c r="B81" s="6"/>
      <c r="C81" s="6"/>
      <c r="D81" s="6"/>
      <c r="AB81" s="22"/>
    </row>
    <row r="82" spans="2:28" s="5" customFormat="1">
      <c r="B82" s="6"/>
      <c r="C82" s="6"/>
      <c r="D82" s="6"/>
      <c r="AB82" s="22"/>
    </row>
    <row r="83" spans="2:28" s="5" customFormat="1">
      <c r="B83" s="6"/>
      <c r="C83" s="6"/>
      <c r="D83" s="6"/>
      <c r="AB83" s="22"/>
    </row>
    <row r="84" spans="2:28" s="5" customFormat="1">
      <c r="B84" s="6"/>
      <c r="C84" s="6"/>
      <c r="D84" s="6"/>
      <c r="AB84" s="22"/>
    </row>
    <row r="85" spans="2:28" s="5" customFormat="1">
      <c r="B85" s="6"/>
      <c r="C85" s="6"/>
      <c r="D85" s="6"/>
      <c r="AB85" s="22"/>
    </row>
    <row r="86" spans="2:28" s="5" customFormat="1">
      <c r="B86" s="6"/>
      <c r="C86" s="6"/>
      <c r="D86" s="6"/>
      <c r="AB86" s="22"/>
    </row>
    <row r="87" spans="2:28" s="5" customFormat="1">
      <c r="B87" s="6"/>
      <c r="C87" s="6"/>
      <c r="D87" s="6"/>
      <c r="AB87" s="22"/>
    </row>
    <row r="88" spans="2:28" s="5" customFormat="1">
      <c r="B88" s="6"/>
      <c r="C88" s="6"/>
      <c r="D88" s="6"/>
      <c r="AB88" s="22"/>
    </row>
    <row r="89" spans="2:28" s="5" customFormat="1">
      <c r="B89" s="6"/>
      <c r="C89" s="6"/>
      <c r="D89" s="6"/>
      <c r="AB89" s="22"/>
    </row>
    <row r="90" spans="2:28" s="5" customFormat="1">
      <c r="B90" s="6"/>
      <c r="C90" s="6"/>
      <c r="D90" s="6"/>
      <c r="AB90" s="22"/>
    </row>
    <row r="91" spans="2:28" s="5" customFormat="1">
      <c r="B91" s="6"/>
      <c r="C91" s="6"/>
      <c r="D91" s="6"/>
      <c r="AB91" s="22"/>
    </row>
    <row r="92" spans="2:28" s="5" customFormat="1">
      <c r="B92" s="6"/>
      <c r="C92" s="6"/>
      <c r="D92" s="6"/>
      <c r="AB92" s="22"/>
    </row>
    <row r="93" spans="2:28" s="5" customFormat="1">
      <c r="B93" s="6"/>
      <c r="C93" s="6"/>
      <c r="D93" s="6"/>
      <c r="AB93" s="22"/>
    </row>
    <row r="94" spans="2:28" s="5" customFormat="1">
      <c r="B94" s="6"/>
      <c r="C94" s="6"/>
      <c r="D94" s="6"/>
      <c r="AB94" s="22"/>
    </row>
    <row r="95" spans="2:28" s="5" customFormat="1">
      <c r="B95" s="6"/>
      <c r="C95" s="6"/>
      <c r="D95" s="6"/>
      <c r="AB95" s="22"/>
    </row>
    <row r="96" spans="2:28" s="5" customFormat="1">
      <c r="B96" s="6"/>
      <c r="C96" s="6"/>
      <c r="D96" s="6"/>
      <c r="AB96" s="22"/>
    </row>
    <row r="97" spans="2:28" s="5" customFormat="1">
      <c r="B97" s="6"/>
      <c r="C97" s="6"/>
      <c r="D97" s="6"/>
      <c r="AB97" s="22"/>
    </row>
    <row r="98" spans="2:28" s="5" customFormat="1">
      <c r="B98" s="6"/>
      <c r="C98" s="6"/>
      <c r="D98" s="6"/>
      <c r="AB98" s="22"/>
    </row>
    <row r="99" spans="2:28" s="5" customFormat="1">
      <c r="B99" s="6"/>
      <c r="C99" s="6"/>
      <c r="D99" s="6"/>
      <c r="AB99" s="22"/>
    </row>
    <row r="100" spans="2:28" s="5" customFormat="1">
      <c r="B100" s="6"/>
      <c r="C100" s="6"/>
      <c r="D100" s="6"/>
      <c r="AB100" s="22"/>
    </row>
    <row r="101" spans="2:28" s="5" customFormat="1">
      <c r="B101" s="6"/>
      <c r="C101" s="6"/>
      <c r="D101" s="6"/>
      <c r="AB101" s="22"/>
    </row>
    <row r="102" spans="2:28" s="5" customFormat="1">
      <c r="B102" s="6"/>
      <c r="C102" s="6"/>
      <c r="D102" s="6"/>
      <c r="AB102" s="22"/>
    </row>
    <row r="103" spans="2:28" s="5" customFormat="1">
      <c r="B103" s="6"/>
      <c r="C103" s="6"/>
      <c r="D103" s="6"/>
      <c r="AB103" s="22"/>
    </row>
    <row r="104" spans="2:28" s="5" customFormat="1">
      <c r="B104" s="6"/>
      <c r="C104" s="6"/>
      <c r="D104" s="6"/>
      <c r="AB104" s="22"/>
    </row>
    <row r="105" spans="2:28" s="5" customFormat="1">
      <c r="B105" s="6"/>
      <c r="C105" s="6"/>
      <c r="D105" s="6"/>
      <c r="AB105" s="22"/>
    </row>
    <row r="106" spans="2:28" s="5" customFormat="1">
      <c r="B106" s="6"/>
      <c r="C106" s="6"/>
      <c r="D106" s="6"/>
      <c r="AB106" s="22"/>
    </row>
    <row r="107" spans="2:28" s="5" customFormat="1">
      <c r="B107" s="6"/>
      <c r="C107" s="6"/>
      <c r="D107" s="6"/>
      <c r="AB107" s="22"/>
    </row>
    <row r="108" spans="2:28" s="5" customFormat="1">
      <c r="B108" s="6"/>
      <c r="C108" s="6"/>
      <c r="D108" s="6"/>
      <c r="AB108" s="22"/>
    </row>
    <row r="109" spans="2:28" s="5" customFormat="1">
      <c r="B109" s="6"/>
      <c r="C109" s="6"/>
      <c r="D109" s="6"/>
      <c r="AB109" s="22"/>
    </row>
    <row r="110" spans="2:28" s="5" customFormat="1">
      <c r="B110" s="6"/>
      <c r="C110" s="6"/>
      <c r="D110" s="6"/>
      <c r="AB110" s="22"/>
    </row>
    <row r="111" spans="2:28" s="5" customFormat="1">
      <c r="B111" s="6"/>
      <c r="C111" s="6"/>
      <c r="D111" s="6"/>
      <c r="AB111" s="22"/>
    </row>
    <row r="112" spans="2:28" s="5" customFormat="1">
      <c r="B112" s="6"/>
      <c r="C112" s="6"/>
      <c r="D112" s="6"/>
      <c r="AB112" s="22"/>
    </row>
    <row r="113" spans="2:28" s="5" customFormat="1">
      <c r="B113" s="6"/>
      <c r="C113" s="6"/>
      <c r="D113" s="6"/>
      <c r="AB113" s="22"/>
    </row>
    <row r="114" spans="2:28" s="5" customFormat="1">
      <c r="B114" s="6"/>
      <c r="C114" s="6"/>
      <c r="D114" s="6"/>
      <c r="AB114" s="22"/>
    </row>
    <row r="115" spans="2:28" s="5" customFormat="1">
      <c r="B115" s="6"/>
      <c r="C115" s="6"/>
      <c r="D115" s="6"/>
      <c r="AB115" s="22"/>
    </row>
    <row r="116" spans="2:28" s="5" customFormat="1">
      <c r="B116" s="6"/>
      <c r="C116" s="6"/>
      <c r="D116" s="6"/>
      <c r="AB116" s="22"/>
    </row>
    <row r="117" spans="2:28" s="5" customFormat="1">
      <c r="B117" s="6"/>
      <c r="C117" s="6"/>
      <c r="D117" s="6"/>
      <c r="AB117" s="22"/>
    </row>
    <row r="118" spans="2:28" s="5" customFormat="1">
      <c r="B118" s="6"/>
      <c r="C118" s="6"/>
      <c r="D118" s="6"/>
      <c r="AB118" s="22"/>
    </row>
    <row r="119" spans="2:28" s="5" customFormat="1">
      <c r="B119" s="6"/>
      <c r="C119" s="6"/>
      <c r="D119" s="6"/>
      <c r="AB119" s="22"/>
    </row>
    <row r="120" spans="2:28" s="5" customFormat="1">
      <c r="B120" s="6"/>
      <c r="C120" s="6"/>
      <c r="D120" s="6"/>
      <c r="AB120" s="22"/>
    </row>
    <row r="121" spans="2:28" s="5" customFormat="1">
      <c r="B121" s="6"/>
      <c r="C121" s="6"/>
      <c r="D121" s="6"/>
      <c r="AB121" s="22"/>
    </row>
    <row r="122" spans="2:28" s="5" customFormat="1">
      <c r="B122" s="6"/>
      <c r="C122" s="6"/>
      <c r="D122" s="6"/>
      <c r="AB122" s="22"/>
    </row>
    <row r="123" spans="2:28" s="5" customFormat="1">
      <c r="B123" s="6"/>
      <c r="C123" s="6"/>
      <c r="D123" s="6"/>
      <c r="AB123" s="22"/>
    </row>
    <row r="124" spans="2:28" s="5" customFormat="1">
      <c r="B124" s="6"/>
      <c r="C124" s="6"/>
      <c r="D124" s="6"/>
      <c r="AB124" s="22"/>
    </row>
    <row r="125" spans="2:28" s="5" customFormat="1">
      <c r="B125" s="6"/>
      <c r="C125" s="6"/>
      <c r="D125" s="6"/>
      <c r="AB125" s="22"/>
    </row>
    <row r="126" spans="2:28" s="5" customFormat="1">
      <c r="B126" s="6"/>
      <c r="C126" s="6"/>
      <c r="D126" s="6"/>
      <c r="AB126" s="22"/>
    </row>
    <row r="127" spans="2:28" s="5" customFormat="1">
      <c r="B127" s="6"/>
      <c r="C127" s="6"/>
      <c r="D127" s="6"/>
      <c r="AB127" s="22"/>
    </row>
    <row r="128" spans="2:28" s="5" customFormat="1">
      <c r="B128" s="6"/>
      <c r="C128" s="6"/>
      <c r="D128" s="6"/>
      <c r="AB128" s="22"/>
    </row>
    <row r="129" spans="2:28" s="5" customFormat="1">
      <c r="B129" s="6"/>
      <c r="C129" s="6"/>
      <c r="D129" s="6"/>
      <c r="AB129" s="22"/>
    </row>
    <row r="130" spans="2:28" s="5" customFormat="1">
      <c r="B130" s="6"/>
      <c r="C130" s="6"/>
      <c r="D130" s="6"/>
      <c r="AB130" s="22"/>
    </row>
    <row r="131" spans="2:28" s="5" customFormat="1">
      <c r="B131" s="6"/>
      <c r="C131" s="6"/>
      <c r="D131" s="6"/>
      <c r="AB131" s="22"/>
    </row>
    <row r="132" spans="2:28" s="5" customFormat="1">
      <c r="B132" s="6"/>
      <c r="C132" s="6"/>
      <c r="D132" s="6"/>
      <c r="AB132" s="22"/>
    </row>
    <row r="133" spans="2:28" s="5" customFormat="1">
      <c r="B133" s="6"/>
      <c r="C133" s="6"/>
      <c r="D133" s="6"/>
      <c r="AB133" s="22"/>
    </row>
    <row r="134" spans="2:28" s="5" customFormat="1">
      <c r="B134" s="6"/>
      <c r="C134" s="6"/>
      <c r="D134" s="6"/>
      <c r="AB134" s="22"/>
    </row>
    <row r="135" spans="2:28" s="5" customFormat="1">
      <c r="B135" s="6"/>
      <c r="C135" s="6"/>
      <c r="D135" s="6"/>
      <c r="AB135" s="22"/>
    </row>
    <row r="136" spans="2:28" s="5" customFormat="1">
      <c r="B136" s="6"/>
      <c r="C136" s="6"/>
      <c r="D136" s="6"/>
      <c r="AB136" s="22"/>
    </row>
    <row r="137" spans="2:28" s="5" customFormat="1">
      <c r="B137" s="6"/>
      <c r="C137" s="6"/>
      <c r="D137" s="6"/>
      <c r="AB137" s="22"/>
    </row>
    <row r="138" spans="2:28" s="5" customFormat="1">
      <c r="B138" s="6"/>
      <c r="C138" s="6"/>
      <c r="D138" s="6"/>
      <c r="AB138" s="22"/>
    </row>
    <row r="139" spans="2:28" s="5" customFormat="1">
      <c r="B139" s="6"/>
      <c r="C139" s="6"/>
      <c r="D139" s="6"/>
      <c r="AB139" s="22"/>
    </row>
    <row r="140" spans="2:28" s="5" customFormat="1">
      <c r="B140" s="6"/>
      <c r="C140" s="6"/>
      <c r="D140" s="6"/>
      <c r="AB140" s="22"/>
    </row>
    <row r="141" spans="2:28" s="5" customFormat="1">
      <c r="B141" s="6"/>
      <c r="C141" s="6"/>
      <c r="D141" s="6"/>
      <c r="AB141" s="22"/>
    </row>
    <row r="142" spans="2:28" s="5" customFormat="1">
      <c r="B142" s="6"/>
      <c r="C142" s="6"/>
      <c r="D142" s="6"/>
      <c r="AB142" s="22"/>
    </row>
    <row r="143" spans="2:28" s="5" customFormat="1">
      <c r="B143" s="6"/>
      <c r="C143" s="6"/>
      <c r="D143" s="6"/>
      <c r="AB143" s="22"/>
    </row>
    <row r="144" spans="2:28" s="5" customFormat="1">
      <c r="B144" s="6"/>
      <c r="C144" s="6"/>
      <c r="D144" s="6"/>
      <c r="AB144" s="22"/>
    </row>
    <row r="145" spans="2:28" s="5" customFormat="1">
      <c r="B145" s="6"/>
      <c r="C145" s="6"/>
      <c r="D145" s="6"/>
      <c r="AB145" s="22"/>
    </row>
    <row r="146" spans="2:28" s="5" customFormat="1">
      <c r="B146" s="6"/>
      <c r="C146" s="6"/>
      <c r="D146" s="6"/>
      <c r="AB146" s="22"/>
    </row>
    <row r="147" spans="2:28" s="5" customFormat="1">
      <c r="B147" s="6"/>
      <c r="C147" s="6"/>
      <c r="D147" s="6"/>
      <c r="AB147" s="22"/>
    </row>
    <row r="148" spans="2:28" s="5" customFormat="1">
      <c r="B148" s="6"/>
      <c r="C148" s="6"/>
      <c r="D148" s="6"/>
      <c r="AB148" s="22"/>
    </row>
    <row r="149" spans="2:28" s="5" customFormat="1">
      <c r="B149" s="6"/>
      <c r="C149" s="6"/>
      <c r="D149" s="6"/>
      <c r="AB149" s="22"/>
    </row>
    <row r="150" spans="2:28" s="5" customFormat="1">
      <c r="B150" s="6"/>
      <c r="C150" s="6"/>
      <c r="D150" s="6"/>
      <c r="AB150" s="22"/>
    </row>
    <row r="151" spans="2:28" s="5" customFormat="1">
      <c r="B151" s="6"/>
      <c r="C151" s="6"/>
      <c r="D151" s="6"/>
      <c r="AB151" s="22"/>
    </row>
    <row r="152" spans="2:28" s="5" customFormat="1">
      <c r="B152" s="6"/>
      <c r="C152" s="6"/>
      <c r="D152" s="6"/>
      <c r="AB152" s="22"/>
    </row>
    <row r="153" spans="2:28" s="5" customFormat="1">
      <c r="B153" s="6"/>
      <c r="C153" s="6"/>
      <c r="D153" s="6"/>
      <c r="AB153" s="22"/>
    </row>
    <row r="154" spans="2:28" s="5" customFormat="1">
      <c r="B154" s="6"/>
      <c r="C154" s="6"/>
      <c r="D154" s="6"/>
      <c r="AB154" s="22"/>
    </row>
    <row r="155" spans="2:28" s="5" customFormat="1">
      <c r="B155" s="6"/>
      <c r="C155" s="6"/>
      <c r="D155" s="6"/>
      <c r="AB155" s="22"/>
    </row>
    <row r="156" spans="2:28" s="5" customFormat="1">
      <c r="B156" s="6"/>
      <c r="C156" s="6"/>
      <c r="D156" s="6"/>
      <c r="AB156" s="22"/>
    </row>
    <row r="157" spans="2:28" s="5" customFormat="1">
      <c r="B157" s="6"/>
      <c r="C157" s="6"/>
      <c r="D157" s="6"/>
      <c r="AB157" s="22"/>
    </row>
    <row r="158" spans="2:28" s="5" customFormat="1">
      <c r="B158" s="6"/>
      <c r="C158" s="6"/>
      <c r="D158" s="6"/>
      <c r="AB158" s="22"/>
    </row>
    <row r="159" spans="2:28" s="5" customFormat="1">
      <c r="B159" s="6"/>
      <c r="C159" s="6"/>
      <c r="D159" s="6"/>
      <c r="AB159" s="22"/>
    </row>
  </sheetData>
  <mergeCells count="5">
    <mergeCell ref="A6:A8"/>
    <mergeCell ref="A2:AA2"/>
    <mergeCell ref="B6:AA6"/>
    <mergeCell ref="B7:N7"/>
    <mergeCell ref="O7:AA7"/>
  </mergeCells>
  <phoneticPr fontId="110" type="noConversion"/>
  <pageMargins left="0.7" right="0.7" top="0.75" bottom="0.75" header="0.3" footer="0.3"/>
  <pageSetup paperSize="9" scale="1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BJ23"/>
  <sheetViews>
    <sheetView workbookViewId="0"/>
  </sheetViews>
  <sheetFormatPr defaultColWidth="9.33203125" defaultRowHeight="10.5"/>
  <cols>
    <col min="1" max="1" width="23.5" style="1" customWidth="1"/>
    <col min="2" max="3" width="24.1640625" style="1" customWidth="1"/>
    <col min="4" max="4" width="25.6640625" style="1" customWidth="1"/>
    <col min="5" max="8" width="24.1640625" style="1" customWidth="1"/>
    <col min="9" max="9" width="27" style="1" customWidth="1"/>
    <col min="10" max="10" width="27.5" style="1" customWidth="1"/>
    <col min="11" max="13" width="20.6640625" style="1" customWidth="1"/>
    <col min="14" max="14" width="20.5" style="1" customWidth="1"/>
    <col min="15" max="15" width="20.1640625" style="1" customWidth="1"/>
    <col min="16" max="17" width="20.6640625" style="1" customWidth="1"/>
    <col min="18" max="18" width="21.33203125" style="1" customWidth="1"/>
    <col min="19" max="19" width="22.6640625" style="1" customWidth="1"/>
    <col min="20" max="62" width="9.33203125" style="5"/>
    <col min="63" max="16384" width="9.33203125" style="1"/>
  </cols>
  <sheetData>
    <row r="1" spans="1:62" s="5" customFormat="1"/>
    <row r="2" spans="1:62" s="5" customFormat="1" ht="24.75">
      <c r="A2" s="440" t="s">
        <v>26</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row>
    <row r="3" spans="1:62" s="5" customFormat="1">
      <c r="I3" s="61"/>
      <c r="J3" s="61"/>
      <c r="R3" s="61"/>
      <c r="S3" s="8"/>
    </row>
    <row r="4" spans="1:62" s="5" customFormat="1">
      <c r="I4" s="61" t="s">
        <v>12</v>
      </c>
      <c r="J4" s="8">
        <f>J16/J12</f>
        <v>0.86960000000923288</v>
      </c>
      <c r="R4" s="61" t="s">
        <v>12</v>
      </c>
      <c r="S4" s="8">
        <f>S16/S12</f>
        <v>0.86960000000923299</v>
      </c>
    </row>
    <row r="5" spans="1:62" s="5" customFormat="1" ht="16.899999999999999">
      <c r="F5" s="62"/>
      <c r="G5" s="63"/>
      <c r="H5" s="63"/>
      <c r="I5" s="61" t="s">
        <v>14</v>
      </c>
      <c r="J5" s="64">
        <f>J14/J10</f>
        <v>0.86960000000049809</v>
      </c>
      <c r="R5" s="61" t="s">
        <v>14</v>
      </c>
      <c r="S5" s="64">
        <f>S14/S10</f>
        <v>0.8697252508994211</v>
      </c>
    </row>
    <row r="6" spans="1:62" s="10" customFormat="1" ht="24" customHeight="1">
      <c r="A6" s="441" t="s">
        <v>2</v>
      </c>
      <c r="B6" s="443">
        <v>2017</v>
      </c>
      <c r="C6" s="444"/>
      <c r="D6" s="444"/>
      <c r="E6" s="444"/>
      <c r="F6" s="444"/>
      <c r="G6" s="444"/>
      <c r="H6" s="444"/>
      <c r="I6" s="444"/>
      <c r="J6" s="444"/>
      <c r="K6" s="444"/>
      <c r="L6" s="444"/>
      <c r="M6" s="444"/>
      <c r="N6" s="444"/>
      <c r="O6" s="444"/>
      <c r="P6" s="444"/>
      <c r="Q6" s="444"/>
      <c r="R6" s="444"/>
      <c r="S6" s="445"/>
      <c r="T6" s="90"/>
      <c r="U6" s="90"/>
      <c r="V6" s="90"/>
      <c r="W6" s="90"/>
      <c r="X6" s="90"/>
      <c r="Y6" s="90"/>
      <c r="Z6" s="90"/>
      <c r="AA6" s="90"/>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row>
    <row r="7" spans="1:62" s="11" customFormat="1" ht="16.899999999999999">
      <c r="A7" s="441"/>
      <c r="B7" s="446" t="s">
        <v>5</v>
      </c>
      <c r="C7" s="446"/>
      <c r="D7" s="446"/>
      <c r="E7" s="446"/>
      <c r="F7" s="446"/>
      <c r="G7" s="446"/>
      <c r="H7" s="446"/>
      <c r="I7" s="446"/>
      <c r="J7" s="446"/>
      <c r="K7" s="446" t="s">
        <v>6</v>
      </c>
      <c r="L7" s="446"/>
      <c r="M7" s="446"/>
      <c r="N7" s="446"/>
      <c r="O7" s="446"/>
      <c r="P7" s="446"/>
      <c r="Q7" s="446"/>
      <c r="R7" s="446"/>
      <c r="S7" s="446"/>
      <c r="T7" s="65"/>
      <c r="U7" s="65"/>
      <c r="V7" s="65"/>
      <c r="W7" s="65"/>
      <c r="X7" s="65"/>
      <c r="Y7" s="65"/>
      <c r="Z7" s="65"/>
      <c r="AA7" s="65"/>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row>
    <row r="8" spans="1:62" s="11" customFormat="1" ht="16.899999999999999">
      <c r="A8" s="442"/>
      <c r="B8" s="66">
        <v>42856</v>
      </c>
      <c r="C8" s="66">
        <v>42887</v>
      </c>
      <c r="D8" s="66">
        <v>42917</v>
      </c>
      <c r="E8" s="66">
        <v>42948</v>
      </c>
      <c r="F8" s="66">
        <v>42979</v>
      </c>
      <c r="G8" s="66">
        <v>43009</v>
      </c>
      <c r="H8" s="66" t="s">
        <v>27</v>
      </c>
      <c r="I8" s="66" t="s">
        <v>28</v>
      </c>
      <c r="J8" s="67" t="s">
        <v>8</v>
      </c>
      <c r="K8" s="66">
        <v>42856</v>
      </c>
      <c r="L8" s="66">
        <v>42887</v>
      </c>
      <c r="M8" s="66">
        <v>42917</v>
      </c>
      <c r="N8" s="66">
        <v>42948</v>
      </c>
      <c r="O8" s="66">
        <v>42979</v>
      </c>
      <c r="P8" s="66">
        <v>43009</v>
      </c>
      <c r="Q8" s="66" t="s">
        <v>27</v>
      </c>
      <c r="R8" s="66" t="s">
        <v>28</v>
      </c>
      <c r="S8" s="67" t="s">
        <v>7</v>
      </c>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row>
    <row r="9" spans="1:62" s="14" customFormat="1" ht="36" customHeight="1">
      <c r="A9" s="93" t="s">
        <v>3</v>
      </c>
      <c r="B9" s="94">
        <f t="shared" ref="B9:H9" si="0">B10+B11+B12</f>
        <v>61566478701</v>
      </c>
      <c r="C9" s="94">
        <f t="shared" si="0"/>
        <v>92247208844</v>
      </c>
      <c r="D9" s="94">
        <f t="shared" si="0"/>
        <v>122282656059</v>
      </c>
      <c r="E9" s="94">
        <f t="shared" si="0"/>
        <v>59049810627</v>
      </c>
      <c r="F9" s="94">
        <f t="shared" si="0"/>
        <v>76326975005</v>
      </c>
      <c r="G9" s="94">
        <f t="shared" si="0"/>
        <v>91538794566</v>
      </c>
      <c r="H9" s="94">
        <f t="shared" si="0"/>
        <v>66170878712</v>
      </c>
      <c r="I9" s="94">
        <f>I10+I11+I12</f>
        <v>141846258835</v>
      </c>
      <c r="J9" s="94">
        <f>SUM(B9:I9)</f>
        <v>711029061349</v>
      </c>
      <c r="K9" s="95">
        <f t="shared" ref="K9:Q9" si="1">K10+K11+K12</f>
        <v>2712775.9999999967</v>
      </c>
      <c r="L9" s="95">
        <f t="shared" si="1"/>
        <v>4070029.0687844693</v>
      </c>
      <c r="M9" s="95">
        <f t="shared" si="1"/>
        <v>5395219.7687624088</v>
      </c>
      <c r="N9" s="95">
        <f t="shared" si="1"/>
        <v>2605905.146822595</v>
      </c>
      <c r="O9" s="95">
        <f t="shared" si="1"/>
        <v>3368357.2376434244</v>
      </c>
      <c r="P9" s="95">
        <f t="shared" si="1"/>
        <v>4042340.2325458159</v>
      </c>
      <c r="Q9" s="95">
        <f t="shared" si="1"/>
        <v>2922096.6532126297</v>
      </c>
      <c r="R9" s="95">
        <f>R10+R11+R12</f>
        <v>6265294.1181537099</v>
      </c>
      <c r="S9" s="96">
        <f>SUM(K9:R9)</f>
        <v>31382018.225925047</v>
      </c>
      <c r="T9" s="97">
        <f>'[35]IS (01)'!$G$6-S9</f>
        <v>4.0749534964561462E-3</v>
      </c>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row>
    <row r="10" spans="1:62" s="10" customFormat="1" ht="36" customHeight="1">
      <c r="A10" s="98" t="s">
        <v>4</v>
      </c>
      <c r="B10" s="99">
        <v>61566478701</v>
      </c>
      <c r="C10" s="99">
        <v>92247208844</v>
      </c>
      <c r="D10" s="99">
        <v>121597659029</v>
      </c>
      <c r="E10" s="99">
        <v>58354296674</v>
      </c>
      <c r="F10" s="99">
        <v>75651516501</v>
      </c>
      <c r="G10" s="99">
        <v>90955788590</v>
      </c>
      <c r="H10" s="99">
        <f>'[36]CV 2017'!H9+'[36]CV 2017'!H10</f>
        <v>65519352532</v>
      </c>
      <c r="I10" s="99">
        <f>'[36]CV 2017'!I9+'[36]CV 2017'!I10</f>
        <v>102330414561</v>
      </c>
      <c r="J10" s="100">
        <f>SUM(B10:I10)</f>
        <v>668222715432</v>
      </c>
      <c r="K10" s="101">
        <f>B10/$K$17</f>
        <v>2712775.9999999967</v>
      </c>
      <c r="L10" s="101">
        <f>C10/$L$17</f>
        <v>4070029.0687844693</v>
      </c>
      <c r="M10" s="101">
        <f>D10/$M$17</f>
        <v>5364997.0893006837</v>
      </c>
      <c r="N10" s="101">
        <f>E10/$N$17</f>
        <v>2575211.6802294794</v>
      </c>
      <c r="O10" s="101">
        <f>F10/$O$17</f>
        <v>3338548.8305825242</v>
      </c>
      <c r="P10" s="101">
        <f>G10/$P$17</f>
        <v>4016594.7710311329</v>
      </c>
      <c r="Q10" s="101">
        <f>H10/$Q$17</f>
        <v>2893325.3491720026</v>
      </c>
      <c r="R10" s="101">
        <f>I10/$R$17</f>
        <v>4519894.6360865729</v>
      </c>
      <c r="S10" s="102">
        <f>SUM(K10:R10)</f>
        <v>29491377.425186861</v>
      </c>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row>
    <row r="11" spans="1:62" s="10" customFormat="1" ht="36" customHeight="1">
      <c r="A11" s="98" t="s">
        <v>1</v>
      </c>
      <c r="B11" s="99">
        <v>0</v>
      </c>
      <c r="C11" s="99"/>
      <c r="D11" s="99">
        <v>684997030</v>
      </c>
      <c r="E11" s="99">
        <v>695513953</v>
      </c>
      <c r="F11" s="99">
        <v>675458504</v>
      </c>
      <c r="G11" s="99">
        <v>583005976</v>
      </c>
      <c r="H11" s="99">
        <f>'[36]CV 2017'!H13</f>
        <v>651526180</v>
      </c>
      <c r="I11" s="99">
        <f>'[36]CV 2017'!I13</f>
        <v>1477915621</v>
      </c>
      <c r="J11" s="100">
        <f t="shared" ref="J11:J12" si="2">SUM(B11:I11)</f>
        <v>4768417264</v>
      </c>
      <c r="K11" s="101">
        <f t="shared" ref="K11:K12" si="3">B11/$K$17</f>
        <v>0</v>
      </c>
      <c r="L11" s="101">
        <f t="shared" ref="L11" si="4">ROUND(C11/22645,2)</f>
        <v>0</v>
      </c>
      <c r="M11" s="101">
        <f t="shared" ref="M11:M12" si="5">D11/$M$17</f>
        <v>30222.679461725125</v>
      </c>
      <c r="N11" s="101">
        <f t="shared" ref="N11:N12" si="6">E11/$N$17</f>
        <v>30693.466593115623</v>
      </c>
      <c r="O11" s="101">
        <f t="shared" ref="O11:O12" si="7">F11/$O$17</f>
        <v>29808.407060900267</v>
      </c>
      <c r="P11" s="101">
        <f t="shared" ref="P11:P12" si="8">G11/$P$17</f>
        <v>25745.461514683153</v>
      </c>
      <c r="Q11" s="101">
        <f t="shared" ref="Q11:Q12" si="9">H11/$Q$17</f>
        <v>28771.30404062707</v>
      </c>
      <c r="R11" s="101">
        <f t="shared" ref="R11:R16" si="10">I11/$R$17</f>
        <v>65278.958524734982</v>
      </c>
      <c r="S11" s="102">
        <f t="shared" ref="S11:S12" si="11">SUM(K11:R11)</f>
        <v>210520.27719578621</v>
      </c>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row>
    <row r="12" spans="1:62" s="10" customFormat="1" ht="36" customHeight="1">
      <c r="A12" s="98" t="s">
        <v>9</v>
      </c>
      <c r="B12" s="99"/>
      <c r="C12" s="99"/>
      <c r="D12" s="99"/>
      <c r="E12" s="99"/>
      <c r="F12" s="99"/>
      <c r="G12" s="99"/>
      <c r="H12" s="99"/>
      <c r="I12" s="99">
        <f>'[36]CV 2017'!I16</f>
        <v>38037928653</v>
      </c>
      <c r="J12" s="100">
        <f t="shared" si="2"/>
        <v>38037928653</v>
      </c>
      <c r="K12" s="101">
        <f t="shared" si="3"/>
        <v>0</v>
      </c>
      <c r="L12" s="101"/>
      <c r="M12" s="101">
        <f t="shared" si="5"/>
        <v>0</v>
      </c>
      <c r="N12" s="101">
        <f t="shared" si="6"/>
        <v>0</v>
      </c>
      <c r="O12" s="101">
        <f t="shared" si="7"/>
        <v>0</v>
      </c>
      <c r="P12" s="101">
        <f t="shared" si="8"/>
        <v>0</v>
      </c>
      <c r="Q12" s="101">
        <f t="shared" si="9"/>
        <v>0</v>
      </c>
      <c r="R12" s="101">
        <f t="shared" si="10"/>
        <v>1680120.5235424028</v>
      </c>
      <c r="S12" s="102">
        <f t="shared" si="11"/>
        <v>1680120.5235424028</v>
      </c>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row>
    <row r="13" spans="1:62" s="14" customFormat="1" ht="36" customHeight="1">
      <c r="A13" s="103" t="s">
        <v>29</v>
      </c>
      <c r="B13" s="104">
        <f t="shared" ref="B13:H13" si="12">B14+B15+B16</f>
        <v>55162160939</v>
      </c>
      <c r="C13" s="104">
        <f t="shared" si="12"/>
        <v>78594221750</v>
      </c>
      <c r="D13" s="104">
        <f t="shared" si="12"/>
        <v>106802411449</v>
      </c>
      <c r="E13" s="104">
        <f t="shared" si="12"/>
        <v>51450937052</v>
      </c>
      <c r="F13" s="104">
        <f t="shared" si="12"/>
        <v>66734236170</v>
      </c>
      <c r="G13" s="104">
        <f t="shared" si="12"/>
        <v>79983016243</v>
      </c>
      <c r="H13" s="104">
        <f t="shared" si="12"/>
        <v>57805308514</v>
      </c>
      <c r="I13" s="104">
        <f>I14+I15+I16</f>
        <v>123753377000</v>
      </c>
      <c r="J13" s="94">
        <f>SUM(B13:I13)</f>
        <v>620285669117</v>
      </c>
      <c r="K13" s="95">
        <f>K14+K15</f>
        <v>2434373.9992605126</v>
      </c>
      <c r="L13" s="95">
        <f t="shared" ref="L13:Q13" si="13">L14+L15</f>
        <v>3467647.1100816238</v>
      </c>
      <c r="M13" s="95">
        <f t="shared" si="13"/>
        <v>4712217.5799249941</v>
      </c>
      <c r="N13" s="95">
        <f t="shared" si="13"/>
        <v>2270562.0940864962</v>
      </c>
      <c r="O13" s="95">
        <f t="shared" si="13"/>
        <v>2945023.6615180937</v>
      </c>
      <c r="P13" s="95">
        <f t="shared" si="13"/>
        <v>3532038.6947670565</v>
      </c>
      <c r="Q13" s="95">
        <f t="shared" si="13"/>
        <v>2552674.2554206224</v>
      </c>
      <c r="R13" s="95">
        <f>R14+R15+R16</f>
        <v>5466138.5600706711</v>
      </c>
      <c r="S13" s="96">
        <f>SUM(K13:R13)</f>
        <v>27380675.95513007</v>
      </c>
      <c r="T13" s="97">
        <f>'[35]IS (01)'!$G$12-S13</f>
        <v>4.8699267208576202E-3</v>
      </c>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row>
    <row r="14" spans="1:62" s="10" customFormat="1" ht="36" customHeight="1">
      <c r="A14" s="98" t="s">
        <v>4</v>
      </c>
      <c r="B14" s="99">
        <v>55162160939</v>
      </c>
      <c r="C14" s="99">
        <v>78594221750</v>
      </c>
      <c r="D14" s="99">
        <v>105741324292</v>
      </c>
      <c r="E14" s="99">
        <v>50744896388</v>
      </c>
      <c r="F14" s="99">
        <v>65786558749</v>
      </c>
      <c r="G14" s="99">
        <v>79095153758</v>
      </c>
      <c r="H14" s="99">
        <f>'[36]CV 2017'!H11</f>
        <v>56975628962</v>
      </c>
      <c r="I14" s="99">
        <f>'[36]CV 2017'!I11</f>
        <v>88986528502</v>
      </c>
      <c r="J14" s="100">
        <f>SUM(B14:I14)</f>
        <v>581086473340</v>
      </c>
      <c r="K14" s="101">
        <f>B14/K18</f>
        <v>2434373.9992605126</v>
      </c>
      <c r="L14" s="101">
        <f>C14/$L$17</f>
        <v>3467647.1100816238</v>
      </c>
      <c r="M14" s="101">
        <f>D14/$M$17</f>
        <v>4665401.4688727111</v>
      </c>
      <c r="N14" s="101">
        <f>E14/$N$17</f>
        <v>2239404.0771403355</v>
      </c>
      <c r="O14" s="101">
        <f>F14/$O$17</f>
        <v>2903202.0630626655</v>
      </c>
      <c r="P14" s="101">
        <f>G14/$P$17</f>
        <v>3492830.8128946787</v>
      </c>
      <c r="Q14" s="101">
        <f>H14/$Q$17</f>
        <v>2516035.7236476042</v>
      </c>
      <c r="R14" s="101">
        <f t="shared" si="10"/>
        <v>3930500.3755300352</v>
      </c>
      <c r="S14" s="102">
        <f>SUM(K14:R14)</f>
        <v>25649395.630490165</v>
      </c>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row>
    <row r="15" spans="1:62" s="10" customFormat="1" ht="36" customHeight="1">
      <c r="A15" s="98" t="s">
        <v>1</v>
      </c>
      <c r="B15" s="99"/>
      <c r="C15" s="99"/>
      <c r="D15" s="99">
        <v>1061087157</v>
      </c>
      <c r="E15" s="99">
        <v>706040664</v>
      </c>
      <c r="F15" s="99">
        <v>947677421</v>
      </c>
      <c r="G15" s="99">
        <v>887862485</v>
      </c>
      <c r="H15" s="99">
        <f>'[36]CV 2017'!H14</f>
        <v>829679552</v>
      </c>
      <c r="I15" s="99">
        <f>'[36]CV 2017'!I14</f>
        <v>1689065741</v>
      </c>
      <c r="J15" s="100">
        <f>SUM(B15:I15)</f>
        <v>6121413020</v>
      </c>
      <c r="K15" s="101">
        <f t="shared" ref="K15:K16" si="14">B15/22660</f>
        <v>0</v>
      </c>
      <c r="L15" s="101">
        <f t="shared" ref="L15" si="15">ROUND(C15/22645,2)</f>
        <v>0</v>
      </c>
      <c r="M15" s="101">
        <f t="shared" ref="M15:M16" si="16">D15/$M$17</f>
        <v>46816.111052283253</v>
      </c>
      <c r="N15" s="101">
        <f t="shared" ref="N15:N16" si="17">E15/$N$17</f>
        <v>31158.016946160635</v>
      </c>
      <c r="O15" s="101">
        <f t="shared" ref="O15:O16" si="18">F15/$O$17</f>
        <v>41821.598455428066</v>
      </c>
      <c r="P15" s="101">
        <f t="shared" ref="P15:P16" si="19">G15/$P$17</f>
        <v>39207.881872378006</v>
      </c>
      <c r="Q15" s="101">
        <f>H15/$Q$17</f>
        <v>36638.531773018323</v>
      </c>
      <c r="R15" s="101">
        <f>I15/$R$17</f>
        <v>74605.377252650171</v>
      </c>
      <c r="S15" s="102">
        <f t="shared" ref="S15:S16" si="20">SUM(K15:R15)</f>
        <v>270247.51735191845</v>
      </c>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row>
    <row r="16" spans="1:62" s="10" customFormat="1" ht="36" customHeight="1">
      <c r="A16" s="98" t="s">
        <v>9</v>
      </c>
      <c r="B16" s="99"/>
      <c r="C16" s="99"/>
      <c r="D16" s="99"/>
      <c r="E16" s="99"/>
      <c r="F16" s="99"/>
      <c r="G16" s="99"/>
      <c r="H16" s="99"/>
      <c r="I16" s="99">
        <f>'[36]CV 2017'!I17</f>
        <v>33077782757</v>
      </c>
      <c r="J16" s="100">
        <f t="shared" ref="J16" si="21">SUM(B16:I16)</f>
        <v>33077782757</v>
      </c>
      <c r="K16" s="101">
        <f t="shared" si="14"/>
        <v>0</v>
      </c>
      <c r="L16" s="101"/>
      <c r="M16" s="101">
        <f t="shared" si="16"/>
        <v>0</v>
      </c>
      <c r="N16" s="101">
        <f t="shared" si="17"/>
        <v>0</v>
      </c>
      <c r="O16" s="101">
        <f t="shared" si="18"/>
        <v>0</v>
      </c>
      <c r="P16" s="101">
        <f t="shared" si="19"/>
        <v>0</v>
      </c>
      <c r="Q16" s="101">
        <f t="shared" ref="Q16" si="22">H16/$Q$17</f>
        <v>0</v>
      </c>
      <c r="R16" s="101">
        <f t="shared" si="10"/>
        <v>1461032.8072879859</v>
      </c>
      <c r="S16" s="102">
        <f t="shared" si="20"/>
        <v>1461032.8072879859</v>
      </c>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row>
    <row r="17" spans="1:62" s="71" customFormat="1" ht="22.5" customHeight="1">
      <c r="A17" s="68"/>
      <c r="B17" s="68"/>
      <c r="C17" s="68"/>
      <c r="D17" s="68"/>
      <c r="E17" s="68"/>
      <c r="F17" s="68"/>
      <c r="G17" s="68"/>
      <c r="H17" s="68"/>
      <c r="I17" s="68"/>
      <c r="J17" s="68"/>
      <c r="K17" s="69">
        <v>22695.010093350898</v>
      </c>
      <c r="L17" s="68">
        <v>22665</v>
      </c>
      <c r="M17" s="68">
        <v>22665</v>
      </c>
      <c r="N17" s="68">
        <v>22660</v>
      </c>
      <c r="O17" s="68">
        <v>22660</v>
      </c>
      <c r="P17" s="68">
        <v>22645</v>
      </c>
      <c r="Q17" s="68">
        <v>22645</v>
      </c>
      <c r="R17" s="68">
        <v>22640</v>
      </c>
      <c r="S17" s="68"/>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s="74" customFormat="1" ht="15.4">
      <c r="A18" s="72"/>
      <c r="B18" s="72"/>
      <c r="C18" s="72"/>
      <c r="D18" s="72"/>
      <c r="E18" s="72"/>
      <c r="F18" s="72"/>
      <c r="G18" s="72"/>
      <c r="H18" s="72"/>
      <c r="I18" s="72"/>
      <c r="J18" s="72"/>
      <c r="K18" s="73">
        <v>22659.690317000001</v>
      </c>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row>
    <row r="19" spans="1:62">
      <c r="A19" s="5"/>
      <c r="B19" s="5"/>
      <c r="C19" s="5"/>
      <c r="D19" s="5"/>
      <c r="E19" s="5"/>
      <c r="F19" s="5"/>
      <c r="G19" s="5"/>
      <c r="H19" s="5"/>
      <c r="I19" s="5"/>
      <c r="J19" s="5"/>
      <c r="K19" s="5"/>
      <c r="L19" s="5"/>
      <c r="M19" s="5"/>
      <c r="N19" s="5"/>
      <c r="O19" s="5"/>
      <c r="P19" s="5"/>
      <c r="Q19" s="5"/>
      <c r="R19" s="5"/>
      <c r="S19" s="5"/>
    </row>
    <row r="20" spans="1:62">
      <c r="A20" s="5"/>
      <c r="B20" s="5"/>
      <c r="C20" s="5"/>
      <c r="D20" s="5"/>
      <c r="E20" s="5"/>
      <c r="F20" s="5"/>
      <c r="G20" s="5"/>
      <c r="H20" s="5"/>
      <c r="I20" s="5"/>
      <c r="J20" s="5"/>
      <c r="K20" s="5"/>
      <c r="L20" s="5"/>
      <c r="M20" s="5"/>
      <c r="N20" s="5"/>
      <c r="O20" s="5"/>
      <c r="P20" s="5"/>
      <c r="Q20" s="5"/>
      <c r="R20" s="5"/>
      <c r="S20" s="5"/>
    </row>
    <row r="21" spans="1:62">
      <c r="A21" s="5"/>
      <c r="B21" s="5"/>
      <c r="C21" s="5"/>
      <c r="D21" s="5"/>
      <c r="E21" s="5"/>
      <c r="F21" s="5"/>
      <c r="G21" s="5"/>
      <c r="H21" s="5"/>
      <c r="I21" s="5"/>
      <c r="J21" s="5"/>
      <c r="K21" s="5"/>
      <c r="L21" s="5"/>
      <c r="M21" s="5"/>
      <c r="N21" s="5"/>
      <c r="O21" s="5"/>
      <c r="P21" s="5"/>
      <c r="Q21" s="5"/>
      <c r="R21" s="5"/>
      <c r="S21" s="5"/>
    </row>
    <row r="22" spans="1:62">
      <c r="K22" s="75"/>
      <c r="O22" s="75"/>
      <c r="P22" s="75"/>
      <c r="Q22" s="75"/>
      <c r="R22" s="75"/>
    </row>
    <row r="23" spans="1:62">
      <c r="K23" s="75"/>
      <c r="O23" s="75"/>
      <c r="Q23" s="75"/>
      <c r="R23" s="75"/>
    </row>
  </sheetData>
  <mergeCells count="5">
    <mergeCell ref="A2:AA2"/>
    <mergeCell ref="A6:A8"/>
    <mergeCell ref="B6:S6"/>
    <mergeCell ref="B7:J7"/>
    <mergeCell ref="K7:S7"/>
  </mergeCells>
  <phoneticPr fontId="110" type="noConversion"/>
  <pageMargins left="0.7" right="0.7" top="0.75" bottom="0.75" header="0.3" footer="0.3"/>
  <pageSetup paperSize="9" scale="23" orientation="portrait" r:id="rId1"/>
  <colBreaks count="1" manualBreakCount="1">
    <brk id="1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Note</vt:lpstr>
      <vt:lpstr>원가이체, 판관비 배부현황(VND)</vt:lpstr>
      <vt:lpstr>원가이체, 판관비 배부현황(1000USD)</vt:lpstr>
      <vt:lpstr>Reparing Cost</vt:lpstr>
      <vt:lpstr>Summary 2026</vt:lpstr>
      <vt:lpstr>Summary 2025</vt:lpstr>
      <vt:lpstr>Summary 2024</vt:lpstr>
      <vt:lpstr>Summary 2023</vt:lpstr>
      <vt:lpstr>Summary 2022</vt:lpstr>
      <vt:lpstr>Summary 2021</vt:lpstr>
      <vt:lpstr>Summary 2020</vt:lpstr>
      <vt:lpstr>Summary 2019</vt:lpstr>
      <vt:lpstr>Summary 2018</vt:lpstr>
      <vt:lpstr>Summary 2017</vt:lpstr>
      <vt:lpstr>'Summary 2017'!Print_Area</vt:lpstr>
      <vt:lpstr>'Summary 2018'!Print_Area</vt:lpstr>
      <vt:lpstr>'Summary 2019'!Print_Area</vt:lpstr>
      <vt:lpstr>'Summary 2020'!Print_Area</vt:lpstr>
      <vt:lpstr>'Summary 2021'!Print_Area</vt:lpstr>
      <vt:lpstr>'Summary 2022'!Print_Area</vt:lpstr>
      <vt:lpstr>'원가이체, 판관비 배부현황(1000USD)'!Print_Area</vt:lpstr>
      <vt:lpstr>'원가이체, 판관비 배부현황(VND)'!Print_Area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Lee Gyeung Ho</cp:lastModifiedBy>
  <cp:lastPrinted>2022-01-11T01:30:36Z</cp:lastPrinted>
  <dcterms:created xsi:type="dcterms:W3CDTF">2017-11-15T06:00:10Z</dcterms:created>
  <dcterms:modified xsi:type="dcterms:W3CDTF">2026-07-18T04:36:16Z</dcterms:modified>
</cp:coreProperties>
</file>