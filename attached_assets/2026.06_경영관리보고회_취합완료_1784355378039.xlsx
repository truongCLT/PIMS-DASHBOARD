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해외근무\베트남\DECV\0. 업무폴더\1. DECV결산\9. 2026년\6월\경영관리\"/>
    </mc:Choice>
  </mc:AlternateContent>
  <xr:revisionPtr revIDLastSave="0" documentId="13_ncr:1_{9AAF2916-E237-47F1-8708-6E4972AA0224}" xr6:coauthVersionLast="47" xr6:coauthVersionMax="47" xr10:uidLastSave="{00000000-0000-0000-0000-000000000000}"/>
  <bookViews>
    <workbookView xWindow="11925" yWindow="-16320" windowWidth="29040" windowHeight="15720" xr2:uid="{E685E260-2924-4EC4-B54B-101FDA9CFA25}"/>
  </bookViews>
  <sheets>
    <sheet name="Sheet1" sheetId="1" r:id="rId1"/>
  </sheets>
  <definedNames>
    <definedName name="_xlnm.Print_Area" localSheetId="0">Sheet1!$A$1:$AD$260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8" i="1" l="1"/>
  <c r="W337" i="1"/>
  <c r="W336" i="1"/>
  <c r="J337" i="1"/>
  <c r="J336" i="1"/>
  <c r="J338" i="1"/>
  <c r="W33" i="1"/>
  <c r="W18" i="1"/>
  <c r="X28" i="1" l="1"/>
  <c r="X26" i="1"/>
  <c r="X253" i="1" l="1"/>
  <c r="X251" i="1"/>
  <c r="X33" i="1" l="1"/>
  <c r="X31" i="1"/>
  <c r="X18" i="1"/>
  <c r="X16" i="1"/>
  <c r="AC331" i="1" l="1"/>
  <c r="AB331" i="1"/>
  <c r="AA331" i="1"/>
  <c r="Z331" i="1"/>
  <c r="Y331" i="1"/>
  <c r="X331" i="1"/>
  <c r="W331" i="1"/>
  <c r="U331" i="1"/>
  <c r="T331" i="1"/>
  <c r="S331" i="1"/>
  <c r="R331" i="1"/>
  <c r="V331" i="1"/>
  <c r="V337" i="1"/>
  <c r="AD16" i="1" l="1"/>
  <c r="U337" i="1" l="1"/>
  <c r="V258" i="1" l="1"/>
  <c r="V256" i="1"/>
  <c r="AC258" i="1"/>
  <c r="AB258" i="1"/>
  <c r="AA258" i="1"/>
  <c r="Z258" i="1"/>
  <c r="Y258" i="1"/>
  <c r="X258" i="1"/>
  <c r="W258" i="1"/>
  <c r="U258" i="1"/>
  <c r="S258" i="1"/>
  <c r="AC256" i="1"/>
  <c r="AB256" i="1"/>
  <c r="AA256" i="1"/>
  <c r="Z256" i="1"/>
  <c r="Y256" i="1"/>
  <c r="X256" i="1"/>
  <c r="W256" i="1"/>
  <c r="U256" i="1"/>
  <c r="T256" i="1"/>
  <c r="S256" i="1"/>
  <c r="R256" i="1"/>
  <c r="AI30" i="1"/>
  <c r="AH30" i="1"/>
  <c r="AG30" i="1"/>
  <c r="AF30" i="1"/>
  <c r="AE30" i="1"/>
  <c r="AC30" i="1"/>
  <c r="AB30" i="1"/>
  <c r="AA30" i="1"/>
  <c r="Z30" i="1"/>
  <c r="Y30" i="1"/>
  <c r="X30" i="1"/>
  <c r="W30" i="1"/>
  <c r="V30" i="1"/>
  <c r="U30" i="1"/>
  <c r="T30" i="1"/>
  <c r="S30" i="1"/>
  <c r="R30" i="1"/>
  <c r="P30" i="1"/>
  <c r="O30" i="1"/>
  <c r="N30" i="1"/>
  <c r="M30" i="1"/>
  <c r="L30" i="1"/>
  <c r="K30" i="1"/>
  <c r="J30" i="1"/>
  <c r="I30" i="1"/>
  <c r="H30" i="1"/>
  <c r="G30" i="1"/>
  <c r="F30" i="1"/>
  <c r="E30" i="1"/>
  <c r="AD28" i="1"/>
  <c r="Q28" i="1"/>
  <c r="AD26" i="1"/>
  <c r="Q26" i="1"/>
  <c r="Q30" i="1" l="1"/>
  <c r="AD30" i="1"/>
  <c r="T18" i="1" l="1"/>
  <c r="T33" i="1"/>
  <c r="T258" i="1" l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P331" i="1"/>
  <c r="O331" i="1"/>
  <c r="N331" i="1"/>
  <c r="M331" i="1"/>
  <c r="L331" i="1"/>
  <c r="K331" i="1"/>
  <c r="J331" i="1"/>
  <c r="I331" i="1"/>
  <c r="H331" i="1"/>
  <c r="G331" i="1"/>
  <c r="F331" i="1"/>
  <c r="P330" i="1"/>
  <c r="O330" i="1"/>
  <c r="N330" i="1"/>
  <c r="M330" i="1"/>
  <c r="L330" i="1"/>
  <c r="K330" i="1"/>
  <c r="J330" i="1"/>
  <c r="I330" i="1"/>
  <c r="H330" i="1"/>
  <c r="G330" i="1"/>
  <c r="F330" i="1"/>
  <c r="E331" i="1"/>
  <c r="E330" i="1"/>
  <c r="I336" i="1" l="1"/>
  <c r="H336" i="1"/>
  <c r="V336" i="1"/>
  <c r="U336" i="1"/>
  <c r="Q331" i="1"/>
  <c r="I337" i="1"/>
  <c r="H337" i="1"/>
  <c r="Q330" i="1"/>
  <c r="R18" i="1"/>
  <c r="R33" i="1"/>
  <c r="AD18" i="1" l="1"/>
  <c r="R258" i="1"/>
  <c r="AD319" i="1"/>
  <c r="AD318" i="1"/>
  <c r="AD317" i="1"/>
  <c r="AD316" i="1"/>
  <c r="AD315" i="1"/>
  <c r="AI314" i="1"/>
  <c r="AH314" i="1"/>
  <c r="AG314" i="1"/>
  <c r="AF314" i="1"/>
  <c r="AE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AD313" i="1"/>
  <c r="AD312" i="1"/>
  <c r="AD311" i="1"/>
  <c r="AD310" i="1"/>
  <c r="AD309" i="1"/>
  <c r="AI308" i="1"/>
  <c r="AH308" i="1"/>
  <c r="AG308" i="1"/>
  <c r="AF308" i="1"/>
  <c r="AE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D307" i="1"/>
  <c r="AD306" i="1"/>
  <c r="Q306" i="1"/>
  <c r="Q305" i="1" s="1"/>
  <c r="AI305" i="1"/>
  <c r="AH305" i="1"/>
  <c r="AG305" i="1"/>
  <c r="AF305" i="1"/>
  <c r="AE305" i="1"/>
  <c r="AC305" i="1"/>
  <c r="AB305" i="1"/>
  <c r="AA305" i="1"/>
  <c r="Z305" i="1"/>
  <c r="Y305" i="1"/>
  <c r="X305" i="1"/>
  <c r="W305" i="1"/>
  <c r="V305" i="1"/>
  <c r="U305" i="1"/>
  <c r="T305" i="1"/>
  <c r="AO13" i="1" s="1"/>
  <c r="S305" i="1"/>
  <c r="AN13" i="1" s="1"/>
  <c r="R305" i="1"/>
  <c r="AM13" i="1" s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AD302" i="1"/>
  <c r="AD301" i="1"/>
  <c r="AD300" i="1"/>
  <c r="Q300" i="1"/>
  <c r="Q283" i="1" s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I283" i="1"/>
  <c r="AH283" i="1"/>
  <c r="AG283" i="1"/>
  <c r="AF283" i="1"/>
  <c r="AE283" i="1"/>
  <c r="AC283" i="1"/>
  <c r="AB283" i="1"/>
  <c r="Z283" i="1"/>
  <c r="Y283" i="1"/>
  <c r="X283" i="1"/>
  <c r="W283" i="1"/>
  <c r="V283" i="1"/>
  <c r="U283" i="1"/>
  <c r="T283" i="1"/>
  <c r="S283" i="1"/>
  <c r="R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I269" i="1"/>
  <c r="AH269" i="1"/>
  <c r="AG269" i="1"/>
  <c r="AF269" i="1"/>
  <c r="AE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AI265" i="1"/>
  <c r="AH265" i="1"/>
  <c r="AG265" i="1"/>
  <c r="AF265" i="1"/>
  <c r="AE265" i="1"/>
  <c r="AD265" i="1"/>
  <c r="Q265" i="1"/>
  <c r="AL11" i="1" s="1"/>
  <c r="AI258" i="1"/>
  <c r="AI8" i="1" s="1"/>
  <c r="AI13" i="1" s="1"/>
  <c r="AH258" i="1"/>
  <c r="AH8" i="1" s="1"/>
  <c r="AG258" i="1"/>
  <c r="AG8" i="1" s="1"/>
  <c r="AF258" i="1"/>
  <c r="AF8" i="1" s="1"/>
  <c r="AF262" i="1" s="1"/>
  <c r="AE258" i="1"/>
  <c r="Z8" i="1"/>
  <c r="Z13" i="1" s="1"/>
  <c r="R8" i="1"/>
  <c r="P258" i="1"/>
  <c r="O258" i="1"/>
  <c r="O8" i="1" s="1"/>
  <c r="O262" i="1" s="1"/>
  <c r="N258" i="1"/>
  <c r="N8" i="1" s="1"/>
  <c r="M258" i="1"/>
  <c r="M8" i="1" s="1"/>
  <c r="M13" i="1" s="1"/>
  <c r="L258" i="1"/>
  <c r="K258" i="1"/>
  <c r="K8" i="1" s="1"/>
  <c r="J258" i="1"/>
  <c r="J8" i="1" s="1"/>
  <c r="J13" i="1" s="1"/>
  <c r="I258" i="1"/>
  <c r="I8" i="1" s="1"/>
  <c r="I13" i="1" s="1"/>
  <c r="H258" i="1"/>
  <c r="H8" i="1" s="1"/>
  <c r="H262" i="1" s="1"/>
  <c r="G258" i="1"/>
  <c r="G8" i="1" s="1"/>
  <c r="F258" i="1"/>
  <c r="F8" i="1" s="1"/>
  <c r="E258" i="1"/>
  <c r="E8" i="1" s="1"/>
  <c r="D258" i="1"/>
  <c r="D8" i="1" s="1"/>
  <c r="AI256" i="1"/>
  <c r="AI6" i="1" s="1"/>
  <c r="AI11" i="1" s="1"/>
  <c r="AH256" i="1"/>
  <c r="AH6" i="1" s="1"/>
  <c r="AH261" i="1" s="1"/>
  <c r="AG256" i="1"/>
  <c r="AF256" i="1"/>
  <c r="AF6" i="1" s="1"/>
  <c r="AE256" i="1"/>
  <c r="AE6" i="1" s="1"/>
  <c r="AE261" i="1" s="1"/>
  <c r="X6" i="1"/>
  <c r="P256" i="1"/>
  <c r="P326" i="1" s="1"/>
  <c r="O256" i="1"/>
  <c r="O326" i="1" s="1"/>
  <c r="N256" i="1"/>
  <c r="N326" i="1" s="1"/>
  <c r="M256" i="1"/>
  <c r="M326" i="1" s="1"/>
  <c r="L256" i="1"/>
  <c r="L326" i="1" s="1"/>
  <c r="K256" i="1"/>
  <c r="K326" i="1" s="1"/>
  <c r="J256" i="1"/>
  <c r="J6" i="1" s="1"/>
  <c r="I256" i="1"/>
  <c r="I326" i="1" s="1"/>
  <c r="H256" i="1"/>
  <c r="H6" i="1" s="1"/>
  <c r="G256" i="1"/>
  <c r="G326" i="1" s="1"/>
  <c r="F256" i="1"/>
  <c r="F326" i="1" s="1"/>
  <c r="E256" i="1"/>
  <c r="E326" i="1" s="1"/>
  <c r="D256" i="1"/>
  <c r="AI255" i="1"/>
  <c r="AH255" i="1"/>
  <c r="AG255" i="1"/>
  <c r="AF255" i="1"/>
  <c r="AE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D253" i="1"/>
  <c r="Q253" i="1"/>
  <c r="AD251" i="1"/>
  <c r="Q251" i="1"/>
  <c r="AI250" i="1"/>
  <c r="AH250" i="1"/>
  <c r="AG250" i="1"/>
  <c r="AF250" i="1"/>
  <c r="AE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D248" i="1"/>
  <c r="AD250" i="1" s="1"/>
  <c r="Q248" i="1"/>
  <c r="AD246" i="1"/>
  <c r="Q246" i="1"/>
  <c r="AI245" i="1"/>
  <c r="AH245" i="1"/>
  <c r="AG245" i="1"/>
  <c r="AF245" i="1"/>
  <c r="AE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D243" i="1"/>
  <c r="Q243" i="1"/>
  <c r="AD241" i="1"/>
  <c r="Q241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P240" i="1"/>
  <c r="P244" i="1" s="1"/>
  <c r="O240" i="1"/>
  <c r="O244" i="1" s="1"/>
  <c r="N240" i="1"/>
  <c r="N244" i="1" s="1"/>
  <c r="M240" i="1"/>
  <c r="M244" i="1" s="1"/>
  <c r="L240" i="1"/>
  <c r="L244" i="1" s="1"/>
  <c r="K240" i="1"/>
  <c r="K244" i="1" s="1"/>
  <c r="J240" i="1"/>
  <c r="J244" i="1" s="1"/>
  <c r="I240" i="1"/>
  <c r="I244" i="1" s="1"/>
  <c r="H240" i="1"/>
  <c r="H244" i="1" s="1"/>
  <c r="G240" i="1"/>
  <c r="G244" i="1" s="1"/>
  <c r="F240" i="1"/>
  <c r="F244" i="1" s="1"/>
  <c r="E240" i="1"/>
  <c r="E244" i="1" s="1"/>
  <c r="AD238" i="1"/>
  <c r="Q238" i="1"/>
  <c r="AD236" i="1"/>
  <c r="Q236" i="1"/>
  <c r="AI235" i="1"/>
  <c r="AH235" i="1"/>
  <c r="AG235" i="1"/>
  <c r="AF235" i="1"/>
  <c r="AE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D233" i="1"/>
  <c r="Q233" i="1"/>
  <c r="AD231" i="1"/>
  <c r="AD235" i="1" s="1"/>
  <c r="Q231" i="1"/>
  <c r="AI230" i="1"/>
  <c r="AH230" i="1"/>
  <c r="AG230" i="1"/>
  <c r="AF230" i="1"/>
  <c r="AE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D228" i="1"/>
  <c r="Q228" i="1"/>
  <c r="AD226" i="1"/>
  <c r="AD230" i="1" s="1"/>
  <c r="Q226" i="1"/>
  <c r="Q230" i="1" s="1"/>
  <c r="AI225" i="1"/>
  <c r="AH225" i="1"/>
  <c r="AG225" i="1"/>
  <c r="AF225" i="1"/>
  <c r="AE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D223" i="1"/>
  <c r="Q223" i="1"/>
  <c r="AD221" i="1"/>
  <c r="Q221" i="1"/>
  <c r="AI220" i="1"/>
  <c r="AH220" i="1"/>
  <c r="AG220" i="1"/>
  <c r="AF220" i="1"/>
  <c r="AE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C218" i="1"/>
  <c r="AC220" i="1" s="1"/>
  <c r="AB218" i="1"/>
  <c r="AA218" i="1"/>
  <c r="Z218" i="1"/>
  <c r="Y218" i="1"/>
  <c r="X218" i="1"/>
  <c r="W218" i="1"/>
  <c r="W220" i="1" s="1"/>
  <c r="V218" i="1"/>
  <c r="U218" i="1"/>
  <c r="T218" i="1"/>
  <c r="S218" i="1"/>
  <c r="R218" i="1"/>
  <c r="Q218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AI215" i="1"/>
  <c r="AH215" i="1"/>
  <c r="AG215" i="1"/>
  <c r="AF215" i="1"/>
  <c r="AE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C213" i="1"/>
  <c r="AC215" i="1" s="1"/>
  <c r="AB213" i="1"/>
  <c r="AB215" i="1" s="1"/>
  <c r="AA213" i="1"/>
  <c r="Z213" i="1"/>
  <c r="Y213" i="1"/>
  <c r="X213" i="1"/>
  <c r="X215" i="1" s="1"/>
  <c r="W213" i="1"/>
  <c r="V213" i="1"/>
  <c r="U213" i="1"/>
  <c r="T213" i="1"/>
  <c r="S213" i="1"/>
  <c r="R213" i="1"/>
  <c r="R215" i="1" s="1"/>
  <c r="Q213" i="1"/>
  <c r="Q215" i="1" s="1"/>
  <c r="AC211" i="1"/>
  <c r="AB211" i="1"/>
  <c r="AA211" i="1"/>
  <c r="Z211" i="1"/>
  <c r="Y211" i="1"/>
  <c r="X211" i="1"/>
  <c r="W211" i="1"/>
  <c r="V211" i="1"/>
  <c r="U211" i="1"/>
  <c r="U215" i="1" s="1"/>
  <c r="T211" i="1"/>
  <c r="S211" i="1"/>
  <c r="R211" i="1"/>
  <c r="Q211" i="1"/>
  <c r="AI210" i="1"/>
  <c r="AH210" i="1"/>
  <c r="AG210" i="1"/>
  <c r="AF210" i="1"/>
  <c r="AE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C208" i="1"/>
  <c r="AC210" i="1" s="1"/>
  <c r="AB208" i="1"/>
  <c r="AA208" i="1"/>
  <c r="Z208" i="1"/>
  <c r="Y208" i="1"/>
  <c r="Y210" i="1" s="1"/>
  <c r="X208" i="1"/>
  <c r="X210" i="1" s="1"/>
  <c r="W208" i="1"/>
  <c r="V208" i="1"/>
  <c r="U208" i="1"/>
  <c r="T208" i="1"/>
  <c r="S208" i="1"/>
  <c r="R208" i="1"/>
  <c r="Q208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AI205" i="1"/>
  <c r="AH205" i="1"/>
  <c r="AG205" i="1"/>
  <c r="AF205" i="1"/>
  <c r="AE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C203" i="1"/>
  <c r="AB203" i="1"/>
  <c r="AA203" i="1"/>
  <c r="Z203" i="1"/>
  <c r="Y203" i="1"/>
  <c r="Y205" i="1" s="1"/>
  <c r="X203" i="1"/>
  <c r="W203" i="1"/>
  <c r="V203" i="1"/>
  <c r="U203" i="1"/>
  <c r="T203" i="1"/>
  <c r="T205" i="1" s="1"/>
  <c r="S203" i="1"/>
  <c r="S205" i="1" s="1"/>
  <c r="R203" i="1"/>
  <c r="R205" i="1" s="1"/>
  <c r="Q203" i="1"/>
  <c r="AC201" i="1"/>
  <c r="AB201" i="1"/>
  <c r="AB326" i="1" s="1"/>
  <c r="AA201" i="1"/>
  <c r="Z201" i="1"/>
  <c r="Y201" i="1"/>
  <c r="X201" i="1"/>
  <c r="W201" i="1"/>
  <c r="V201" i="1"/>
  <c r="U201" i="1"/>
  <c r="T201" i="1"/>
  <c r="S201" i="1"/>
  <c r="R201" i="1"/>
  <c r="Q201" i="1"/>
  <c r="AI200" i="1"/>
  <c r="AH200" i="1"/>
  <c r="AG200" i="1"/>
  <c r="AF200" i="1"/>
  <c r="AE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D198" i="1"/>
  <c r="Q198" i="1"/>
  <c r="AD196" i="1"/>
  <c r="Q196" i="1"/>
  <c r="AI195" i="1"/>
  <c r="AH195" i="1"/>
  <c r="AG195" i="1"/>
  <c r="AF195" i="1"/>
  <c r="AE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D193" i="1"/>
  <c r="Q193" i="1"/>
  <c r="AD191" i="1"/>
  <c r="Q191" i="1"/>
  <c r="AI190" i="1"/>
  <c r="AH190" i="1"/>
  <c r="AG190" i="1"/>
  <c r="AF190" i="1"/>
  <c r="AE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D188" i="1"/>
  <c r="Q188" i="1"/>
  <c r="AD186" i="1"/>
  <c r="Q186" i="1"/>
  <c r="AI185" i="1"/>
  <c r="AH185" i="1"/>
  <c r="AG185" i="1"/>
  <c r="AF185" i="1"/>
  <c r="AE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D183" i="1"/>
  <c r="Q183" i="1"/>
  <c r="AD181" i="1"/>
  <c r="Q181" i="1"/>
  <c r="Q185" i="1" s="1"/>
  <c r="AI180" i="1"/>
  <c r="AH180" i="1"/>
  <c r="AG180" i="1"/>
  <c r="AF180" i="1"/>
  <c r="AE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D178" i="1"/>
  <c r="Q178" i="1"/>
  <c r="AD176" i="1"/>
  <c r="Q176" i="1"/>
  <c r="Q180" i="1" s="1"/>
  <c r="AI175" i="1"/>
  <c r="AH175" i="1"/>
  <c r="AG175" i="1"/>
  <c r="AF175" i="1"/>
  <c r="AE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D173" i="1"/>
  <c r="Q173" i="1"/>
  <c r="AD171" i="1"/>
  <c r="Q171" i="1"/>
  <c r="AI170" i="1"/>
  <c r="AH170" i="1"/>
  <c r="AG170" i="1"/>
  <c r="AF170" i="1"/>
  <c r="AE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D168" i="1"/>
  <c r="Q168" i="1"/>
  <c r="AD166" i="1"/>
  <c r="Q166" i="1"/>
  <c r="AI165" i="1"/>
  <c r="AH165" i="1"/>
  <c r="AG165" i="1"/>
  <c r="AF165" i="1"/>
  <c r="AE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D163" i="1"/>
  <c r="Q163" i="1"/>
  <c r="AD161" i="1"/>
  <c r="Q161" i="1"/>
  <c r="AI160" i="1"/>
  <c r="AH160" i="1"/>
  <c r="AG160" i="1"/>
  <c r="AF160" i="1"/>
  <c r="AE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D158" i="1"/>
  <c r="Q158" i="1"/>
  <c r="AD156" i="1"/>
  <c r="Q156" i="1"/>
  <c r="AI155" i="1"/>
  <c r="AH155" i="1"/>
  <c r="AG155" i="1"/>
  <c r="AF155" i="1"/>
  <c r="AE155" i="1"/>
  <c r="AC155" i="1"/>
  <c r="AB155" i="1"/>
  <c r="AA155" i="1"/>
  <c r="Z155" i="1"/>
  <c r="T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D153" i="1"/>
  <c r="V155" i="1"/>
  <c r="U155" i="1"/>
  <c r="S155" i="1"/>
  <c r="Q153" i="1"/>
  <c r="X155" i="1"/>
  <c r="Q151" i="1"/>
  <c r="AI150" i="1"/>
  <c r="AH150" i="1"/>
  <c r="AG150" i="1"/>
  <c r="AF150" i="1"/>
  <c r="AE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D148" i="1"/>
  <c r="Q148" i="1"/>
  <c r="AD146" i="1"/>
  <c r="Q146" i="1"/>
  <c r="AI145" i="1"/>
  <c r="AH145" i="1"/>
  <c r="AG145" i="1"/>
  <c r="AF145" i="1"/>
  <c r="AE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D143" i="1"/>
  <c r="Q143" i="1"/>
  <c r="AD141" i="1"/>
  <c r="Q141" i="1"/>
  <c r="AI140" i="1"/>
  <c r="AH140" i="1"/>
  <c r="AG140" i="1"/>
  <c r="AF140" i="1"/>
  <c r="AE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D138" i="1"/>
  <c r="Q138" i="1"/>
  <c r="AD136" i="1"/>
  <c r="Q136" i="1"/>
  <c r="Q140" i="1" s="1"/>
  <c r="AI135" i="1"/>
  <c r="AH135" i="1"/>
  <c r="AG135" i="1"/>
  <c r="AF135" i="1"/>
  <c r="AE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AD133" i="1"/>
  <c r="Q133" i="1"/>
  <c r="AD131" i="1"/>
  <c r="Q131" i="1"/>
  <c r="AI130" i="1"/>
  <c r="AH130" i="1"/>
  <c r="AG130" i="1"/>
  <c r="AF130" i="1"/>
  <c r="AE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AD128" i="1"/>
  <c r="AD129" i="1" s="1"/>
  <c r="Q128" i="1"/>
  <c r="AD126" i="1"/>
  <c r="Q126" i="1"/>
  <c r="AI125" i="1"/>
  <c r="AH125" i="1"/>
  <c r="AG125" i="1"/>
  <c r="AF125" i="1"/>
  <c r="AE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AD123" i="1"/>
  <c r="Q123" i="1"/>
  <c r="AD121" i="1"/>
  <c r="Q121" i="1"/>
  <c r="AI120" i="1"/>
  <c r="AH120" i="1"/>
  <c r="AG120" i="1"/>
  <c r="AF120" i="1"/>
  <c r="AE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AD118" i="1"/>
  <c r="Q118" i="1"/>
  <c r="AD116" i="1"/>
  <c r="Q116" i="1"/>
  <c r="AI115" i="1"/>
  <c r="AH115" i="1"/>
  <c r="AG115" i="1"/>
  <c r="AF115" i="1"/>
  <c r="AE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AD113" i="1"/>
  <c r="Q113" i="1"/>
  <c r="AD111" i="1"/>
  <c r="Q111" i="1"/>
  <c r="AI110" i="1"/>
  <c r="AH110" i="1"/>
  <c r="AG110" i="1"/>
  <c r="AF110" i="1"/>
  <c r="AE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AD108" i="1"/>
  <c r="Q108" i="1"/>
  <c r="AD106" i="1"/>
  <c r="Q106" i="1"/>
  <c r="AI105" i="1"/>
  <c r="AH105" i="1"/>
  <c r="AG105" i="1"/>
  <c r="AF105" i="1"/>
  <c r="AE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AD103" i="1"/>
  <c r="Q103" i="1"/>
  <c r="AD101" i="1"/>
  <c r="Q101" i="1"/>
  <c r="Q105" i="1" s="1"/>
  <c r="AI100" i="1"/>
  <c r="AH100" i="1"/>
  <c r="AG100" i="1"/>
  <c r="AF100" i="1"/>
  <c r="AE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AD98" i="1"/>
  <c r="Q98" i="1"/>
  <c r="AD96" i="1"/>
  <c r="Q96" i="1"/>
  <c r="AI95" i="1"/>
  <c r="AH95" i="1"/>
  <c r="AG95" i="1"/>
  <c r="AF95" i="1"/>
  <c r="AE95" i="1"/>
  <c r="AC95" i="1"/>
  <c r="AB95" i="1"/>
  <c r="AA95" i="1"/>
  <c r="Z95" i="1"/>
  <c r="Y95" i="1"/>
  <c r="X95" i="1"/>
  <c r="W95" i="1"/>
  <c r="V95" i="1"/>
  <c r="U95" i="1"/>
  <c r="T95" i="1"/>
  <c r="S95" i="1"/>
  <c r="R95" i="1"/>
  <c r="P95" i="1"/>
  <c r="O95" i="1"/>
  <c r="N95" i="1"/>
  <c r="M95" i="1"/>
  <c r="L95" i="1"/>
  <c r="K95" i="1"/>
  <c r="J95" i="1"/>
  <c r="I95" i="1"/>
  <c r="H95" i="1"/>
  <c r="G95" i="1"/>
  <c r="F95" i="1"/>
  <c r="E95" i="1"/>
  <c r="AD93" i="1"/>
  <c r="Q93" i="1"/>
  <c r="AD91" i="1"/>
  <c r="AD95" i="1" s="1"/>
  <c r="Q91" i="1"/>
  <c r="AI90" i="1"/>
  <c r="AH90" i="1"/>
  <c r="AG90" i="1"/>
  <c r="AF90" i="1"/>
  <c r="AE90" i="1"/>
  <c r="AC90" i="1"/>
  <c r="AB90" i="1"/>
  <c r="AA90" i="1"/>
  <c r="Z90" i="1"/>
  <c r="Y90" i="1"/>
  <c r="X90" i="1"/>
  <c r="W90" i="1"/>
  <c r="V90" i="1"/>
  <c r="U90" i="1"/>
  <c r="T90" i="1"/>
  <c r="S90" i="1"/>
  <c r="R90" i="1"/>
  <c r="P90" i="1"/>
  <c r="O90" i="1"/>
  <c r="N90" i="1"/>
  <c r="M90" i="1"/>
  <c r="L90" i="1"/>
  <c r="K90" i="1"/>
  <c r="J90" i="1"/>
  <c r="I90" i="1"/>
  <c r="H90" i="1"/>
  <c r="G90" i="1"/>
  <c r="F90" i="1"/>
  <c r="E90" i="1"/>
  <c r="AD88" i="1"/>
  <c r="Q88" i="1"/>
  <c r="AD86" i="1"/>
  <c r="Q86" i="1"/>
  <c r="AI85" i="1"/>
  <c r="AH85" i="1"/>
  <c r="AG85" i="1"/>
  <c r="AF85" i="1"/>
  <c r="AE85" i="1"/>
  <c r="AC85" i="1"/>
  <c r="AB85" i="1"/>
  <c r="AA85" i="1"/>
  <c r="Z85" i="1"/>
  <c r="Y85" i="1"/>
  <c r="X85" i="1"/>
  <c r="W85" i="1"/>
  <c r="V85" i="1"/>
  <c r="U85" i="1"/>
  <c r="T85" i="1"/>
  <c r="S85" i="1"/>
  <c r="R85" i="1"/>
  <c r="P85" i="1"/>
  <c r="O85" i="1"/>
  <c r="N85" i="1"/>
  <c r="M85" i="1"/>
  <c r="L85" i="1"/>
  <c r="K85" i="1"/>
  <c r="J85" i="1"/>
  <c r="I85" i="1"/>
  <c r="H85" i="1"/>
  <c r="G85" i="1"/>
  <c r="F85" i="1"/>
  <c r="E85" i="1"/>
  <c r="AD83" i="1"/>
  <c r="Q83" i="1"/>
  <c r="AD81" i="1"/>
  <c r="Q81" i="1"/>
  <c r="Q85" i="1" s="1"/>
  <c r="AI80" i="1"/>
  <c r="AH80" i="1"/>
  <c r="AG80" i="1"/>
  <c r="AF80" i="1"/>
  <c r="AE80" i="1"/>
  <c r="AC80" i="1"/>
  <c r="AB80" i="1"/>
  <c r="AA80" i="1"/>
  <c r="Z80" i="1"/>
  <c r="Y80" i="1"/>
  <c r="X80" i="1"/>
  <c r="W80" i="1"/>
  <c r="V80" i="1"/>
  <c r="U80" i="1"/>
  <c r="T80" i="1"/>
  <c r="S80" i="1"/>
  <c r="R80" i="1"/>
  <c r="P80" i="1"/>
  <c r="O80" i="1"/>
  <c r="N80" i="1"/>
  <c r="M80" i="1"/>
  <c r="L80" i="1"/>
  <c r="K80" i="1"/>
  <c r="J80" i="1"/>
  <c r="I80" i="1"/>
  <c r="H80" i="1"/>
  <c r="G80" i="1"/>
  <c r="F80" i="1"/>
  <c r="E80" i="1"/>
  <c r="AD78" i="1"/>
  <c r="Q78" i="1"/>
  <c r="AD76" i="1"/>
  <c r="Q76" i="1"/>
  <c r="AI75" i="1"/>
  <c r="AH75" i="1"/>
  <c r="AG75" i="1"/>
  <c r="AF75" i="1"/>
  <c r="AE75" i="1"/>
  <c r="AC75" i="1"/>
  <c r="AB75" i="1"/>
  <c r="AA75" i="1"/>
  <c r="Z75" i="1"/>
  <c r="Y75" i="1"/>
  <c r="X75" i="1"/>
  <c r="W75" i="1"/>
  <c r="V75" i="1"/>
  <c r="U75" i="1"/>
  <c r="T75" i="1"/>
  <c r="S75" i="1"/>
  <c r="R75" i="1"/>
  <c r="P75" i="1"/>
  <c r="O75" i="1"/>
  <c r="N75" i="1"/>
  <c r="M75" i="1"/>
  <c r="L75" i="1"/>
  <c r="K75" i="1"/>
  <c r="J75" i="1"/>
  <c r="I75" i="1"/>
  <c r="H75" i="1"/>
  <c r="G75" i="1"/>
  <c r="F75" i="1"/>
  <c r="E75" i="1"/>
  <c r="AD73" i="1"/>
  <c r="Q73" i="1"/>
  <c r="AD71" i="1"/>
  <c r="Q71" i="1"/>
  <c r="AI70" i="1"/>
  <c r="AH70" i="1"/>
  <c r="AG70" i="1"/>
  <c r="AF70" i="1"/>
  <c r="AE70" i="1"/>
  <c r="AC70" i="1"/>
  <c r="AB70" i="1"/>
  <c r="AA70" i="1"/>
  <c r="Z70" i="1"/>
  <c r="Y70" i="1"/>
  <c r="X70" i="1"/>
  <c r="W70" i="1"/>
  <c r="V70" i="1"/>
  <c r="U70" i="1"/>
  <c r="T70" i="1"/>
  <c r="S70" i="1"/>
  <c r="R70" i="1"/>
  <c r="P70" i="1"/>
  <c r="O70" i="1"/>
  <c r="N70" i="1"/>
  <c r="M70" i="1"/>
  <c r="L70" i="1"/>
  <c r="K70" i="1"/>
  <c r="J70" i="1"/>
  <c r="I70" i="1"/>
  <c r="H70" i="1"/>
  <c r="G70" i="1"/>
  <c r="F70" i="1"/>
  <c r="E70" i="1"/>
  <c r="AD68" i="1"/>
  <c r="Q68" i="1"/>
  <c r="AD66" i="1"/>
  <c r="Q66" i="1"/>
  <c r="AI65" i="1"/>
  <c r="AH65" i="1"/>
  <c r="AG65" i="1"/>
  <c r="AF65" i="1"/>
  <c r="AE65" i="1"/>
  <c r="AC65" i="1"/>
  <c r="AB65" i="1"/>
  <c r="AA65" i="1"/>
  <c r="Z65" i="1"/>
  <c r="Y65" i="1"/>
  <c r="X65" i="1"/>
  <c r="W65" i="1"/>
  <c r="V65" i="1"/>
  <c r="U65" i="1"/>
  <c r="T65" i="1"/>
  <c r="S65" i="1"/>
  <c r="R65" i="1"/>
  <c r="P65" i="1"/>
  <c r="O65" i="1"/>
  <c r="N65" i="1"/>
  <c r="M65" i="1"/>
  <c r="L65" i="1"/>
  <c r="K65" i="1"/>
  <c r="J65" i="1"/>
  <c r="I65" i="1"/>
  <c r="H65" i="1"/>
  <c r="G65" i="1"/>
  <c r="F65" i="1"/>
  <c r="E65" i="1"/>
  <c r="AD63" i="1"/>
  <c r="Q63" i="1"/>
  <c r="AD61" i="1"/>
  <c r="Q61" i="1"/>
  <c r="AI60" i="1"/>
  <c r="AH60" i="1"/>
  <c r="AG60" i="1"/>
  <c r="AF60" i="1"/>
  <c r="AE60" i="1"/>
  <c r="AC60" i="1"/>
  <c r="AB60" i="1"/>
  <c r="AA60" i="1"/>
  <c r="Z60" i="1"/>
  <c r="Y60" i="1"/>
  <c r="X60" i="1"/>
  <c r="W60" i="1"/>
  <c r="V60" i="1"/>
  <c r="U60" i="1"/>
  <c r="T60" i="1"/>
  <c r="S60" i="1"/>
  <c r="R60" i="1"/>
  <c r="P60" i="1"/>
  <c r="O60" i="1"/>
  <c r="N60" i="1"/>
  <c r="M60" i="1"/>
  <c r="L60" i="1"/>
  <c r="K60" i="1"/>
  <c r="J60" i="1"/>
  <c r="I60" i="1"/>
  <c r="H60" i="1"/>
  <c r="G60" i="1"/>
  <c r="F60" i="1"/>
  <c r="E60" i="1"/>
  <c r="AD58" i="1"/>
  <c r="Q58" i="1"/>
  <c r="AD56" i="1"/>
  <c r="Q56" i="1"/>
  <c r="AI55" i="1"/>
  <c r="AH55" i="1"/>
  <c r="AG55" i="1"/>
  <c r="AF55" i="1"/>
  <c r="AE55" i="1"/>
  <c r="AC55" i="1"/>
  <c r="AB55" i="1"/>
  <c r="AA55" i="1"/>
  <c r="Z55" i="1"/>
  <c r="Y55" i="1"/>
  <c r="X55" i="1"/>
  <c r="W55" i="1"/>
  <c r="V55" i="1"/>
  <c r="U55" i="1"/>
  <c r="T55" i="1"/>
  <c r="S55" i="1"/>
  <c r="R55" i="1"/>
  <c r="P55" i="1"/>
  <c r="O55" i="1"/>
  <c r="N55" i="1"/>
  <c r="M55" i="1"/>
  <c r="L55" i="1"/>
  <c r="K55" i="1"/>
  <c r="J55" i="1"/>
  <c r="I55" i="1"/>
  <c r="H55" i="1"/>
  <c r="G55" i="1"/>
  <c r="F55" i="1"/>
  <c r="E55" i="1"/>
  <c r="AD53" i="1"/>
  <c r="Q53" i="1"/>
  <c r="AD51" i="1"/>
  <c r="Q51" i="1"/>
  <c r="AI50" i="1"/>
  <c r="AH50" i="1"/>
  <c r="AG50" i="1"/>
  <c r="AF50" i="1"/>
  <c r="AE50" i="1"/>
  <c r="AC50" i="1"/>
  <c r="AB50" i="1"/>
  <c r="AA50" i="1"/>
  <c r="Z50" i="1"/>
  <c r="Y50" i="1"/>
  <c r="X50" i="1"/>
  <c r="W50" i="1"/>
  <c r="V50" i="1"/>
  <c r="U50" i="1"/>
  <c r="T50" i="1"/>
  <c r="S50" i="1"/>
  <c r="R50" i="1"/>
  <c r="P50" i="1"/>
  <c r="O50" i="1"/>
  <c r="N50" i="1"/>
  <c r="M50" i="1"/>
  <c r="L50" i="1"/>
  <c r="K50" i="1"/>
  <c r="J50" i="1"/>
  <c r="I50" i="1"/>
  <c r="H50" i="1"/>
  <c r="G50" i="1"/>
  <c r="F50" i="1"/>
  <c r="E50" i="1"/>
  <c r="AD48" i="1"/>
  <c r="AD50" i="1" s="1"/>
  <c r="Q48" i="1"/>
  <c r="AD46" i="1"/>
  <c r="Q46" i="1"/>
  <c r="AI45" i="1"/>
  <c r="AH45" i="1"/>
  <c r="AG45" i="1"/>
  <c r="AF45" i="1"/>
  <c r="AE45" i="1"/>
  <c r="AC45" i="1"/>
  <c r="AB45" i="1"/>
  <c r="AA45" i="1"/>
  <c r="Z45" i="1"/>
  <c r="Y45" i="1"/>
  <c r="X45" i="1"/>
  <c r="W45" i="1"/>
  <c r="V45" i="1"/>
  <c r="U45" i="1"/>
  <c r="T45" i="1"/>
  <c r="P45" i="1"/>
  <c r="O45" i="1"/>
  <c r="N45" i="1"/>
  <c r="M45" i="1"/>
  <c r="L45" i="1"/>
  <c r="K45" i="1"/>
  <c r="J45" i="1"/>
  <c r="I45" i="1"/>
  <c r="H45" i="1"/>
  <c r="G45" i="1"/>
  <c r="F45" i="1"/>
  <c r="E45" i="1"/>
  <c r="S43" i="1"/>
  <c r="R43" i="1"/>
  <c r="Q43" i="1"/>
  <c r="S41" i="1"/>
  <c r="R41" i="1"/>
  <c r="R326" i="1" s="1"/>
  <c r="Q41" i="1"/>
  <c r="AI40" i="1"/>
  <c r="AH40" i="1"/>
  <c r="AG40" i="1"/>
  <c r="AF40" i="1"/>
  <c r="AE40" i="1"/>
  <c r="AC40" i="1"/>
  <c r="AB40" i="1"/>
  <c r="AA40" i="1"/>
  <c r="Z40" i="1"/>
  <c r="Y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F40" i="1"/>
  <c r="E40" i="1"/>
  <c r="AD38" i="1"/>
  <c r="Q38" i="1"/>
  <c r="AD36" i="1"/>
  <c r="Q36" i="1"/>
  <c r="AI35" i="1"/>
  <c r="AH35" i="1"/>
  <c r="AG35" i="1"/>
  <c r="AF35" i="1"/>
  <c r="AE35" i="1"/>
  <c r="AC35" i="1"/>
  <c r="AB35" i="1"/>
  <c r="AA35" i="1"/>
  <c r="Z35" i="1"/>
  <c r="Y35" i="1"/>
  <c r="X35" i="1"/>
  <c r="W35" i="1"/>
  <c r="V35" i="1"/>
  <c r="U35" i="1"/>
  <c r="T35" i="1"/>
  <c r="S35" i="1"/>
  <c r="R35" i="1"/>
  <c r="P35" i="1"/>
  <c r="O35" i="1"/>
  <c r="N35" i="1"/>
  <c r="M35" i="1"/>
  <c r="L35" i="1"/>
  <c r="K35" i="1"/>
  <c r="J35" i="1"/>
  <c r="I35" i="1"/>
  <c r="H35" i="1"/>
  <c r="G35" i="1"/>
  <c r="F35" i="1"/>
  <c r="E35" i="1"/>
  <c r="AD33" i="1"/>
  <c r="Q33" i="1"/>
  <c r="AD31" i="1"/>
  <c r="Q31" i="1"/>
  <c r="AI25" i="1"/>
  <c r="AH25" i="1"/>
  <c r="AG25" i="1"/>
  <c r="AF25" i="1"/>
  <c r="AE25" i="1"/>
  <c r="AC25" i="1"/>
  <c r="AB25" i="1"/>
  <c r="AA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L25" i="1"/>
  <c r="K25" i="1"/>
  <c r="J25" i="1"/>
  <c r="I25" i="1"/>
  <c r="H25" i="1"/>
  <c r="G25" i="1"/>
  <c r="F25" i="1"/>
  <c r="E25" i="1"/>
  <c r="AD23" i="1"/>
  <c r="Q23" i="1"/>
  <c r="AD21" i="1"/>
  <c r="Q21" i="1"/>
  <c r="AI20" i="1"/>
  <c r="AH20" i="1"/>
  <c r="AG20" i="1"/>
  <c r="AF20" i="1"/>
  <c r="AE20" i="1"/>
  <c r="AC20" i="1"/>
  <c r="AB20" i="1"/>
  <c r="AA20" i="1"/>
  <c r="Z20" i="1"/>
  <c r="Y20" i="1"/>
  <c r="X20" i="1"/>
  <c r="W20" i="1"/>
  <c r="V20" i="1"/>
  <c r="U20" i="1"/>
  <c r="T20" i="1"/>
  <c r="S20" i="1"/>
  <c r="R20" i="1"/>
  <c r="P20" i="1"/>
  <c r="O20" i="1"/>
  <c r="N20" i="1"/>
  <c r="M20" i="1"/>
  <c r="L20" i="1"/>
  <c r="K20" i="1"/>
  <c r="J20" i="1"/>
  <c r="I20" i="1"/>
  <c r="H20" i="1"/>
  <c r="G20" i="1"/>
  <c r="F20" i="1"/>
  <c r="E20" i="1"/>
  <c r="Q18" i="1"/>
  <c r="Q16" i="1"/>
  <c r="AP15" i="1"/>
  <c r="AP12" i="1"/>
  <c r="AO11" i="1"/>
  <c r="AN11" i="1"/>
  <c r="AM11" i="1"/>
  <c r="AE8" i="1"/>
  <c r="AE262" i="1" s="1"/>
  <c r="AI5" i="1"/>
  <c r="AH5" i="1"/>
  <c r="AG5" i="1"/>
  <c r="AF5" i="1"/>
  <c r="AE5" i="1"/>
  <c r="AD5" i="1"/>
  <c r="Q5" i="1"/>
  <c r="AD4" i="1"/>
  <c r="Q4" i="1"/>
  <c r="Q40" i="1" l="1"/>
  <c r="Q115" i="1"/>
  <c r="AA210" i="1"/>
  <c r="U205" i="1"/>
  <c r="U220" i="1"/>
  <c r="F6" i="1"/>
  <c r="F266" i="1" s="1"/>
  <c r="H13" i="1"/>
  <c r="AD100" i="1"/>
  <c r="M6" i="1"/>
  <c r="M261" i="1" s="1"/>
  <c r="P6" i="1"/>
  <c r="P261" i="1" s="1"/>
  <c r="S215" i="1"/>
  <c r="V215" i="1"/>
  <c r="AA220" i="1"/>
  <c r="AD80" i="1"/>
  <c r="AD160" i="1"/>
  <c r="S210" i="1"/>
  <c r="W215" i="1"/>
  <c r="Y220" i="1"/>
  <c r="AB220" i="1"/>
  <c r="AD60" i="1"/>
  <c r="S220" i="1"/>
  <c r="Q245" i="1"/>
  <c r="Q45" i="1"/>
  <c r="Q130" i="1"/>
  <c r="AI10" i="1"/>
  <c r="Q60" i="1"/>
  <c r="AD120" i="1"/>
  <c r="Q125" i="1"/>
  <c r="AD130" i="1"/>
  <c r="Q250" i="1"/>
  <c r="Q255" i="1"/>
  <c r="Q220" i="1"/>
  <c r="AD190" i="1"/>
  <c r="AD85" i="1"/>
  <c r="Q90" i="1"/>
  <c r="Q190" i="1"/>
  <c r="Q20" i="1"/>
  <c r="AD90" i="1"/>
  <c r="AF266" i="1"/>
  <c r="R220" i="1"/>
  <c r="X205" i="1"/>
  <c r="X220" i="1"/>
  <c r="AD211" i="1"/>
  <c r="Q100" i="1"/>
  <c r="Q200" i="1"/>
  <c r="Q50" i="1"/>
  <c r="AD105" i="1"/>
  <c r="Q110" i="1"/>
  <c r="Q120" i="1"/>
  <c r="W205" i="1"/>
  <c r="Q235" i="1"/>
  <c r="Q240" i="1"/>
  <c r="Q35" i="1"/>
  <c r="Q225" i="1"/>
  <c r="V205" i="1"/>
  <c r="Y215" i="1"/>
  <c r="AD225" i="1"/>
  <c r="I6" i="1"/>
  <c r="I261" i="1" s="1"/>
  <c r="S45" i="1"/>
  <c r="W210" i="1"/>
  <c r="Q55" i="1"/>
  <c r="AD65" i="1"/>
  <c r="Q70" i="1"/>
  <c r="Q135" i="1"/>
  <c r="Q145" i="1"/>
  <c r="Z220" i="1"/>
  <c r="AD245" i="1"/>
  <c r="Q65" i="1"/>
  <c r="Q75" i="1"/>
  <c r="AD145" i="1"/>
  <c r="Q150" i="1"/>
  <c r="Q170" i="1"/>
  <c r="Z205" i="1"/>
  <c r="AB210" i="1"/>
  <c r="T215" i="1"/>
  <c r="Z210" i="1"/>
  <c r="AD75" i="1"/>
  <c r="Q80" i="1"/>
  <c r="Q175" i="1"/>
  <c r="D263" i="1"/>
  <c r="D267" i="1" s="1"/>
  <c r="D303" i="1" s="1"/>
  <c r="AD43" i="1"/>
  <c r="AD213" i="1"/>
  <c r="AA205" i="1"/>
  <c r="AD175" i="1"/>
  <c r="Q205" i="1"/>
  <c r="Q95" i="1"/>
  <c r="Q195" i="1"/>
  <c r="Q210" i="1"/>
  <c r="AD25" i="1"/>
  <c r="AD55" i="1"/>
  <c r="AD150" i="1"/>
  <c r="AD180" i="1"/>
  <c r="AD308" i="1"/>
  <c r="AP13" i="1"/>
  <c r="AD305" i="1"/>
  <c r="AL13" i="1"/>
  <c r="AD283" i="1"/>
  <c r="N6" i="1"/>
  <c r="N11" i="1" s="1"/>
  <c r="AE260" i="1"/>
  <c r="O6" i="1"/>
  <c r="O10" i="1" s="1"/>
  <c r="AF260" i="1"/>
  <c r="AE11" i="1"/>
  <c r="D260" i="1"/>
  <c r="AI266" i="1"/>
  <c r="AI15" i="1"/>
  <c r="D13" i="1"/>
  <c r="D6" i="1"/>
  <c r="E6" i="1"/>
  <c r="E261" i="1" s="1"/>
  <c r="AI261" i="1"/>
  <c r="AI262" i="1"/>
  <c r="Q160" i="1"/>
  <c r="Q165" i="1"/>
  <c r="AE266" i="1"/>
  <c r="Q155" i="1"/>
  <c r="I260" i="1"/>
  <c r="J260" i="1"/>
  <c r="K260" i="1"/>
  <c r="P260" i="1"/>
  <c r="H326" i="1"/>
  <c r="K6" i="1"/>
  <c r="K261" i="1" s="1"/>
  <c r="L6" i="1"/>
  <c r="N13" i="1"/>
  <c r="Q258" i="1"/>
  <c r="M332" i="1"/>
  <c r="N332" i="1"/>
  <c r="J326" i="1"/>
  <c r="M11" i="1"/>
  <c r="M15" i="1" s="1"/>
  <c r="M10" i="1"/>
  <c r="F260" i="1"/>
  <c r="M262" i="1"/>
  <c r="G260" i="1"/>
  <c r="N262" i="1"/>
  <c r="P8" i="1"/>
  <c r="E260" i="1"/>
  <c r="H260" i="1"/>
  <c r="L260" i="1"/>
  <c r="M260" i="1"/>
  <c r="N260" i="1"/>
  <c r="O260" i="1"/>
  <c r="F332" i="1"/>
  <c r="F333" i="1" s="1"/>
  <c r="AD135" i="1"/>
  <c r="AD125" i="1"/>
  <c r="AD185" i="1"/>
  <c r="AD20" i="1"/>
  <c r="AD35" i="1"/>
  <c r="AD200" i="1"/>
  <c r="R6" i="1"/>
  <c r="W6" i="1"/>
  <c r="W326" i="1"/>
  <c r="AD218" i="1"/>
  <c r="H332" i="1"/>
  <c r="H333" i="1" s="1"/>
  <c r="H266" i="1"/>
  <c r="H11" i="1"/>
  <c r="H263" i="1"/>
  <c r="H261" i="1"/>
  <c r="AD216" i="1"/>
  <c r="J332" i="1"/>
  <c r="J333" i="1" s="1"/>
  <c r="J266" i="1"/>
  <c r="J261" i="1"/>
  <c r="J11" i="1"/>
  <c r="J15" i="1" s="1"/>
  <c r="J263" i="1"/>
  <c r="V210" i="1"/>
  <c r="AH10" i="1"/>
  <c r="AH262" i="1"/>
  <c r="AH13" i="1"/>
  <c r="AB205" i="1"/>
  <c r="U6" i="1"/>
  <c r="U326" i="1"/>
  <c r="X332" i="1"/>
  <c r="X333" i="1" s="1"/>
  <c r="X266" i="1"/>
  <c r="X11" i="1"/>
  <c r="X261" i="1"/>
  <c r="E262" i="1"/>
  <c r="E13" i="1"/>
  <c r="AD314" i="1"/>
  <c r="AH11" i="1"/>
  <c r="AH263" i="1"/>
  <c r="AH266" i="1"/>
  <c r="R13" i="1"/>
  <c r="AM10" i="1"/>
  <c r="R262" i="1"/>
  <c r="V6" i="1"/>
  <c r="V326" i="1"/>
  <c r="AG6" i="1"/>
  <c r="AG260" i="1"/>
  <c r="U260" i="1"/>
  <c r="AP11" i="1"/>
  <c r="AD208" i="1"/>
  <c r="AF261" i="1"/>
  <c r="AF263" i="1"/>
  <c r="T210" i="1"/>
  <c r="AH260" i="1"/>
  <c r="U8" i="1"/>
  <c r="AE10" i="1"/>
  <c r="J10" i="1"/>
  <c r="AF10" i="1"/>
  <c r="AD151" i="1"/>
  <c r="AD155" i="1" s="1"/>
  <c r="AD206" i="1"/>
  <c r="U210" i="1"/>
  <c r="Z262" i="1"/>
  <c r="R155" i="1"/>
  <c r="AC326" i="1"/>
  <c r="AC6" i="1"/>
  <c r="V220" i="1"/>
  <c r="I262" i="1"/>
  <c r="X326" i="1"/>
  <c r="AE13" i="1"/>
  <c r="T220" i="1"/>
  <c r="F263" i="1"/>
  <c r="AG262" i="1"/>
  <c r="AG13" i="1"/>
  <c r="AD41" i="1"/>
  <c r="W155" i="1"/>
  <c r="R210" i="1"/>
  <c r="R260" i="1"/>
  <c r="J262" i="1"/>
  <c r="P332" i="1"/>
  <c r="G6" i="1"/>
  <c r="F11" i="1"/>
  <c r="AI263" i="1"/>
  <c r="P266" i="1"/>
  <c r="AD330" i="1"/>
  <c r="F13" i="1"/>
  <c r="F262" i="1"/>
  <c r="AF13" i="1"/>
  <c r="AD70" i="1"/>
  <c r="Q256" i="1"/>
  <c r="R45" i="1"/>
  <c r="AD110" i="1"/>
  <c r="AD195" i="1"/>
  <c r="H10" i="1"/>
  <c r="AD115" i="1"/>
  <c r="Y155" i="1"/>
  <c r="AC205" i="1"/>
  <c r="AD269" i="1"/>
  <c r="AC8" i="1"/>
  <c r="AC260" i="1"/>
  <c r="AD140" i="1"/>
  <c r="AD203" i="1"/>
  <c r="G262" i="1"/>
  <c r="O13" i="1"/>
  <c r="Q25" i="1"/>
  <c r="AB6" i="1"/>
  <c r="AD165" i="1"/>
  <c r="AD201" i="1"/>
  <c r="Z215" i="1"/>
  <c r="AD255" i="1"/>
  <c r="AD40" i="1"/>
  <c r="G13" i="1"/>
  <c r="K13" i="1"/>
  <c r="K262" i="1"/>
  <c r="AF11" i="1"/>
  <c r="AD170" i="1"/>
  <c r="AA215" i="1"/>
  <c r="AI260" i="1"/>
  <c r="O332" i="1"/>
  <c r="L8" i="1"/>
  <c r="AE263" i="1"/>
  <c r="F261" i="1" l="1"/>
  <c r="H15" i="1"/>
  <c r="I266" i="1"/>
  <c r="P11" i="1"/>
  <c r="M266" i="1"/>
  <c r="F10" i="1"/>
  <c r="AE15" i="1"/>
  <c r="M263" i="1"/>
  <c r="M264" i="1" s="1"/>
  <c r="AD215" i="1"/>
  <c r="P333" i="1"/>
  <c r="I11" i="1"/>
  <c r="I15" i="1" s="1"/>
  <c r="M333" i="1"/>
  <c r="AF15" i="1"/>
  <c r="E10" i="1"/>
  <c r="I263" i="1"/>
  <c r="I267" i="1" s="1"/>
  <c r="D268" i="1"/>
  <c r="I10" i="1"/>
  <c r="AD210" i="1"/>
  <c r="N266" i="1"/>
  <c r="D264" i="1"/>
  <c r="O261" i="1"/>
  <c r="O333" i="1"/>
  <c r="O263" i="1"/>
  <c r="O267" i="1" s="1"/>
  <c r="L261" i="1"/>
  <c r="O266" i="1"/>
  <c r="AD205" i="1"/>
  <c r="I332" i="1"/>
  <c r="I333" i="1"/>
  <c r="E263" i="1"/>
  <c r="E264" i="1" s="1"/>
  <c r="K11" i="1"/>
  <c r="K15" i="1" s="1"/>
  <c r="N261" i="1"/>
  <c r="N333" i="1"/>
  <c r="O11" i="1"/>
  <c r="O15" i="1" s="1"/>
  <c r="E332" i="1"/>
  <c r="E333" i="1"/>
  <c r="AD45" i="1"/>
  <c r="K263" i="1"/>
  <c r="K267" i="1" s="1"/>
  <c r="N263" i="1"/>
  <c r="N267" i="1" s="1"/>
  <c r="N10" i="1"/>
  <c r="R10" i="1"/>
  <c r="L266" i="1"/>
  <c r="L332" i="1"/>
  <c r="L333" i="1" s="1"/>
  <c r="M267" i="1"/>
  <c r="M268" i="1" s="1"/>
  <c r="D266" i="1"/>
  <c r="D11" i="1"/>
  <c r="D15" i="1"/>
  <c r="E266" i="1"/>
  <c r="E11" i="1"/>
  <c r="E15" i="1" s="1"/>
  <c r="D10" i="1"/>
  <c r="N15" i="1"/>
  <c r="K266" i="1"/>
  <c r="K332" i="1"/>
  <c r="K333" i="1" s="1"/>
  <c r="K10" i="1"/>
  <c r="L263" i="1"/>
  <c r="L267" i="1" s="1"/>
  <c r="L11" i="1"/>
  <c r="Q326" i="1"/>
  <c r="P262" i="1"/>
  <c r="P10" i="1"/>
  <c r="P263" i="1"/>
  <c r="P264" i="1" s="1"/>
  <c r="Q8" i="1"/>
  <c r="Q13" i="1" s="1"/>
  <c r="Q260" i="1"/>
  <c r="P13" i="1"/>
  <c r="P15" i="1" s="1"/>
  <c r="AD258" i="1"/>
  <c r="AD256" i="1"/>
  <c r="Y326" i="1"/>
  <c r="Y6" i="1"/>
  <c r="W260" i="1"/>
  <c r="W8" i="1"/>
  <c r="W263" i="1" s="1"/>
  <c r="AH264" i="1"/>
  <c r="AH267" i="1"/>
  <c r="T260" i="1"/>
  <c r="T8" i="1"/>
  <c r="U262" i="1"/>
  <c r="U10" i="1"/>
  <c r="U13" i="1"/>
  <c r="H267" i="1"/>
  <c r="H264" i="1"/>
  <c r="S8" i="1"/>
  <c r="S260" i="1"/>
  <c r="AB8" i="1"/>
  <c r="AB263" i="1" s="1"/>
  <c r="AB260" i="1"/>
  <c r="V332" i="1"/>
  <c r="V261" i="1"/>
  <c r="V11" i="1"/>
  <c r="V266" i="1"/>
  <c r="AD220" i="1"/>
  <c r="AB11" i="1"/>
  <c r="AB261" i="1"/>
  <c r="AB266" i="1"/>
  <c r="AB332" i="1"/>
  <c r="AB333" i="1" s="1"/>
  <c r="AG263" i="1"/>
  <c r="AG11" i="1"/>
  <c r="AG15" i="1" s="1"/>
  <c r="AG266" i="1"/>
  <c r="AG261" i="1"/>
  <c r="AG10" i="1"/>
  <c r="I264" i="1"/>
  <c r="F264" i="1"/>
  <c r="F267" i="1"/>
  <c r="G266" i="1"/>
  <c r="G11" i="1"/>
  <c r="G15" i="1" s="1"/>
  <c r="G263" i="1"/>
  <c r="Q6" i="1"/>
  <c r="G261" i="1"/>
  <c r="AC261" i="1"/>
  <c r="AC11" i="1"/>
  <c r="AC263" i="1"/>
  <c r="AC266" i="1"/>
  <c r="AC332" i="1"/>
  <c r="AC333" i="1" s="1"/>
  <c r="AH15" i="1"/>
  <c r="V260" i="1"/>
  <c r="V8" i="1"/>
  <c r="T326" i="1"/>
  <c r="T6" i="1"/>
  <c r="R11" i="1"/>
  <c r="R15" i="1" s="1"/>
  <c r="AM9" i="1"/>
  <c r="R266" i="1"/>
  <c r="R261" i="1"/>
  <c r="R263" i="1"/>
  <c r="X8" i="1"/>
  <c r="X260" i="1"/>
  <c r="U261" i="1"/>
  <c r="U263" i="1"/>
  <c r="U266" i="1"/>
  <c r="U332" i="1"/>
  <c r="U333" i="1" s="1"/>
  <c r="U11" i="1"/>
  <c r="AE264" i="1"/>
  <c r="AE267" i="1"/>
  <c r="F15" i="1"/>
  <c r="L13" i="1"/>
  <c r="L10" i="1"/>
  <c r="L262" i="1"/>
  <c r="G10" i="1"/>
  <c r="AA6" i="1"/>
  <c r="AA326" i="1"/>
  <c r="W332" i="1"/>
  <c r="W333" i="1" s="1"/>
  <c r="W266" i="1"/>
  <c r="W261" i="1"/>
  <c r="W11" i="1"/>
  <c r="AC10" i="1"/>
  <c r="AC262" i="1"/>
  <c r="AC13" i="1"/>
  <c r="Y260" i="1"/>
  <c r="Y8" i="1"/>
  <c r="J267" i="1"/>
  <c r="J264" i="1"/>
  <c r="D304" i="1"/>
  <c r="D320" i="1"/>
  <c r="D321" i="1" s="1"/>
  <c r="AA8" i="1"/>
  <c r="AA260" i="1"/>
  <c r="AF264" i="1"/>
  <c r="AF267" i="1"/>
  <c r="S326" i="1"/>
  <c r="S6" i="1"/>
  <c r="AI264" i="1"/>
  <c r="AI267" i="1"/>
  <c r="Z6" i="1"/>
  <c r="Z326" i="1"/>
  <c r="Z260" i="1"/>
  <c r="E267" i="1" l="1"/>
  <c r="K264" i="1"/>
  <c r="V333" i="1"/>
  <c r="O264" i="1"/>
  <c r="N264" i="1"/>
  <c r="M303" i="1"/>
  <c r="M320" i="1" s="1"/>
  <c r="M321" i="1" s="1"/>
  <c r="U15" i="1"/>
  <c r="AD6" i="1"/>
  <c r="AD7" i="1" s="1"/>
  <c r="L264" i="1"/>
  <c r="M304" i="1"/>
  <c r="Q10" i="1"/>
  <c r="L15" i="1"/>
  <c r="AL10" i="1"/>
  <c r="Q262" i="1"/>
  <c r="P267" i="1"/>
  <c r="P268" i="1" s="1"/>
  <c r="N268" i="1"/>
  <c r="N303" i="1"/>
  <c r="AD260" i="1"/>
  <c r="AC15" i="1"/>
  <c r="AB264" i="1"/>
  <c r="AB267" i="1"/>
  <c r="Z332" i="1"/>
  <c r="Z333" i="1" s="1"/>
  <c r="Z266" i="1"/>
  <c r="Z261" i="1"/>
  <c r="Z11" i="1"/>
  <c r="Z15" i="1" s="1"/>
  <c r="Z263" i="1"/>
  <c r="Z10" i="1"/>
  <c r="Y10" i="1"/>
  <c r="Y262" i="1"/>
  <c r="Y13" i="1"/>
  <c r="AM14" i="1"/>
  <c r="F268" i="1"/>
  <c r="F303" i="1"/>
  <c r="R332" i="1"/>
  <c r="H303" i="1"/>
  <c r="H268" i="1"/>
  <c r="S11" i="1"/>
  <c r="AN9" i="1"/>
  <c r="S266" i="1"/>
  <c r="S332" i="1"/>
  <c r="S333" i="1" s="1"/>
  <c r="S261" i="1"/>
  <c r="S263" i="1"/>
  <c r="T332" i="1"/>
  <c r="T333" i="1" s="1"/>
  <c r="T266" i="1"/>
  <c r="AO9" i="1"/>
  <c r="T261" i="1"/>
  <c r="T263" i="1"/>
  <c r="T11" i="1"/>
  <c r="AD326" i="1"/>
  <c r="AD327" i="1" s="1"/>
  <c r="AF303" i="1"/>
  <c r="AF268" i="1"/>
  <c r="W267" i="1"/>
  <c r="W264" i="1"/>
  <c r="V10" i="1"/>
  <c r="V13" i="1"/>
  <c r="V15" i="1" s="1"/>
  <c r="V262" i="1"/>
  <c r="V263" i="1"/>
  <c r="U264" i="1"/>
  <c r="U267" i="1"/>
  <c r="G267" i="1"/>
  <c r="G264" i="1"/>
  <c r="AG264" i="1"/>
  <c r="AG267" i="1"/>
  <c r="AE303" i="1"/>
  <c r="AE268" i="1"/>
  <c r="E268" i="1"/>
  <c r="E303" i="1"/>
  <c r="Q263" i="1"/>
  <c r="Q11" i="1"/>
  <c r="Q15" i="1" s="1"/>
  <c r="AL9" i="1"/>
  <c r="Q266" i="1"/>
  <c r="Q332" i="1"/>
  <c r="Q333" i="1" s="1"/>
  <c r="Q261" i="1"/>
  <c r="AH268" i="1"/>
  <c r="AH303" i="1"/>
  <c r="AA13" i="1"/>
  <c r="AA262" i="1"/>
  <c r="AA10" i="1"/>
  <c r="J303" i="1"/>
  <c r="J268" i="1"/>
  <c r="AC267" i="1"/>
  <c r="AC264" i="1"/>
  <c r="I303" i="1"/>
  <c r="I268" i="1"/>
  <c r="K268" i="1"/>
  <c r="K303" i="1"/>
  <c r="O303" i="1"/>
  <c r="O268" i="1"/>
  <c r="W10" i="1"/>
  <c r="W13" i="1"/>
  <c r="W15" i="1" s="1"/>
  <c r="W262" i="1"/>
  <c r="AB13" i="1"/>
  <c r="AB15" i="1" s="1"/>
  <c r="AB262" i="1"/>
  <c r="AB10" i="1"/>
  <c r="AI268" i="1"/>
  <c r="AI303" i="1"/>
  <c r="AO10" i="1"/>
  <c r="T10" i="1"/>
  <c r="T13" i="1"/>
  <c r="T262" i="1"/>
  <c r="L268" i="1"/>
  <c r="L303" i="1"/>
  <c r="AA263" i="1"/>
  <c r="AA11" i="1"/>
  <c r="AA261" i="1"/>
  <c r="AA266" i="1"/>
  <c r="AA332" i="1"/>
  <c r="AA333" i="1" s="1"/>
  <c r="X10" i="1"/>
  <c r="X13" i="1"/>
  <c r="X15" i="1" s="1"/>
  <c r="X262" i="1"/>
  <c r="X263" i="1"/>
  <c r="G332" i="1"/>
  <c r="G333" i="1" s="1"/>
  <c r="Y332" i="1"/>
  <c r="Y333" i="1" s="1"/>
  <c r="Y266" i="1"/>
  <c r="Y11" i="1"/>
  <c r="Y263" i="1"/>
  <c r="Y261" i="1"/>
  <c r="R264" i="1"/>
  <c r="R267" i="1"/>
  <c r="AN10" i="1"/>
  <c r="S262" i="1"/>
  <c r="S10" i="1"/>
  <c r="S13" i="1"/>
  <c r="AD8" i="1"/>
  <c r="V338" i="1" l="1"/>
  <c r="H338" i="1"/>
  <c r="I338" i="1"/>
  <c r="R333" i="1"/>
  <c r="U338" i="1"/>
  <c r="AD11" i="1"/>
  <c r="AD12" i="1" s="1"/>
  <c r="AE1" i="1"/>
  <c r="AD261" i="1"/>
  <c r="AD263" i="1"/>
  <c r="AD267" i="1" s="1"/>
  <c r="T15" i="1"/>
  <c r="P303" i="1"/>
  <c r="P304" i="1" s="1"/>
  <c r="AD266" i="1"/>
  <c r="N320" i="1"/>
  <c r="N321" i="1" s="1"/>
  <c r="N304" i="1"/>
  <c r="AP9" i="1"/>
  <c r="AN14" i="1"/>
  <c r="AD332" i="1"/>
  <c r="AD333" i="1" s="1"/>
  <c r="F304" i="1"/>
  <c r="F320" i="1"/>
  <c r="F321" i="1" s="1"/>
  <c r="AA264" i="1"/>
  <c r="AA267" i="1"/>
  <c r="AD331" i="1"/>
  <c r="Y267" i="1"/>
  <c r="Y264" i="1"/>
  <c r="Q264" i="1"/>
  <c r="Q267" i="1"/>
  <c r="Z267" i="1"/>
  <c r="Z264" i="1"/>
  <c r="AA15" i="1"/>
  <c r="O304" i="1"/>
  <c r="O320" i="1"/>
  <c r="O321" i="1" s="1"/>
  <c r="V264" i="1"/>
  <c r="V267" i="1"/>
  <c r="AL14" i="1"/>
  <c r="AL15" i="1"/>
  <c r="I304" i="1"/>
  <c r="I320" i="1"/>
  <c r="I321" i="1" s="1"/>
  <c r="Y15" i="1"/>
  <c r="AI320" i="1"/>
  <c r="AI321" i="1" s="1"/>
  <c r="AI304" i="1"/>
  <c r="E304" i="1"/>
  <c r="E320" i="1"/>
  <c r="E321" i="1" s="1"/>
  <c r="X267" i="1"/>
  <c r="X264" i="1"/>
  <c r="J304" i="1"/>
  <c r="J320" i="1"/>
  <c r="J321" i="1" s="1"/>
  <c r="AD262" i="1"/>
  <c r="AD13" i="1"/>
  <c r="AD9" i="1"/>
  <c r="AD10" i="1"/>
  <c r="S15" i="1"/>
  <c r="AG268" i="1"/>
  <c r="AG303" i="1"/>
  <c r="H304" i="1"/>
  <c r="H320" i="1"/>
  <c r="H321" i="1" s="1"/>
  <c r="R268" i="1"/>
  <c r="R303" i="1"/>
  <c r="U268" i="1"/>
  <c r="U303" i="1"/>
  <c r="S264" i="1"/>
  <c r="S267" i="1"/>
  <c r="L320" i="1"/>
  <c r="L321" i="1" s="1"/>
  <c r="L304" i="1"/>
  <c r="K320" i="1"/>
  <c r="K321" i="1" s="1"/>
  <c r="K304" i="1"/>
  <c r="W303" i="1"/>
  <c r="W268" i="1"/>
  <c r="AC268" i="1"/>
  <c r="AC303" i="1"/>
  <c r="AF304" i="1"/>
  <c r="AF320" i="1"/>
  <c r="AF321" i="1" s="1"/>
  <c r="AE304" i="1"/>
  <c r="AE320" i="1"/>
  <c r="AE321" i="1" s="1"/>
  <c r="T267" i="1"/>
  <c r="T264" i="1"/>
  <c r="AH320" i="1"/>
  <c r="AH321" i="1" s="1"/>
  <c r="AH304" i="1"/>
  <c r="AO14" i="1"/>
  <c r="AP10" i="1"/>
  <c r="G303" i="1"/>
  <c r="G268" i="1"/>
  <c r="AB268" i="1"/>
  <c r="AB303" i="1"/>
  <c r="P320" i="1" l="1"/>
  <c r="P321" i="1" s="1"/>
  <c r="AR267" i="1"/>
  <c r="AD264" i="1"/>
  <c r="AP14" i="1"/>
  <c r="AC320" i="1"/>
  <c r="AC321" i="1" s="1"/>
  <c r="AC304" i="1"/>
  <c r="T303" i="1"/>
  <c r="T268" i="1"/>
  <c r="S268" i="1"/>
  <c r="S303" i="1"/>
  <c r="Z303" i="1"/>
  <c r="Z268" i="1"/>
  <c r="U304" i="1"/>
  <c r="U320" i="1"/>
  <c r="U321" i="1" s="1"/>
  <c r="R320" i="1"/>
  <c r="R321" i="1" s="1"/>
  <c r="R304" i="1"/>
  <c r="Q268" i="1"/>
  <c r="Q303" i="1"/>
  <c r="AG304" i="1"/>
  <c r="AG320" i="1"/>
  <c r="AG321" i="1" s="1"/>
  <c r="W304" i="1"/>
  <c r="W320" i="1"/>
  <c r="W321" i="1" s="1"/>
  <c r="AA268" i="1"/>
  <c r="AA303" i="1"/>
  <c r="AD15" i="1"/>
  <c r="AD14" i="1"/>
  <c r="V268" i="1"/>
  <c r="V303" i="1"/>
  <c r="AD303" i="1"/>
  <c r="AD268" i="1"/>
  <c r="X303" i="1"/>
  <c r="X268" i="1"/>
  <c r="AB320" i="1"/>
  <c r="AB321" i="1" s="1"/>
  <c r="AB304" i="1"/>
  <c r="Y303" i="1"/>
  <c r="Y268" i="1"/>
  <c r="G304" i="1"/>
  <c r="G320" i="1"/>
  <c r="G321" i="1" s="1"/>
  <c r="Y304" i="1" l="1"/>
  <c r="Y320" i="1"/>
  <c r="Y321" i="1" s="1"/>
  <c r="X304" i="1"/>
  <c r="X320" i="1"/>
  <c r="X321" i="1" s="1"/>
  <c r="Z304" i="1"/>
  <c r="Z320" i="1"/>
  <c r="Z321" i="1" s="1"/>
  <c r="T304" i="1"/>
  <c r="T320" i="1"/>
  <c r="T321" i="1" s="1"/>
  <c r="Q304" i="1"/>
  <c r="Q320" i="1"/>
  <c r="Q321" i="1" s="1"/>
  <c r="AD320" i="1"/>
  <c r="AD304" i="1"/>
  <c r="V304" i="1"/>
  <c r="V320" i="1"/>
  <c r="V321" i="1" s="1"/>
  <c r="S320" i="1"/>
  <c r="S321" i="1" s="1"/>
  <c r="S304" i="1"/>
  <c r="AA320" i="1"/>
  <c r="AA321" i="1" s="1"/>
  <c r="AA304" i="1"/>
  <c r="AD321" i="1" l="1"/>
  <c r="AR320" i="1"/>
</calcChain>
</file>

<file path=xl/sharedStrings.xml><?xml version="1.0" encoding="utf-8"?>
<sst xmlns="http://schemas.openxmlformats.org/spreadsheetml/2006/main" count="357" uniqueCount="174">
  <si>
    <t>- 해외법인(DECV)</t>
    <phoneticPr fontId="5" type="noConversion"/>
  </si>
  <si>
    <t>(단위 : 천USD)</t>
    <phoneticPr fontId="5" type="noConversion"/>
  </si>
  <si>
    <t>구                   분</t>
    <phoneticPr fontId="5" type="noConversion"/>
  </si>
  <si>
    <t>2025년
계</t>
    <phoneticPr fontId="11" type="noConversion"/>
  </si>
  <si>
    <t>2026년 (매출/원가 사업계획)</t>
    <phoneticPr fontId="11" type="noConversion"/>
  </si>
  <si>
    <t>2026년
계</t>
    <phoneticPr fontId="11" type="noConversion"/>
  </si>
  <si>
    <t>2026년 (매출/원가 실적/전망)</t>
    <phoneticPr fontId="11" type="noConversion"/>
  </si>
  <si>
    <r>
      <t>2026</t>
    </r>
    <r>
      <rPr>
        <sz val="12"/>
        <rFont val="KoPubWorld바탕체 Light"/>
        <family val="3"/>
        <charset val="129"/>
      </rPr>
      <t>년
계</t>
    </r>
    <phoneticPr fontId="11" type="noConversion"/>
  </si>
  <si>
    <r>
      <t>2027</t>
    </r>
    <r>
      <rPr>
        <sz val="12"/>
        <rFont val="KoPubWorld바탕체 Light"/>
        <family val="3"/>
        <charset val="129"/>
      </rPr>
      <t>년
계</t>
    </r>
    <phoneticPr fontId="11" type="noConversion"/>
  </si>
  <si>
    <r>
      <t>2028</t>
    </r>
    <r>
      <rPr>
        <sz val="12"/>
        <rFont val="KoPubWorld바탕체 Light"/>
        <family val="3"/>
        <charset val="129"/>
      </rPr>
      <t>년
계</t>
    </r>
    <phoneticPr fontId="11" type="noConversion"/>
  </si>
  <si>
    <r>
      <t>2029</t>
    </r>
    <r>
      <rPr>
        <sz val="12"/>
        <rFont val="KoPubWorld바탕체 Light"/>
        <family val="3"/>
        <charset val="129"/>
      </rPr>
      <t>년
계</t>
    </r>
    <phoneticPr fontId="11" type="noConversion"/>
  </si>
  <si>
    <r>
      <t>2030</t>
    </r>
    <r>
      <rPr>
        <sz val="12"/>
        <rFont val="KoPubWorld바탕체 Light"/>
        <family val="3"/>
        <charset val="129"/>
      </rPr>
      <t>년
계</t>
    </r>
    <phoneticPr fontId="11" type="noConversion"/>
  </si>
  <si>
    <r>
      <t>24</t>
    </r>
    <r>
      <rPr>
        <sz val="11"/>
        <rFont val="돋움"/>
        <family val="3"/>
        <charset val="129"/>
      </rPr>
      <t>년</t>
    </r>
    <r>
      <rPr>
        <sz val="11"/>
        <rFont val="Arial Narrow"/>
        <family val="2"/>
      </rPr>
      <t>12</t>
    </r>
    <r>
      <rPr>
        <sz val="11"/>
        <rFont val="돋움"/>
        <family val="3"/>
        <charset val="129"/>
      </rPr>
      <t>월</t>
    </r>
    <phoneticPr fontId="11" type="noConversion"/>
  </si>
  <si>
    <t>1월</t>
    <phoneticPr fontId="5" type="noConversion"/>
  </si>
  <si>
    <t>2월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</si>
  <si>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</si>
  <si>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</si>
  <si>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</si>
  <si>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</si>
  <si>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</si>
  <si>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</si>
  <si>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</si>
  <si>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</si>
  <si>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</si>
  <si>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</si>
  <si>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환율</t>
    <phoneticPr fontId="11" type="noConversion"/>
  </si>
  <si>
    <r>
      <t>1</t>
    </r>
    <r>
      <rPr>
        <sz val="11"/>
        <rFont val="돋움"/>
        <family val="3"/>
        <charset val="129"/>
      </rPr>
      <t>월</t>
    </r>
    <phoneticPr fontId="11" type="noConversion"/>
  </si>
  <si>
    <t>수        주</t>
  </si>
  <si>
    <r>
      <t>2</t>
    </r>
    <r>
      <rPr>
        <sz val="11"/>
        <rFont val="돋움"/>
        <family val="3"/>
        <charset val="129"/>
      </rPr>
      <t>월</t>
    </r>
    <phoneticPr fontId="11" type="noConversion"/>
  </si>
  <si>
    <t>수주이익</t>
    <phoneticPr fontId="11" type="noConversion"/>
  </si>
  <si>
    <r>
      <t>3</t>
    </r>
    <r>
      <rPr>
        <sz val="11"/>
        <rFont val="돋움"/>
        <family val="3"/>
        <charset val="129"/>
      </rPr>
      <t>월</t>
    </r>
    <phoneticPr fontId="11" type="noConversion"/>
  </si>
  <si>
    <t>DECV법인 
취합본
[법인전체]</t>
    <phoneticPr fontId="11" type="noConversion"/>
  </si>
  <si>
    <t>매출액</t>
  </si>
  <si>
    <t xml:space="preserve"> </t>
    <phoneticPr fontId="11" type="noConversion"/>
  </si>
  <si>
    <t>매출원가</t>
  </si>
  <si>
    <t>계획</t>
    <phoneticPr fontId="11" type="noConversion"/>
  </si>
  <si>
    <t>계</t>
    <phoneticPr fontId="11" type="noConversion"/>
  </si>
  <si>
    <t>매출</t>
    <phoneticPr fontId="11" type="noConversion"/>
  </si>
  <si>
    <t>매출원가율</t>
  </si>
  <si>
    <t>원가</t>
    <phoneticPr fontId="11" type="noConversion"/>
  </si>
  <si>
    <t>DECV법인
취합본
[해외사업단]</t>
    <phoneticPr fontId="11" type="noConversion"/>
  </si>
  <si>
    <t>판관비</t>
    <phoneticPr fontId="11" type="noConversion"/>
  </si>
  <si>
    <t>이자비용</t>
    <phoneticPr fontId="11" type="noConversion"/>
  </si>
  <si>
    <t>영업외손익</t>
    <phoneticPr fontId="11" type="noConversion"/>
  </si>
  <si>
    <t>법인세</t>
    <phoneticPr fontId="11" type="noConversion"/>
  </si>
  <si>
    <r>
      <t>2/17</t>
    </r>
    <r>
      <rPr>
        <sz val="12"/>
        <rFont val="돋움"/>
        <family val="3"/>
        <charset val="129"/>
      </rPr>
      <t>까지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미출근</t>
    </r>
    <phoneticPr fontId="11" type="noConversion"/>
  </si>
  <si>
    <r>
      <rPr>
        <sz val="12"/>
        <rFont val="돋움"/>
        <family val="3"/>
        <charset val="129"/>
      </rPr>
      <t>작업자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별로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없음</t>
    </r>
    <phoneticPr fontId="11" type="noConversion"/>
  </si>
  <si>
    <r>
      <t>2</t>
    </r>
    <r>
      <rPr>
        <sz val="12"/>
        <rFont val="돋움"/>
        <family val="3"/>
        <charset val="129"/>
      </rPr>
      <t>주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정도밖에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공사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못함</t>
    </r>
    <phoneticPr fontId="11" type="noConversion"/>
  </si>
  <si>
    <t>(84.69%)</t>
    <phoneticPr fontId="11" type="noConversion"/>
  </si>
  <si>
    <t>(86.61%)</t>
    <phoneticPr fontId="11" type="noConversion"/>
  </si>
  <si>
    <t>(87.0%)</t>
    <phoneticPr fontId="11" type="noConversion"/>
  </si>
  <si>
    <t>K2CT1
도급공사</t>
    <phoneticPr fontId="11" type="noConversion"/>
  </si>
  <si>
    <t>K2HH1
도급공사</t>
    <phoneticPr fontId="11" type="noConversion"/>
  </si>
  <si>
    <t>H1HH1
도급공사</t>
    <phoneticPr fontId="11" type="noConversion"/>
  </si>
  <si>
    <t>B1CC4
도급공사</t>
    <phoneticPr fontId="11" type="noConversion"/>
  </si>
  <si>
    <r>
      <t>1</t>
    </r>
    <r>
      <rPr>
        <sz val="12"/>
        <rFont val="돋움"/>
        <family val="3"/>
        <charset val="129"/>
      </rPr>
      <t>월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작업일수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모자람</t>
    </r>
    <phoneticPr fontId="11" type="noConversion"/>
  </si>
  <si>
    <r>
      <rPr>
        <sz val="12"/>
        <rFont val="돋움"/>
        <family val="3"/>
        <charset val="129"/>
      </rPr>
      <t>원가</t>
    </r>
    <r>
      <rPr>
        <sz val="12"/>
        <rFont val="Arial Narrow"/>
        <family val="2"/>
      </rPr>
      <t xml:space="preserve"> 10</t>
    </r>
    <r>
      <rPr>
        <sz val="12"/>
        <rFont val="돋움"/>
        <family val="3"/>
        <charset val="129"/>
      </rPr>
      <t>억</t>
    </r>
    <r>
      <rPr>
        <sz val="12"/>
        <rFont val="Arial Narrow"/>
        <family val="2"/>
      </rPr>
      <t xml:space="preserve"> </t>
    </r>
    <r>
      <rPr>
        <sz val="12"/>
        <rFont val="돋움"/>
        <family val="3"/>
        <charset val="129"/>
      </rPr>
      <t>대부분</t>
    </r>
    <r>
      <rPr>
        <sz val="12"/>
        <rFont val="Arial Narrow"/>
        <family val="2"/>
      </rPr>
      <t xml:space="preserve">, </t>
    </r>
    <r>
      <rPr>
        <sz val="12"/>
        <rFont val="돋움"/>
        <family val="3"/>
        <charset val="129"/>
      </rPr>
      <t>갤러리</t>
    </r>
    <r>
      <rPr>
        <sz val="12"/>
        <rFont val="Arial Narrow"/>
        <family val="2"/>
      </rPr>
      <t>/</t>
    </r>
    <r>
      <rPr>
        <sz val="12"/>
        <rFont val="돋움"/>
        <family val="3"/>
        <charset val="129"/>
      </rPr>
      <t>공사</t>
    </r>
    <phoneticPr fontId="11" type="noConversion"/>
  </si>
  <si>
    <t>(91.05%)</t>
    <phoneticPr fontId="11" type="noConversion"/>
  </si>
  <si>
    <t>년짝 신도시
빌라 1단계</t>
    <phoneticPr fontId="11" type="noConversion"/>
  </si>
  <si>
    <t>(90.9%)</t>
    <phoneticPr fontId="11" type="noConversion"/>
  </si>
  <si>
    <t>년짝 신도시
빌라 2단계</t>
    <phoneticPr fontId="11" type="noConversion"/>
  </si>
  <si>
    <t>타이빙 신도시
인프라</t>
    <phoneticPr fontId="11" type="noConversion"/>
  </si>
  <si>
    <t>타이빙 신도시
빌라 1단계</t>
    <phoneticPr fontId="11" type="noConversion"/>
  </si>
  <si>
    <t>타이빙 신도시
빌라 2단계</t>
    <phoneticPr fontId="11" type="noConversion"/>
  </si>
  <si>
    <t>뜨엉깟 신도시
인프라</t>
    <phoneticPr fontId="11" type="noConversion"/>
  </si>
  <si>
    <t>뜨엉깟 신도시
빌라 1단계</t>
    <phoneticPr fontId="11" type="noConversion"/>
  </si>
  <si>
    <t>뜨엉깟 신도시
빌라 2단계</t>
    <phoneticPr fontId="11" type="noConversion"/>
  </si>
  <si>
    <t>(83.9%)</t>
    <phoneticPr fontId="11" type="noConversion"/>
  </si>
  <si>
    <t>K2CT1
테스트 파일</t>
    <phoneticPr fontId="11" type="noConversion"/>
  </si>
  <si>
    <t>(80.8%)</t>
    <phoneticPr fontId="11" type="noConversion"/>
  </si>
  <si>
    <t>K8HH1
프리콘</t>
    <phoneticPr fontId="11" type="noConversion"/>
  </si>
  <si>
    <t>(83.1%)</t>
    <phoneticPr fontId="11" type="noConversion"/>
  </si>
  <si>
    <t>(83.2%)</t>
    <phoneticPr fontId="11" type="noConversion"/>
  </si>
  <si>
    <t>K2HH1
테스트 파일</t>
    <phoneticPr fontId="11" type="noConversion"/>
  </si>
  <si>
    <t>(49.4%)</t>
    <phoneticPr fontId="11" type="noConversion"/>
  </si>
  <si>
    <t>K8CT1
테스트 파일</t>
    <phoneticPr fontId="11" type="noConversion"/>
  </si>
  <si>
    <t>K8CT1
사업비
산출 용역</t>
    <phoneticPr fontId="11" type="noConversion"/>
  </si>
  <si>
    <t>(80.0%)</t>
    <phoneticPr fontId="11" type="noConversion"/>
  </si>
  <si>
    <t>K2 Block
사업비
산출용역</t>
    <phoneticPr fontId="11" type="noConversion"/>
  </si>
  <si>
    <t>THT CIP
산출용역</t>
    <phoneticPr fontId="11" type="noConversion"/>
  </si>
  <si>
    <t>(82.82%)</t>
    <phoneticPr fontId="11" type="noConversion"/>
  </si>
  <si>
    <t>K8CT1
APT, 상가
분양대행 및
홍보관리 용역</t>
    <phoneticPr fontId="11" type="noConversion"/>
  </si>
  <si>
    <t>(91.1%)</t>
    <phoneticPr fontId="11" type="noConversion"/>
  </si>
  <si>
    <t>(85.0%)</t>
    <phoneticPr fontId="11" type="noConversion"/>
  </si>
  <si>
    <t>K8HH1
운영관리</t>
    <phoneticPr fontId="11" type="noConversion"/>
  </si>
  <si>
    <t>K8CT1
운영관리</t>
    <phoneticPr fontId="11" type="noConversion"/>
  </si>
  <si>
    <t>K2CT1
운영관리</t>
    <phoneticPr fontId="11" type="noConversion"/>
  </si>
  <si>
    <t>년짝 인프라
운영관리</t>
    <phoneticPr fontId="11" type="noConversion"/>
  </si>
  <si>
    <t>년짝 1단계
빌라</t>
    <phoneticPr fontId="11" type="noConversion"/>
  </si>
  <si>
    <t>년짝 2단계
빌라</t>
    <phoneticPr fontId="11" type="noConversion"/>
  </si>
  <si>
    <t>년짝 신도시
용지</t>
    <phoneticPr fontId="11" type="noConversion"/>
  </si>
  <si>
    <t>타이빙 1단계
빌라</t>
    <phoneticPr fontId="11" type="noConversion"/>
  </si>
  <si>
    <t>뜨엉깟 1단계
빌라</t>
    <phoneticPr fontId="11" type="noConversion"/>
  </si>
  <si>
    <t>K2HH1
복합개발</t>
    <phoneticPr fontId="11" type="noConversion"/>
  </si>
  <si>
    <t>(87.05%)</t>
    <phoneticPr fontId="11" type="noConversion"/>
  </si>
  <si>
    <t>소 계</t>
    <phoneticPr fontId="11" type="noConversion"/>
  </si>
  <si>
    <t>매출총이익</t>
  </si>
  <si>
    <t>매출총이익율</t>
  </si>
  <si>
    <t>판매관리비</t>
  </si>
  <si>
    <t>판매관리비율</t>
  </si>
  <si>
    <t>영업이익①</t>
  </si>
  <si>
    <t>영업이익율</t>
  </si>
  <si>
    <t>기타영업수익</t>
  </si>
  <si>
    <t>대손충당금환입</t>
  </si>
  <si>
    <t>투자유가증권처분이익</t>
  </si>
  <si>
    <t>지분법투자주식처분이익</t>
  </si>
  <si>
    <t>투자부동산처분이익</t>
  </si>
  <si>
    <t>매각예정자산처분이익</t>
  </si>
  <si>
    <t>매각예정자산감액환입</t>
  </si>
  <si>
    <t>유형자산처분이익</t>
  </si>
  <si>
    <t>무형자산처분이익</t>
  </si>
  <si>
    <t>배당금수익</t>
  </si>
  <si>
    <t>기타충당부채환입액</t>
  </si>
  <si>
    <t>잡이익</t>
  </si>
  <si>
    <t>해외사업환산이익환입</t>
    <phoneticPr fontId="11" type="noConversion"/>
  </si>
  <si>
    <t>기타영업비용</t>
  </si>
  <si>
    <t>대손상각비</t>
  </si>
  <si>
    <t>기타충당부채전입액</t>
  </si>
  <si>
    <t>투자유가증권처분손실</t>
  </si>
  <si>
    <t>투자유가증권감액손실</t>
  </si>
  <si>
    <t>지분법투자주식처분손실</t>
  </si>
  <si>
    <t>지분법투자주식감액손실</t>
  </si>
  <si>
    <t>투자부동산처분손실</t>
  </si>
  <si>
    <t>투자부동산감액손실</t>
  </si>
  <si>
    <t>매각예정자산처분손실</t>
  </si>
  <si>
    <t>매각예정자산감액손실</t>
  </si>
  <si>
    <t>유형자산처분손실</t>
  </si>
  <si>
    <t>유형자산감액손실</t>
  </si>
  <si>
    <t>무형자산처분손실</t>
  </si>
  <si>
    <t>무형자산감액손실</t>
  </si>
  <si>
    <t>수수료</t>
  </si>
  <si>
    <t>기부금</t>
  </si>
  <si>
    <t>잡손실</t>
  </si>
  <si>
    <t>해외사업환산손실환입</t>
    <phoneticPr fontId="11" type="noConversion"/>
  </si>
  <si>
    <t>영업이익②</t>
  </si>
  <si>
    <t>금융원가</t>
  </si>
  <si>
    <t>이자수익</t>
  </si>
  <si>
    <t>이자비용</t>
  </si>
  <si>
    <t>기타수익</t>
  </si>
  <si>
    <t>외화환산이익</t>
  </si>
  <si>
    <t>외환차익</t>
  </si>
  <si>
    <t>파생상품거래이익</t>
  </si>
  <si>
    <t>파생상품평가이익</t>
  </si>
  <si>
    <t>기타비용</t>
  </si>
  <si>
    <t>외화환산손실</t>
  </si>
  <si>
    <t>외환차손</t>
  </si>
  <si>
    <t>파생상품거래손실</t>
  </si>
  <si>
    <t>파생상품평가손실</t>
  </si>
  <si>
    <t>경상이익</t>
  </si>
  <si>
    <t>경상이익율</t>
  </si>
  <si>
    <t>환율</t>
    <phoneticPr fontId="5" type="noConversion"/>
  </si>
  <si>
    <r>
      <rPr>
        <sz val="12"/>
        <rFont val="맑은 고딕"/>
        <family val="2"/>
        <charset val="129"/>
      </rPr>
      <t>매출</t>
    </r>
    <phoneticPr fontId="5" type="noConversion"/>
  </si>
  <si>
    <t>도급</t>
    <phoneticPr fontId="11" type="noConversion"/>
  </si>
  <si>
    <t>용역</t>
    <phoneticPr fontId="11" type="noConversion"/>
  </si>
  <si>
    <t>검증</t>
    <phoneticPr fontId="4" type="noConversion"/>
  </si>
  <si>
    <t>계</t>
    <phoneticPr fontId="4" type="noConversion"/>
  </si>
  <si>
    <t>K8HH1
도급공사
(SITE23)</t>
    <phoneticPr fontId="11" type="noConversion"/>
  </si>
  <si>
    <t>K8CT1
도급공사
(SITE18)</t>
    <phoneticPr fontId="11" type="noConversion"/>
  </si>
  <si>
    <t>H1HH1
인허가지원
(SITE17)</t>
    <phoneticPr fontId="11" type="noConversion"/>
  </si>
  <si>
    <r>
      <rPr>
        <b/>
        <sz val="10"/>
        <rFont val="KoPubWorld바탕체 Light"/>
        <family val="3"/>
        <charset val="129"/>
      </rPr>
      <t>THT1단계/2단계</t>
    </r>
    <r>
      <rPr>
        <b/>
        <sz val="12"/>
        <rFont val="KoPubWorld바탕체 Light"/>
        <family val="3"/>
        <charset val="129"/>
      </rPr>
      <t xml:space="preserve">
인프라 유지관리
(SITE5)</t>
    </r>
    <phoneticPr fontId="11" type="noConversion"/>
  </si>
  <si>
    <t>THT2단계
Site2 &amp;11
통합 유지관리
(SITE22)</t>
    <phoneticPr fontId="11" type="noConversion"/>
  </si>
  <si>
    <t>K8HH1
APT, 상가
분양대행 및
홍보관리 용역
(SITE30)</t>
    <phoneticPr fontId="11" type="noConversion"/>
  </si>
  <si>
    <t>H9 아파트
5년차 하자보수
용역
(SITE34)</t>
    <phoneticPr fontId="11" type="noConversion"/>
  </si>
  <si>
    <t>K2CT1
프리콘
(SITE20)</t>
    <phoneticPr fontId="11" type="noConversion"/>
  </si>
  <si>
    <t>K8CT1
프리콘
(SITE16)</t>
    <phoneticPr fontId="11" type="noConversion"/>
  </si>
  <si>
    <t>K2HH1
프리콘
(SITE35)</t>
    <phoneticPr fontId="11" type="noConversion"/>
  </si>
  <si>
    <t>년짝 신도시
인프라
(SITE28)</t>
    <phoneticPr fontId="11" type="noConversion"/>
  </si>
  <si>
    <t>K8HH1
모델하우스
(SITE27)</t>
    <phoneticPr fontId="11" type="noConversion"/>
  </si>
  <si>
    <t>H1HH1
테스트 파일
(SITE37)</t>
    <phoneticPr fontId="11" type="noConversion"/>
  </si>
  <si>
    <t>B1CC4
테스트 파일
(SITE36)</t>
    <phoneticPr fontId="11" type="noConversion"/>
  </si>
  <si>
    <t>B1CC4
인허가지원
(SITE14)</t>
    <phoneticPr fontId="11" type="noConversion"/>
  </si>
  <si>
    <t>THT2단계
인프라
(SITE6)</t>
    <phoneticPr fontId="11" type="noConversion"/>
  </si>
  <si>
    <t>B3CC1 
인허가지원
(SITE8)</t>
    <phoneticPr fontId="11" type="noConversion"/>
  </si>
  <si>
    <t>K8CT1
모델하우스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</si>
</sst>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.0000;\-#,##0.0000"/>
    <numFmt numFmtId="177" formatCode="#,##0_ ;[Red]\-#,##0\ "/>
    <numFmt numFmtId="178" formatCode="#,##0_ "/>
    <numFmt numFmtId="179" formatCode="\$#,##0"/>
    <numFmt numFmtId="180" formatCode="0.0%"/>
    <numFmt numFmtId="181" formatCode="\$#,##0;[Red]\-\$#,##0"/>
    <numFmt numFmtId="182" formatCode="#,##0_);[Red]\(#,##0\)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20"/>
      <name val="KoPubWorld바탕체 Light"/>
      <family val="3"/>
      <charset val="129"/>
    </font>
    <font>
      <sz val="8"/>
      <name val="맑은 고딕"/>
      <family val="2"/>
      <charset val="129"/>
      <scheme val="minor"/>
    </font>
    <font>
      <sz val="12"/>
      <name val="돋움체"/>
      <family val="3"/>
      <charset val="129"/>
    </font>
    <font>
      <sz val="12"/>
      <name val="KoPubWorld바탕체 Light"/>
      <family val="3"/>
      <charset val="129"/>
    </font>
    <font>
      <b/>
      <sz val="22"/>
      <name val="KoPubWorld바탕체 Light"/>
      <family val="3"/>
      <charset val="129"/>
    </font>
    <font>
      <b/>
      <sz val="11"/>
      <name val="KoPubWorld바탕체 Light"/>
      <family val="3"/>
      <charset val="129"/>
    </font>
    <font>
      <sz val="12"/>
      <name val="Calibri"/>
      <family val="2"/>
    </font>
    <font>
      <b/>
      <sz val="12"/>
      <name val="KoPubWorld바탕체 Light"/>
      <family val="3"/>
      <charset val="129"/>
    </font>
    <font>
      <sz val="8"/>
      <name val="한컴바탕"/>
      <family val="2"/>
      <charset val="129"/>
    </font>
    <font>
      <sz val="11"/>
      <name val="Arial Narrow"/>
      <family val="2"/>
    </font>
    <font>
      <sz val="11"/>
      <name val="돋움"/>
      <family val="3"/>
      <charset val="129"/>
    </font>
    <font>
      <sz val="12"/>
      <color rgb="FFFF0000"/>
      <name val="Calibri"/>
      <family val="2"/>
    </font>
    <font>
      <sz val="12"/>
      <name val="함초롬바탕"/>
      <family val="1"/>
      <charset val="129"/>
    </font>
    <font>
      <sz val="12"/>
      <name val="Arial Narrow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sz val="12"/>
      <name val="돋움"/>
      <family val="3"/>
      <charset val="129"/>
    </font>
    <font>
      <b/>
      <i/>
      <sz val="9"/>
      <name val="KoPubWorld바탕체 Light"/>
      <family val="3"/>
      <charset val="129"/>
    </font>
    <font>
      <b/>
      <sz val="12"/>
      <color theme="1"/>
      <name val="KoPubWorld바탕체 Light"/>
      <family val="3"/>
      <charset val="129"/>
    </font>
    <font>
      <sz val="9"/>
      <name val="KoPubWorld바탕체 Light"/>
      <family val="3"/>
      <charset val="129"/>
    </font>
    <font>
      <b/>
      <sz val="10"/>
      <name val="KoPubWorld바탕체 Light"/>
      <family val="3"/>
      <charset val="129"/>
    </font>
    <font>
      <b/>
      <sz val="12"/>
      <color theme="0"/>
      <name val="KoPubWorld바탕체 Light"/>
      <family val="3"/>
      <charset val="129"/>
    </font>
    <font>
      <sz val="11"/>
      <name val="KoPubWorld바탕체 Light"/>
      <family val="3"/>
      <charset val="129"/>
    </font>
    <font>
      <sz val="11"/>
      <name val="Calibri"/>
      <family val="2"/>
    </font>
    <font>
      <sz val="12"/>
      <name val="맑은 고딕"/>
      <family val="2"/>
      <charset val="129"/>
    </font>
    <font>
      <b/>
      <sz val="12"/>
      <name val="Arial Narrow"/>
      <family val="2"/>
    </font>
    <font>
      <sz val="11"/>
      <name val="맑은 고딕"/>
      <family val="2"/>
      <charset val="129"/>
    </font>
    <font>
      <sz val="11"/>
      <name val="돋움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7" fontId="2" fillId="0" borderId="0"/>
    <xf numFmtId="37" fontId="2" fillId="0" borderId="0"/>
    <xf numFmtId="37" fontId="2" fillId="0" borderId="0" applyFont="0" applyFill="0" applyBorder="0" applyAlignment="0" applyProtection="0"/>
    <xf numFmtId="0" fontId="1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64">
    <xf numFmtId="0" fontId="0" fillId="0" borderId="0" xfId="0">
      <alignment vertical="center"/>
    </xf>
    <xf numFmtId="37" fontId="3" fillId="0" borderId="0" xfId="3" quotePrefix="1" applyFont="1" applyAlignment="1">
      <alignment horizontal="left" vertical="center"/>
    </xf>
    <xf numFmtId="37" fontId="6" fillId="0" borderId="0" xfId="3" applyFont="1" applyAlignment="1">
      <alignment vertical="center"/>
    </xf>
    <xf numFmtId="37" fontId="7" fillId="0" borderId="0" xfId="3" quotePrefix="1" applyFont="1" applyAlignment="1">
      <alignment horizontal="right" vertical="center"/>
    </xf>
    <xf numFmtId="176" fontId="6" fillId="0" borderId="0" xfId="3" applyNumberFormat="1" applyFont="1" applyAlignment="1">
      <alignment vertical="center" shrinkToFit="1"/>
    </xf>
    <xf numFmtId="37" fontId="6" fillId="0" borderId="0" xfId="3" applyFont="1" applyAlignment="1">
      <alignment vertical="center" shrinkToFit="1"/>
    </xf>
    <xf numFmtId="37" fontId="8" fillId="0" borderId="0" xfId="3" quotePrefix="1" applyFont="1" applyAlignment="1">
      <alignment horizontal="right" vertical="center"/>
    </xf>
    <xf numFmtId="37" fontId="9" fillId="0" borderId="0" xfId="3" applyFont="1" applyAlignment="1">
      <alignment vertical="center"/>
    </xf>
    <xf numFmtId="37" fontId="6" fillId="0" borderId="0" xfId="4" applyFont="1" applyAlignment="1">
      <alignment horizontal="center" vertical="center"/>
    </xf>
    <xf numFmtId="37" fontId="12" fillId="0" borderId="0" xfId="4" applyFont="1"/>
    <xf numFmtId="37" fontId="12" fillId="0" borderId="0" xfId="4" quotePrefix="1" applyFont="1"/>
    <xf numFmtId="37" fontId="13" fillId="0" borderId="0" xfId="4" applyFont="1"/>
    <xf numFmtId="177" fontId="9" fillId="4" borderId="17" xfId="5" applyNumberFormat="1" applyFont="1" applyFill="1" applyBorder="1" applyAlignment="1">
      <alignment vertical="center" shrinkToFit="1"/>
    </xf>
    <xf numFmtId="177" fontId="9" fillId="4" borderId="24" xfId="5" applyNumberFormat="1" applyFont="1" applyFill="1" applyBorder="1" applyAlignment="1">
      <alignment vertical="center" shrinkToFit="1"/>
    </xf>
    <xf numFmtId="177" fontId="9" fillId="4" borderId="25" xfId="5" applyNumberFormat="1" applyFont="1" applyFill="1" applyBorder="1" applyAlignment="1">
      <alignment vertical="center" shrinkToFit="1"/>
    </xf>
    <xf numFmtId="177" fontId="9" fillId="4" borderId="26" xfId="5" applyNumberFormat="1" applyFont="1" applyFill="1" applyBorder="1" applyAlignment="1">
      <alignment vertical="center" shrinkToFit="1"/>
    </xf>
    <xf numFmtId="37" fontId="15" fillId="0" borderId="0" xfId="3" applyFont="1" applyAlignment="1">
      <alignment vertical="center"/>
    </xf>
    <xf numFmtId="41" fontId="9" fillId="4" borderId="22" xfId="1" applyFont="1" applyFill="1" applyBorder="1" applyAlignment="1">
      <alignment horizontal="right" vertical="center" shrinkToFit="1"/>
    </xf>
    <xf numFmtId="41" fontId="9" fillId="4" borderId="17" xfId="1" applyFont="1" applyFill="1" applyBorder="1" applyAlignment="1">
      <alignment horizontal="right" vertical="center" shrinkToFit="1"/>
    </xf>
    <xf numFmtId="41" fontId="9" fillId="4" borderId="18" xfId="1" applyFont="1" applyFill="1" applyBorder="1" applyAlignment="1">
      <alignment horizontal="right" vertical="center" shrinkToFit="1"/>
    </xf>
    <xf numFmtId="178" fontId="6" fillId="6" borderId="2" xfId="6" applyNumberFormat="1" applyFont="1" applyFill="1" applyBorder="1" applyAlignment="1">
      <alignment horizontal="distributed" vertical="center"/>
    </xf>
    <xf numFmtId="178" fontId="6" fillId="6" borderId="3" xfId="6" applyNumberFormat="1" applyFont="1" applyFill="1" applyBorder="1" applyAlignment="1">
      <alignment horizontal="distributed" vertical="center"/>
    </xf>
    <xf numFmtId="178" fontId="9" fillId="0" borderId="5" xfId="5" applyNumberFormat="1" applyFont="1" applyFill="1" applyBorder="1" applyAlignment="1">
      <alignment vertical="center" shrinkToFit="1"/>
    </xf>
    <xf numFmtId="178" fontId="9" fillId="7" borderId="5" xfId="5" applyNumberFormat="1" applyFont="1" applyFill="1" applyBorder="1" applyAlignment="1">
      <alignment vertical="center" shrinkToFit="1"/>
    </xf>
    <xf numFmtId="178" fontId="9" fillId="7" borderId="30" xfId="5" applyNumberFormat="1" applyFont="1" applyFill="1" applyBorder="1" applyAlignment="1">
      <alignment vertical="center" shrinkToFit="1"/>
    </xf>
    <xf numFmtId="178" fontId="9" fillId="0" borderId="6" xfId="5" applyNumberFormat="1" applyFont="1" applyFill="1" applyBorder="1" applyAlignment="1">
      <alignment vertical="center" shrinkToFit="1"/>
    </xf>
    <xf numFmtId="178" fontId="9" fillId="0" borderId="31" xfId="5" applyNumberFormat="1" applyFont="1" applyFill="1" applyBorder="1" applyAlignment="1">
      <alignment vertical="center" shrinkToFit="1"/>
    </xf>
    <xf numFmtId="178" fontId="9" fillId="7" borderId="3" xfId="5" applyNumberFormat="1" applyFont="1" applyFill="1" applyBorder="1" applyAlignment="1">
      <alignment vertical="center" shrinkToFit="1"/>
    </xf>
    <xf numFmtId="178" fontId="9" fillId="7" borderId="6" xfId="5" applyNumberFormat="1" applyFont="1" applyFill="1" applyBorder="1" applyAlignment="1">
      <alignment vertical="center" shrinkToFit="1"/>
    </xf>
    <xf numFmtId="37" fontId="16" fillId="0" borderId="0" xfId="3" applyFont="1" applyAlignment="1">
      <alignment vertical="center"/>
    </xf>
    <xf numFmtId="178" fontId="6" fillId="6" borderId="0" xfId="6" applyNumberFormat="1" applyFont="1" applyFill="1" applyAlignment="1">
      <alignment horizontal="distributed" vertical="center"/>
    </xf>
    <xf numFmtId="178" fontId="6" fillId="6" borderId="17" xfId="6" applyNumberFormat="1" applyFont="1" applyFill="1" applyBorder="1" applyAlignment="1">
      <alignment horizontal="distributed" vertical="center"/>
    </xf>
    <xf numFmtId="179" fontId="9" fillId="0" borderId="32" xfId="5" applyNumberFormat="1" applyFont="1" applyFill="1" applyBorder="1" applyAlignment="1">
      <alignment vertical="center" shrinkToFit="1"/>
    </xf>
    <xf numFmtId="41" fontId="17" fillId="6" borderId="33" xfId="1" applyFont="1" applyFill="1" applyBorder="1" applyAlignment="1">
      <alignment vertical="center" shrinkToFit="1"/>
    </xf>
    <xf numFmtId="41" fontId="17" fillId="6" borderId="34" xfId="1" applyFont="1" applyFill="1" applyBorder="1" applyAlignment="1">
      <alignment vertical="center" shrinkToFit="1"/>
    </xf>
    <xf numFmtId="179" fontId="9" fillId="0" borderId="35" xfId="5" applyNumberFormat="1" applyFont="1" applyFill="1" applyBorder="1" applyAlignment="1">
      <alignment vertical="center" shrinkToFit="1"/>
    </xf>
    <xf numFmtId="178" fontId="17" fillId="0" borderId="33" xfId="1" applyNumberFormat="1" applyFont="1" applyFill="1" applyBorder="1" applyAlignment="1">
      <alignment vertical="center" shrinkToFit="1"/>
    </xf>
    <xf numFmtId="178" fontId="17" fillId="0" borderId="20" xfId="1" applyNumberFormat="1" applyFont="1" applyFill="1" applyBorder="1" applyAlignment="1">
      <alignment vertical="center" shrinkToFit="1"/>
    </xf>
    <xf numFmtId="41" fontId="17" fillId="0" borderId="20" xfId="1" applyFont="1" applyFill="1" applyBorder="1" applyAlignment="1">
      <alignment vertical="center" shrinkToFit="1"/>
    </xf>
    <xf numFmtId="180" fontId="17" fillId="0" borderId="35" xfId="2" applyNumberFormat="1" applyFont="1" applyFill="1" applyBorder="1" applyAlignment="1">
      <alignment vertical="center" shrinkToFit="1"/>
    </xf>
    <xf numFmtId="179" fontId="9" fillId="0" borderId="36" xfId="5" applyNumberFormat="1" applyFont="1" applyFill="1" applyBorder="1" applyAlignment="1">
      <alignment vertical="center" shrinkToFit="1"/>
    </xf>
    <xf numFmtId="179" fontId="9" fillId="0" borderId="37" xfId="5" applyNumberFormat="1" applyFont="1" applyFill="1" applyBorder="1" applyAlignment="1">
      <alignment vertical="center" shrinkToFit="1"/>
    </xf>
    <xf numFmtId="178" fontId="6" fillId="6" borderId="38" xfId="6" applyNumberFormat="1" applyFont="1" applyFill="1" applyBorder="1" applyAlignment="1">
      <alignment horizontal="distributed" vertical="center"/>
    </xf>
    <xf numFmtId="178" fontId="6" fillId="6" borderId="39" xfId="6" applyNumberFormat="1" applyFont="1" applyFill="1" applyBorder="1" applyAlignment="1">
      <alignment horizontal="distributed" vertical="center"/>
    </xf>
    <xf numFmtId="178" fontId="9" fillId="0" borderId="40" xfId="5" applyNumberFormat="1" applyFont="1" applyFill="1" applyBorder="1" applyAlignment="1">
      <alignment vertical="center" shrinkToFit="1"/>
    </xf>
    <xf numFmtId="178" fontId="9" fillId="7" borderId="41" xfId="5" applyNumberFormat="1" applyFont="1" applyFill="1" applyBorder="1" applyAlignment="1">
      <alignment vertical="center" shrinkToFit="1"/>
    </xf>
    <xf numFmtId="178" fontId="9" fillId="7" borderId="42" xfId="5" applyNumberFormat="1" applyFont="1" applyFill="1" applyBorder="1" applyAlignment="1">
      <alignment vertical="center" shrinkToFit="1"/>
    </xf>
    <xf numFmtId="178" fontId="9" fillId="7" borderId="43" xfId="5" applyNumberFormat="1" applyFont="1" applyFill="1" applyBorder="1" applyAlignment="1">
      <alignment vertical="center" shrinkToFit="1"/>
    </xf>
    <xf numFmtId="178" fontId="9" fillId="0" borderId="44" xfId="5" applyNumberFormat="1" applyFont="1" applyFill="1" applyBorder="1" applyAlignment="1">
      <alignment vertical="center" shrinkToFit="1"/>
    </xf>
    <xf numFmtId="178" fontId="9" fillId="0" borderId="41" xfId="5" applyNumberFormat="1" applyFont="1" applyFill="1" applyBorder="1" applyAlignment="1">
      <alignment vertical="center" shrinkToFit="1"/>
    </xf>
    <xf numFmtId="178" fontId="9" fillId="0" borderId="42" xfId="5" applyNumberFormat="1" applyFont="1" applyFill="1" applyBorder="1" applyAlignment="1">
      <alignment vertical="center" shrinkToFit="1"/>
    </xf>
    <xf numFmtId="178" fontId="9" fillId="7" borderId="39" xfId="5" applyNumberFormat="1" applyFont="1" applyFill="1" applyBorder="1" applyAlignment="1">
      <alignment vertical="center" shrinkToFit="1"/>
    </xf>
    <xf numFmtId="178" fontId="9" fillId="7" borderId="44" xfId="5" applyNumberFormat="1" applyFont="1" applyFill="1" applyBorder="1" applyAlignment="1">
      <alignment vertical="center" shrinkToFit="1"/>
    </xf>
    <xf numFmtId="37" fontId="12" fillId="0" borderId="45" xfId="4" applyFont="1" applyBorder="1" applyAlignment="1">
      <alignment horizontal="center"/>
    </xf>
    <xf numFmtId="37" fontId="13" fillId="0" borderId="45" xfId="4" applyFont="1" applyBorder="1" applyAlignment="1">
      <alignment horizontal="center"/>
    </xf>
    <xf numFmtId="181" fontId="9" fillId="0" borderId="24" xfId="5" applyNumberFormat="1" applyFont="1" applyFill="1" applyBorder="1" applyAlignment="1">
      <alignment vertical="center" shrinkToFit="1"/>
    </xf>
    <xf numFmtId="41" fontId="17" fillId="6" borderId="20" xfId="1" applyFont="1" applyFill="1" applyBorder="1" applyAlignment="1">
      <alignment vertical="center" shrinkToFit="1"/>
    </xf>
    <xf numFmtId="181" fontId="9" fillId="0" borderId="22" xfId="5" applyNumberFormat="1" applyFont="1" applyFill="1" applyBorder="1" applyAlignment="1">
      <alignment vertical="center" shrinkToFit="1"/>
    </xf>
    <xf numFmtId="41" fontId="17" fillId="0" borderId="33" xfId="1" applyFont="1" applyFill="1" applyBorder="1" applyAlignment="1">
      <alignment vertical="center" shrinkToFit="1"/>
    </xf>
    <xf numFmtId="180" fontId="17" fillId="0" borderId="22" xfId="2" applyNumberFormat="1" applyFont="1" applyFill="1" applyBorder="1" applyAlignment="1">
      <alignment vertical="center" shrinkToFit="1"/>
    </xf>
    <xf numFmtId="181" fontId="9" fillId="0" borderId="17" xfId="5" applyNumberFormat="1" applyFont="1" applyFill="1" applyBorder="1" applyAlignment="1">
      <alignment vertical="center" shrinkToFit="1"/>
    </xf>
    <xf numFmtId="181" fontId="9" fillId="0" borderId="18" xfId="5" applyNumberFormat="1" applyFont="1" applyFill="1" applyBorder="1" applyAlignment="1">
      <alignment vertical="center" shrinkToFit="1"/>
    </xf>
    <xf numFmtId="180" fontId="6" fillId="6" borderId="47" xfId="7" applyNumberFormat="1" applyFont="1" applyFill="1" applyBorder="1" applyAlignment="1">
      <alignment horizontal="distributed" vertical="center"/>
    </xf>
    <xf numFmtId="180" fontId="6" fillId="6" borderId="48" xfId="7" applyNumberFormat="1" applyFont="1" applyFill="1" applyBorder="1" applyAlignment="1">
      <alignment horizontal="distributed" vertical="center"/>
    </xf>
    <xf numFmtId="180" fontId="9" fillId="0" borderId="49" xfId="7" applyNumberFormat="1" applyFont="1" applyFill="1" applyBorder="1" applyAlignment="1">
      <alignment vertical="center" shrinkToFit="1"/>
    </xf>
    <xf numFmtId="180" fontId="9" fillId="6" borderId="50" xfId="7" applyNumberFormat="1" applyFont="1" applyFill="1" applyBorder="1" applyAlignment="1">
      <alignment vertical="center" shrinkToFit="1"/>
    </xf>
    <xf numFmtId="180" fontId="9" fillId="6" borderId="28" xfId="7" applyNumberFormat="1" applyFont="1" applyFill="1" applyBorder="1" applyAlignment="1">
      <alignment vertical="center" shrinkToFit="1"/>
    </xf>
    <xf numFmtId="180" fontId="9" fillId="0" borderId="51" xfId="7" applyNumberFormat="1" applyFont="1" applyFill="1" applyBorder="1" applyAlignment="1">
      <alignment vertical="center" shrinkToFit="1"/>
    </xf>
    <xf numFmtId="180" fontId="9" fillId="0" borderId="52" xfId="7" applyNumberFormat="1" applyFont="1" applyFill="1" applyBorder="1" applyAlignment="1">
      <alignment vertical="center" shrinkToFit="1"/>
    </xf>
    <xf numFmtId="180" fontId="9" fillId="0" borderId="28" xfId="7" applyNumberFormat="1" applyFont="1" applyFill="1" applyBorder="1" applyAlignment="1">
      <alignment vertical="center" shrinkToFit="1"/>
    </xf>
    <xf numFmtId="180" fontId="9" fillId="0" borderId="48" xfId="7" applyNumberFormat="1" applyFont="1" applyFill="1" applyBorder="1" applyAlignment="1">
      <alignment vertical="center" shrinkToFit="1"/>
    </xf>
    <xf numFmtId="180" fontId="16" fillId="0" borderId="0" xfId="7" applyNumberFormat="1" applyFont="1" applyAlignment="1">
      <alignment vertical="center"/>
    </xf>
    <xf numFmtId="178" fontId="9" fillId="0" borderId="4" xfId="5" applyNumberFormat="1" applyFont="1" applyFill="1" applyBorder="1" applyAlignment="1">
      <alignment vertical="center" shrinkToFit="1"/>
    </xf>
    <xf numFmtId="178" fontId="9" fillId="7" borderId="53" xfId="5" applyNumberFormat="1" applyFont="1" applyFill="1" applyBorder="1" applyAlignment="1">
      <alignment vertical="center" shrinkToFit="1"/>
    </xf>
    <xf numFmtId="178" fontId="9" fillId="7" borderId="31" xfId="5" applyNumberFormat="1" applyFont="1" applyFill="1" applyBorder="1" applyAlignment="1">
      <alignment vertical="center" shrinkToFit="1"/>
    </xf>
    <xf numFmtId="178" fontId="9" fillId="7" borderId="4" xfId="5" applyNumberFormat="1" applyFont="1" applyFill="1" applyBorder="1" applyAlignment="1">
      <alignment vertical="center" shrinkToFit="1"/>
    </xf>
    <xf numFmtId="9" fontId="17" fillId="0" borderId="20" xfId="2" applyFont="1" applyFill="1" applyBorder="1" applyAlignment="1">
      <alignment vertical="center" shrinkToFit="1"/>
    </xf>
    <xf numFmtId="178" fontId="9" fillId="7" borderId="54" xfId="5" applyNumberFormat="1" applyFont="1" applyFill="1" applyBorder="1" applyAlignment="1">
      <alignment vertical="center" shrinkToFit="1"/>
    </xf>
    <xf numFmtId="178" fontId="9" fillId="0" borderId="22" xfId="5" applyNumberFormat="1" applyFont="1" applyFill="1" applyBorder="1" applyAlignment="1">
      <alignment vertical="center" shrinkToFit="1"/>
    </xf>
    <xf numFmtId="178" fontId="9" fillId="7" borderId="40" xfId="5" applyNumberFormat="1" applyFont="1" applyFill="1" applyBorder="1" applyAlignment="1">
      <alignment vertical="center" shrinkToFit="1"/>
    </xf>
    <xf numFmtId="180" fontId="16" fillId="0" borderId="45" xfId="7" applyNumberFormat="1" applyFont="1" applyBorder="1" applyAlignment="1">
      <alignment horizontal="center" vertical="center"/>
    </xf>
    <xf numFmtId="41" fontId="16" fillId="0" borderId="45" xfId="1" applyFont="1" applyBorder="1" applyAlignment="1">
      <alignment horizontal="center" vertical="center"/>
    </xf>
    <xf numFmtId="179" fontId="9" fillId="0" borderId="18" xfId="5" applyNumberFormat="1" applyFont="1" applyFill="1" applyBorder="1" applyAlignment="1">
      <alignment vertical="center" shrinkToFit="1"/>
    </xf>
    <xf numFmtId="179" fontId="9" fillId="6" borderId="27" xfId="5" applyNumberFormat="1" applyFont="1" applyFill="1" applyBorder="1" applyAlignment="1">
      <alignment vertical="center" shrinkToFit="1"/>
    </xf>
    <xf numFmtId="179" fontId="9" fillId="6" borderId="20" xfId="5" applyNumberFormat="1" applyFont="1" applyFill="1" applyBorder="1" applyAlignment="1">
      <alignment vertical="center" shrinkToFit="1"/>
    </xf>
    <xf numFmtId="179" fontId="18" fillId="6" borderId="20" xfId="5" applyNumberFormat="1" applyFont="1" applyFill="1" applyBorder="1" applyAlignment="1">
      <alignment vertical="center" shrinkToFit="1"/>
    </xf>
    <xf numFmtId="179" fontId="9" fillId="0" borderId="20" xfId="5" applyNumberFormat="1" applyFont="1" applyFill="1" applyBorder="1" applyAlignment="1">
      <alignment vertical="center" shrinkToFit="1"/>
    </xf>
    <xf numFmtId="182" fontId="17" fillId="0" borderId="20" xfId="1" applyNumberFormat="1" applyFont="1" applyFill="1" applyBorder="1" applyAlignment="1">
      <alignment vertical="center" shrinkToFit="1"/>
    </xf>
    <xf numFmtId="179" fontId="18" fillId="0" borderId="20" xfId="5" applyNumberFormat="1" applyFont="1" applyFill="1" applyBorder="1" applyAlignment="1">
      <alignment vertical="center" shrinkToFit="1"/>
    </xf>
    <xf numFmtId="181" fontId="9" fillId="6" borderId="27" xfId="5" applyNumberFormat="1" applyFont="1" applyFill="1" applyBorder="1" applyAlignment="1">
      <alignment vertical="center" shrinkToFit="1"/>
    </xf>
    <xf numFmtId="181" fontId="9" fillId="6" borderId="20" xfId="5" applyNumberFormat="1" applyFont="1" applyFill="1" applyBorder="1" applyAlignment="1">
      <alignment vertical="center" shrinkToFit="1"/>
    </xf>
    <xf numFmtId="181" fontId="18" fillId="6" borderId="20" xfId="5" applyNumberFormat="1" applyFont="1" applyFill="1" applyBorder="1" applyAlignment="1">
      <alignment vertical="center" shrinkToFit="1"/>
    </xf>
    <xf numFmtId="181" fontId="9" fillId="0" borderId="20" xfId="5" applyNumberFormat="1" applyFont="1" applyFill="1" applyBorder="1" applyAlignment="1">
      <alignment vertical="center" shrinkToFit="1"/>
    </xf>
    <xf numFmtId="49" fontId="20" fillId="5" borderId="48" xfId="7" applyNumberFormat="1" applyFont="1" applyFill="1" applyBorder="1" applyAlignment="1">
      <alignment horizontal="distributed" vertical="center"/>
    </xf>
    <xf numFmtId="181" fontId="18" fillId="0" borderId="20" xfId="5" applyNumberFormat="1" applyFont="1" applyFill="1" applyBorder="1" applyAlignment="1">
      <alignment vertical="center" shrinkToFit="1"/>
    </xf>
    <xf numFmtId="181" fontId="9" fillId="0" borderId="0" xfId="5" applyNumberFormat="1" applyFont="1" applyFill="1" applyBorder="1" applyAlignment="1">
      <alignment vertical="center" shrinkToFit="1"/>
    </xf>
    <xf numFmtId="180" fontId="9" fillId="0" borderId="47" xfId="7" applyNumberFormat="1" applyFont="1" applyFill="1" applyBorder="1" applyAlignment="1">
      <alignment vertical="center" shrinkToFit="1"/>
    </xf>
    <xf numFmtId="182" fontId="9" fillId="0" borderId="35" xfId="1" applyNumberFormat="1" applyFont="1" applyFill="1" applyBorder="1" applyAlignment="1">
      <alignment vertical="center" shrinkToFit="1"/>
    </xf>
    <xf numFmtId="182" fontId="9" fillId="0" borderId="22" xfId="1" applyNumberFormat="1" applyFont="1" applyFill="1" applyBorder="1" applyAlignment="1">
      <alignment vertical="center" shrinkToFit="1"/>
    </xf>
    <xf numFmtId="178" fontId="18" fillId="0" borderId="31" xfId="5" applyNumberFormat="1" applyFont="1" applyFill="1" applyBorder="1" applyAlignment="1">
      <alignment vertical="center" shrinkToFit="1"/>
    </xf>
    <xf numFmtId="178" fontId="18" fillId="0" borderId="42" xfId="5" applyNumberFormat="1" applyFont="1" applyFill="1" applyBorder="1" applyAlignment="1">
      <alignment vertical="center" shrinkToFit="1"/>
    </xf>
    <xf numFmtId="178" fontId="14" fillId="0" borderId="31" xfId="5" applyNumberFormat="1" applyFont="1" applyFill="1" applyBorder="1" applyAlignment="1">
      <alignment vertical="center" shrinkToFit="1"/>
    </xf>
    <xf numFmtId="179" fontId="14" fillId="0" borderId="20" xfId="5" applyNumberFormat="1" applyFont="1" applyFill="1" applyBorder="1" applyAlignment="1">
      <alignment vertical="center" shrinkToFit="1"/>
    </xf>
    <xf numFmtId="178" fontId="14" fillId="0" borderId="42" xfId="5" applyNumberFormat="1" applyFont="1" applyFill="1" applyBorder="1" applyAlignment="1">
      <alignment vertical="center" shrinkToFit="1"/>
    </xf>
    <xf numFmtId="181" fontId="18" fillId="0" borderId="33" xfId="5" applyNumberFormat="1" applyFont="1" applyFill="1" applyBorder="1" applyAlignment="1">
      <alignment vertical="center" shrinkToFit="1"/>
    </xf>
    <xf numFmtId="180" fontId="22" fillId="5" borderId="48" xfId="7" applyNumberFormat="1" applyFont="1" applyFill="1" applyBorder="1" applyAlignment="1">
      <alignment horizontal="distributed" vertical="center"/>
    </xf>
    <xf numFmtId="180" fontId="16" fillId="0" borderId="0" xfId="2" applyNumberFormat="1" applyFont="1" applyBorder="1" applyAlignment="1">
      <alignment vertical="center"/>
    </xf>
    <xf numFmtId="180" fontId="9" fillId="6" borderId="27" xfId="7" applyNumberFormat="1" applyFont="1" applyFill="1" applyBorder="1" applyAlignment="1">
      <alignment vertical="center" shrinkToFit="1"/>
    </xf>
    <xf numFmtId="180" fontId="9" fillId="6" borderId="20" xfId="7" applyNumberFormat="1" applyFont="1" applyFill="1" applyBorder="1" applyAlignment="1">
      <alignment vertical="center" shrinkToFit="1"/>
    </xf>
    <xf numFmtId="180" fontId="9" fillId="6" borderId="55" xfId="7" applyNumberFormat="1" applyFont="1" applyFill="1" applyBorder="1" applyAlignment="1">
      <alignment vertical="center" shrinkToFit="1"/>
    </xf>
    <xf numFmtId="9" fontId="18" fillId="0" borderId="22" xfId="2" applyFont="1" applyFill="1" applyBorder="1" applyAlignment="1">
      <alignment vertical="center" shrinkToFit="1"/>
    </xf>
    <xf numFmtId="178" fontId="9" fillId="9" borderId="6" xfId="5" applyNumberFormat="1" applyFont="1" applyFill="1" applyBorder="1" applyAlignment="1">
      <alignment vertical="center" shrinkToFit="1"/>
    </xf>
    <xf numFmtId="178" fontId="9" fillId="9" borderId="30" xfId="5" applyNumberFormat="1" applyFont="1" applyFill="1" applyBorder="1" applyAlignment="1">
      <alignment vertical="center" shrinkToFit="1"/>
    </xf>
    <xf numFmtId="178" fontId="9" fillId="9" borderId="4" xfId="5" applyNumberFormat="1" applyFont="1" applyFill="1" applyBorder="1" applyAlignment="1">
      <alignment vertical="center" shrinkToFit="1"/>
    </xf>
    <xf numFmtId="178" fontId="9" fillId="9" borderId="5" xfId="5" applyNumberFormat="1" applyFont="1" applyFill="1" applyBorder="1" applyAlignment="1">
      <alignment vertical="center" shrinkToFit="1"/>
    </xf>
    <xf numFmtId="179" fontId="9" fillId="9" borderId="37" xfId="5" applyNumberFormat="1" applyFont="1" applyFill="1" applyBorder="1" applyAlignment="1">
      <alignment vertical="center" shrinkToFit="1"/>
    </xf>
    <xf numFmtId="179" fontId="9" fillId="9" borderId="35" xfId="5" applyNumberFormat="1" applyFont="1" applyFill="1" applyBorder="1" applyAlignment="1">
      <alignment vertical="center" shrinkToFit="1"/>
    </xf>
    <xf numFmtId="179" fontId="9" fillId="9" borderId="34" xfId="5" applyNumberFormat="1" applyFont="1" applyFill="1" applyBorder="1" applyAlignment="1">
      <alignment vertical="center" shrinkToFit="1"/>
    </xf>
    <xf numFmtId="179" fontId="9" fillId="9" borderId="32" xfId="5" applyNumberFormat="1" applyFont="1" applyFill="1" applyBorder="1" applyAlignment="1">
      <alignment vertical="center" shrinkToFit="1"/>
    </xf>
    <xf numFmtId="178" fontId="9" fillId="9" borderId="44" xfId="5" applyNumberFormat="1" applyFont="1" applyFill="1" applyBorder="1" applyAlignment="1">
      <alignment vertical="center" shrinkToFit="1"/>
    </xf>
    <xf numFmtId="178" fontId="9" fillId="9" borderId="43" xfId="5" applyNumberFormat="1" applyFont="1" applyFill="1" applyBorder="1" applyAlignment="1">
      <alignment vertical="center" shrinkToFit="1"/>
    </xf>
    <xf numFmtId="178" fontId="9" fillId="9" borderId="40" xfId="5" applyNumberFormat="1" applyFont="1" applyFill="1" applyBorder="1" applyAlignment="1">
      <alignment vertical="center" shrinkToFit="1"/>
    </xf>
    <xf numFmtId="178" fontId="9" fillId="9" borderId="41" xfId="5" applyNumberFormat="1" applyFont="1" applyFill="1" applyBorder="1" applyAlignment="1">
      <alignment vertical="center" shrinkToFit="1"/>
    </xf>
    <xf numFmtId="181" fontId="9" fillId="9" borderId="18" xfId="5" applyNumberFormat="1" applyFont="1" applyFill="1" applyBorder="1" applyAlignment="1">
      <alignment vertical="center" shrinkToFit="1"/>
    </xf>
    <xf numFmtId="181" fontId="9" fillId="9" borderId="22" xfId="5" applyNumberFormat="1" applyFont="1" applyFill="1" applyBorder="1" applyAlignment="1">
      <alignment vertical="center" shrinkToFit="1"/>
    </xf>
    <xf numFmtId="181" fontId="9" fillId="9" borderId="17" xfId="5" applyNumberFormat="1" applyFont="1" applyFill="1" applyBorder="1" applyAlignment="1">
      <alignment vertical="center" shrinkToFit="1"/>
    </xf>
    <xf numFmtId="181" fontId="9" fillId="9" borderId="24" xfId="5" applyNumberFormat="1" applyFont="1" applyFill="1" applyBorder="1" applyAlignment="1">
      <alignment vertical="center" shrinkToFit="1"/>
    </xf>
    <xf numFmtId="180" fontId="9" fillId="9" borderId="48" xfId="7" applyNumberFormat="1" applyFont="1" applyFill="1" applyBorder="1" applyAlignment="1">
      <alignment vertical="center" shrinkToFit="1"/>
    </xf>
    <xf numFmtId="180" fontId="9" fillId="9" borderId="49" xfId="7" applyNumberFormat="1" applyFont="1" applyFill="1" applyBorder="1" applyAlignment="1">
      <alignment vertical="center" shrinkToFit="1"/>
    </xf>
    <xf numFmtId="180" fontId="9" fillId="9" borderId="52" xfId="7" applyNumberFormat="1" applyFont="1" applyFill="1" applyBorder="1" applyAlignment="1">
      <alignment vertical="center" shrinkToFit="1"/>
    </xf>
    <xf numFmtId="180" fontId="9" fillId="9" borderId="51" xfId="7" applyNumberFormat="1" applyFont="1" applyFill="1" applyBorder="1" applyAlignment="1">
      <alignment vertical="center" shrinkToFit="1"/>
    </xf>
    <xf numFmtId="178" fontId="6" fillId="10" borderId="1" xfId="6" applyNumberFormat="1" applyFont="1" applyFill="1" applyBorder="1" applyAlignment="1">
      <alignment horizontal="center" vertical="center"/>
    </xf>
    <xf numFmtId="180" fontId="6" fillId="6" borderId="2" xfId="7" applyNumberFormat="1" applyFont="1" applyFill="1" applyBorder="1" applyAlignment="1">
      <alignment horizontal="distributed" vertical="center"/>
    </xf>
    <xf numFmtId="180" fontId="6" fillId="6" borderId="3" xfId="7" applyNumberFormat="1" applyFont="1" applyFill="1" applyBorder="1" applyAlignment="1">
      <alignment horizontal="distributed" vertical="center"/>
    </xf>
    <xf numFmtId="180" fontId="9" fillId="6" borderId="53" xfId="7" applyNumberFormat="1" applyFont="1" applyFill="1" applyBorder="1" applyAlignment="1">
      <alignment horizontal="center" vertical="center" shrinkToFit="1"/>
    </xf>
    <xf numFmtId="180" fontId="9" fillId="6" borderId="31" xfId="7" applyNumberFormat="1" applyFont="1" applyFill="1" applyBorder="1" applyAlignment="1">
      <alignment horizontal="center" vertical="center" shrinkToFit="1"/>
    </xf>
    <xf numFmtId="180" fontId="9" fillId="0" borderId="56" xfId="7" applyNumberFormat="1" applyFont="1" applyFill="1" applyBorder="1" applyAlignment="1">
      <alignment horizontal="center" vertical="center" shrinkToFit="1"/>
    </xf>
    <xf numFmtId="180" fontId="9" fillId="0" borderId="6" xfId="7" applyNumberFormat="1" applyFont="1" applyFill="1" applyBorder="1" applyAlignment="1">
      <alignment horizontal="center" vertical="center" shrinkToFit="1"/>
    </xf>
    <xf numFmtId="180" fontId="9" fillId="6" borderId="34" xfId="7" applyNumberFormat="1" applyFont="1" applyFill="1" applyBorder="1" applyAlignment="1">
      <alignment horizontal="center" vertical="center" shrinkToFit="1"/>
    </xf>
    <xf numFmtId="180" fontId="9" fillId="0" borderId="0" xfId="7" applyNumberFormat="1" applyFont="1" applyAlignment="1">
      <alignment horizontal="center" vertical="center"/>
    </xf>
    <xf numFmtId="180" fontId="9" fillId="0" borderId="18" xfId="7" applyNumberFormat="1" applyFont="1" applyBorder="1" applyAlignment="1">
      <alignment horizontal="center" vertical="center"/>
    </xf>
    <xf numFmtId="180" fontId="6" fillId="0" borderId="46" xfId="7" applyNumberFormat="1" applyFont="1" applyBorder="1" applyAlignment="1">
      <alignment vertical="center"/>
    </xf>
    <xf numFmtId="180" fontId="9" fillId="6" borderId="50" xfId="7" applyNumberFormat="1" applyFont="1" applyFill="1" applyBorder="1" applyAlignment="1">
      <alignment horizontal="center" vertical="center" shrinkToFit="1"/>
    </xf>
    <xf numFmtId="180" fontId="9" fillId="6" borderId="28" xfId="7" applyNumberFormat="1" applyFont="1" applyFill="1" applyBorder="1" applyAlignment="1">
      <alignment horizontal="center" vertical="center" shrinkToFit="1"/>
    </xf>
    <xf numFmtId="180" fontId="9" fillId="0" borderId="55" xfId="7" applyNumberFormat="1" applyFont="1" applyFill="1" applyBorder="1" applyAlignment="1">
      <alignment horizontal="center" vertical="center" shrinkToFit="1"/>
    </xf>
    <xf numFmtId="180" fontId="9" fillId="0" borderId="51" xfId="7" applyNumberFormat="1" applyFont="1" applyFill="1" applyBorder="1" applyAlignment="1">
      <alignment horizontal="center" vertical="center" shrinkToFit="1"/>
    </xf>
    <xf numFmtId="178" fontId="9" fillId="11" borderId="53" xfId="5" applyNumberFormat="1" applyFont="1" applyFill="1" applyBorder="1" applyAlignment="1">
      <alignment vertical="center" shrinkToFit="1"/>
    </xf>
    <xf numFmtId="178" fontId="9" fillId="11" borderId="6" xfId="5" applyNumberFormat="1" applyFont="1" applyFill="1" applyBorder="1" applyAlignment="1">
      <alignment vertical="center" shrinkToFit="1"/>
    </xf>
    <xf numFmtId="178" fontId="9" fillId="11" borderId="58" xfId="5" applyNumberFormat="1" applyFont="1" applyFill="1" applyBorder="1" applyAlignment="1">
      <alignment vertical="center" shrinkToFit="1"/>
    </xf>
    <xf numFmtId="178" fontId="9" fillId="11" borderId="5" xfId="5" applyNumberFormat="1" applyFont="1" applyFill="1" applyBorder="1" applyAlignment="1">
      <alignment vertical="center" shrinkToFit="1"/>
    </xf>
    <xf numFmtId="180" fontId="9" fillId="0" borderId="18" xfId="2" applyNumberFormat="1" applyFont="1" applyFill="1" applyBorder="1" applyAlignment="1">
      <alignment vertical="center" shrinkToFit="1"/>
    </xf>
    <xf numFmtId="180" fontId="9" fillId="11" borderId="61" xfId="7" applyNumberFormat="1" applyFont="1" applyFill="1" applyBorder="1" applyAlignment="1">
      <alignment vertical="center" shrinkToFit="1"/>
    </xf>
    <xf numFmtId="180" fontId="9" fillId="11" borderId="35" xfId="7" applyNumberFormat="1" applyFont="1" applyFill="1" applyBorder="1" applyAlignment="1">
      <alignment vertical="center" shrinkToFit="1"/>
    </xf>
    <xf numFmtId="180" fontId="9" fillId="11" borderId="62" xfId="7" applyNumberFormat="1" applyFont="1" applyFill="1" applyBorder="1" applyAlignment="1">
      <alignment vertical="center" shrinkToFit="1"/>
    </xf>
    <xf numFmtId="180" fontId="9" fillId="11" borderId="37" xfId="7" applyNumberFormat="1" applyFont="1" applyFill="1" applyBorder="1" applyAlignment="1">
      <alignment vertical="center" shrinkToFit="1"/>
    </xf>
    <xf numFmtId="41" fontId="9" fillId="0" borderId="40" xfId="1" applyFont="1" applyFill="1" applyBorder="1" applyAlignment="1">
      <alignment vertical="center" shrinkToFit="1"/>
    </xf>
    <xf numFmtId="178" fontId="9" fillId="6" borderId="54" xfId="5" applyNumberFormat="1" applyFont="1" applyFill="1" applyBorder="1" applyAlignment="1">
      <alignment vertical="center" shrinkToFit="1"/>
    </xf>
    <xf numFmtId="178" fontId="9" fillId="6" borderId="44" xfId="5" applyNumberFormat="1" applyFont="1" applyFill="1" applyBorder="1" applyAlignment="1">
      <alignment vertical="center" shrinkToFit="1"/>
    </xf>
    <xf numFmtId="178" fontId="9" fillId="6" borderId="64" xfId="5" applyNumberFormat="1" applyFont="1" applyFill="1" applyBorder="1" applyAlignment="1">
      <alignment vertical="center" shrinkToFit="1"/>
    </xf>
    <xf numFmtId="178" fontId="9" fillId="6" borderId="41" xfId="5" applyNumberFormat="1" applyFont="1" applyFill="1" applyBorder="1" applyAlignment="1">
      <alignment vertical="center" shrinkToFit="1"/>
    </xf>
    <xf numFmtId="37" fontId="19" fillId="0" borderId="0" xfId="3" applyFont="1" applyAlignment="1">
      <alignment vertical="center"/>
    </xf>
    <xf numFmtId="180" fontId="9" fillId="6" borderId="22" xfId="7" applyNumberFormat="1" applyFont="1" applyFill="1" applyBorder="1" applyAlignment="1">
      <alignment vertical="center" shrinkToFit="1"/>
    </xf>
    <xf numFmtId="180" fontId="9" fillId="6" borderId="65" xfId="7" applyNumberFormat="1" applyFont="1" applyFill="1" applyBorder="1" applyAlignment="1">
      <alignment vertical="center" shrinkToFit="1"/>
    </xf>
    <xf numFmtId="180" fontId="9" fillId="6" borderId="18" xfId="7" applyNumberFormat="1" applyFont="1" applyFill="1" applyBorder="1" applyAlignment="1">
      <alignment vertical="center" shrinkToFit="1"/>
    </xf>
    <xf numFmtId="41" fontId="16" fillId="0" borderId="0" xfId="1" applyFont="1" applyAlignment="1">
      <alignment vertical="center"/>
    </xf>
    <xf numFmtId="178" fontId="9" fillId="11" borderId="54" xfId="5" applyNumberFormat="1" applyFont="1" applyFill="1" applyBorder="1" applyAlignment="1">
      <alignment vertical="center" shrinkToFit="1"/>
    </xf>
    <xf numFmtId="178" fontId="9" fillId="11" borderId="44" xfId="5" applyNumberFormat="1" applyFont="1" applyFill="1" applyBorder="1" applyAlignment="1">
      <alignment vertical="center" shrinkToFit="1"/>
    </xf>
    <xf numFmtId="178" fontId="9" fillId="11" borderId="64" xfId="5" applyNumberFormat="1" applyFont="1" applyFill="1" applyBorder="1" applyAlignment="1">
      <alignment vertical="center" shrinkToFit="1"/>
    </xf>
    <xf numFmtId="178" fontId="9" fillId="11" borderId="41" xfId="5" applyNumberFormat="1" applyFont="1" applyFill="1" applyBorder="1" applyAlignment="1">
      <alignment vertical="center" shrinkToFit="1"/>
    </xf>
    <xf numFmtId="180" fontId="9" fillId="11" borderId="69" xfId="7" applyNumberFormat="1" applyFont="1" applyFill="1" applyBorder="1" applyAlignment="1">
      <alignment vertical="center" shrinkToFit="1"/>
    </xf>
    <xf numFmtId="180" fontId="9" fillId="11" borderId="70" xfId="7" applyNumberFormat="1" applyFont="1" applyFill="1" applyBorder="1" applyAlignment="1">
      <alignment vertical="center" shrinkToFit="1"/>
    </xf>
    <xf numFmtId="180" fontId="9" fillId="11" borderId="71" xfId="7" applyNumberFormat="1" applyFont="1" applyFill="1" applyBorder="1" applyAlignment="1">
      <alignment vertical="center" shrinkToFit="1"/>
    </xf>
    <xf numFmtId="180" fontId="9" fillId="11" borderId="72" xfId="7" applyNumberFormat="1" applyFont="1" applyFill="1" applyBorder="1" applyAlignment="1">
      <alignment vertical="center" shrinkToFit="1"/>
    </xf>
    <xf numFmtId="178" fontId="9" fillId="12" borderId="76" xfId="7" applyNumberFormat="1" applyFont="1" applyFill="1" applyBorder="1" applyAlignment="1">
      <alignment vertical="center" shrinkToFit="1"/>
    </xf>
    <xf numFmtId="178" fontId="9" fillId="0" borderId="76" xfId="7" applyNumberFormat="1" applyFont="1" applyFill="1" applyBorder="1" applyAlignment="1">
      <alignment vertical="center" shrinkToFit="1"/>
    </xf>
    <xf numFmtId="178" fontId="9" fillId="0" borderId="77" xfId="7" applyNumberFormat="1" applyFont="1" applyFill="1" applyBorder="1" applyAlignment="1">
      <alignment vertical="center" shrinkToFit="1"/>
    </xf>
    <xf numFmtId="178" fontId="9" fillId="12" borderId="78" xfId="7" applyNumberFormat="1" applyFont="1" applyFill="1" applyBorder="1" applyAlignment="1">
      <alignment vertical="center" shrinkToFit="1"/>
    </xf>
    <xf numFmtId="178" fontId="9" fillId="12" borderId="79" xfId="7" applyNumberFormat="1" applyFont="1" applyFill="1" applyBorder="1" applyAlignment="1">
      <alignment vertical="center" shrinkToFit="1"/>
    </xf>
    <xf numFmtId="178" fontId="9" fillId="12" borderId="77" xfId="7" applyNumberFormat="1" applyFont="1" applyFill="1" applyBorder="1" applyAlignment="1">
      <alignment vertical="center" shrinkToFit="1"/>
    </xf>
    <xf numFmtId="37" fontId="16" fillId="0" borderId="0" xfId="4" applyFont="1"/>
    <xf numFmtId="180" fontId="6" fillId="0" borderId="16" xfId="7" applyNumberFormat="1" applyFont="1" applyFill="1" applyBorder="1" applyAlignment="1">
      <alignment vertical="center"/>
    </xf>
    <xf numFmtId="180" fontId="6" fillId="0" borderId="0" xfId="9" applyNumberFormat="1" applyFont="1" applyFill="1" applyBorder="1" applyAlignment="1">
      <alignment horizontal="distributed" vertical="center" indent="1"/>
    </xf>
    <xf numFmtId="180" fontId="6" fillId="0" borderId="17" xfId="9" applyNumberFormat="1" applyFont="1" applyFill="1" applyBorder="1" applyAlignment="1">
      <alignment horizontal="distributed" vertical="center"/>
    </xf>
    <xf numFmtId="178" fontId="9" fillId="0" borderId="24" xfId="9" applyNumberFormat="1" applyFont="1" applyFill="1" applyBorder="1" applyAlignment="1">
      <alignment vertical="center" shrinkToFit="1"/>
    </xf>
    <xf numFmtId="178" fontId="9" fillId="0" borderId="27" xfId="7" applyNumberFormat="1" applyFont="1" applyFill="1" applyBorder="1" applyAlignment="1">
      <alignment vertical="center" shrinkToFit="1"/>
    </xf>
    <xf numFmtId="178" fontId="9" fillId="0" borderId="22" xfId="7" applyNumberFormat="1" applyFont="1" applyFill="1" applyBorder="1" applyAlignment="1">
      <alignment vertical="center" shrinkToFit="1"/>
    </xf>
    <xf numFmtId="178" fontId="9" fillId="0" borderId="65" xfId="7" applyNumberFormat="1" applyFont="1" applyFill="1" applyBorder="1" applyAlignment="1">
      <alignment vertical="center" shrinkToFit="1"/>
    </xf>
    <xf numFmtId="178" fontId="9" fillId="0" borderId="18" xfId="7" applyNumberFormat="1" applyFont="1" applyFill="1" applyBorder="1" applyAlignment="1">
      <alignment vertical="center" shrinkToFit="1"/>
    </xf>
    <xf numFmtId="180" fontId="16" fillId="0" borderId="0" xfId="7" applyNumberFormat="1" applyFont="1" applyFill="1" applyAlignment="1">
      <alignment vertical="center"/>
    </xf>
    <xf numFmtId="178" fontId="9" fillId="0" borderId="27" xfId="1" applyNumberFormat="1" applyFont="1" applyFill="1" applyBorder="1" applyAlignment="1">
      <alignment vertical="center" shrinkToFit="1"/>
    </xf>
    <xf numFmtId="178" fontId="9" fillId="0" borderId="22" xfId="1" applyNumberFormat="1" applyFont="1" applyFill="1" applyBorder="1" applyAlignment="1">
      <alignment vertical="center" shrinkToFit="1"/>
    </xf>
    <xf numFmtId="178" fontId="9" fillId="0" borderId="65" xfId="1" applyNumberFormat="1" applyFont="1" applyFill="1" applyBorder="1" applyAlignment="1">
      <alignment vertical="center" shrinkToFit="1"/>
    </xf>
    <xf numFmtId="178" fontId="9" fillId="0" borderId="18" xfId="1" applyNumberFormat="1" applyFont="1" applyFill="1" applyBorder="1" applyAlignment="1">
      <alignment vertical="center" shrinkToFit="1"/>
    </xf>
    <xf numFmtId="178" fontId="9" fillId="12" borderId="65" xfId="7" applyNumberFormat="1" applyFont="1" applyFill="1" applyBorder="1" applyAlignment="1">
      <alignment vertical="center" shrinkToFit="1"/>
    </xf>
    <xf numFmtId="178" fontId="9" fillId="12" borderId="27" xfId="7" applyNumberFormat="1" applyFont="1" applyFill="1" applyBorder="1" applyAlignment="1">
      <alignment vertical="center" shrinkToFit="1"/>
    </xf>
    <xf numFmtId="178" fontId="9" fillId="12" borderId="18" xfId="7" applyNumberFormat="1" applyFont="1" applyFill="1" applyBorder="1" applyAlignment="1">
      <alignment vertical="center" shrinkToFit="1"/>
    </xf>
    <xf numFmtId="178" fontId="9" fillId="12" borderId="22" xfId="7" applyNumberFormat="1" applyFont="1" applyFill="1" applyBorder="1" applyAlignment="1">
      <alignment vertical="center" shrinkToFit="1"/>
    </xf>
    <xf numFmtId="180" fontId="9" fillId="11" borderId="50" xfId="7" applyNumberFormat="1" applyFont="1" applyFill="1" applyBorder="1" applyAlignment="1">
      <alignment vertical="center" shrinkToFit="1"/>
    </xf>
    <xf numFmtId="180" fontId="9" fillId="11" borderId="51" xfId="7" applyNumberFormat="1" applyFont="1" applyFill="1" applyBorder="1" applyAlignment="1">
      <alignment vertical="center" shrinkToFit="1"/>
    </xf>
    <xf numFmtId="180" fontId="9" fillId="11" borderId="81" xfId="7" applyNumberFormat="1" applyFont="1" applyFill="1" applyBorder="1" applyAlignment="1">
      <alignment vertical="center" shrinkToFit="1"/>
    </xf>
    <xf numFmtId="180" fontId="9" fillId="11" borderId="52" xfId="7" applyNumberFormat="1" applyFont="1" applyFill="1" applyBorder="1" applyAlignment="1">
      <alignment vertical="center" shrinkToFit="1"/>
    </xf>
    <xf numFmtId="37" fontId="25" fillId="0" borderId="0" xfId="4" applyFont="1"/>
    <xf numFmtId="37" fontId="26" fillId="0" borderId="0" xfId="4" applyFont="1"/>
    <xf numFmtId="37" fontId="27" fillId="0" borderId="0" xfId="4" applyFont="1"/>
    <xf numFmtId="37" fontId="16" fillId="0" borderId="82" xfId="4" applyFont="1" applyBorder="1"/>
    <xf numFmtId="37" fontId="28" fillId="0" borderId="82" xfId="4" applyFont="1" applyBorder="1"/>
    <xf numFmtId="10" fontId="12" fillId="0" borderId="0" xfId="2" applyNumberFormat="1" applyFont="1" applyAlignment="1"/>
    <xf numFmtId="37" fontId="29" fillId="0" borderId="0" xfId="4" applyFont="1"/>
    <xf numFmtId="176" fontId="26" fillId="0" borderId="0" xfId="4" applyNumberFormat="1" applyFont="1"/>
    <xf numFmtId="37" fontId="30" fillId="0" borderId="0" xfId="4" applyFont="1"/>
    <xf numFmtId="37" fontId="10" fillId="13" borderId="11" xfId="4" applyFont="1" applyFill="1" applyBorder="1" applyAlignment="1">
      <alignment horizontal="center" vertical="center" shrinkToFit="1"/>
    </xf>
    <xf numFmtId="37" fontId="10" fillId="13" borderId="12" xfId="4" applyFont="1" applyFill="1" applyBorder="1" applyAlignment="1">
      <alignment horizontal="center" vertical="center" shrinkToFit="1"/>
    </xf>
    <xf numFmtId="37" fontId="10" fillId="13" borderId="13" xfId="4" applyFont="1" applyFill="1" applyBorder="1" applyAlignment="1">
      <alignment horizontal="center" vertical="center" shrinkToFit="1"/>
    </xf>
    <xf numFmtId="37" fontId="10" fillId="14" borderId="16" xfId="3" applyFont="1" applyFill="1" applyBorder="1" applyAlignment="1">
      <alignment horizontal="center" vertical="center"/>
    </xf>
    <xf numFmtId="37" fontId="10" fillId="14" borderId="0" xfId="3" applyFont="1" applyFill="1" applyAlignment="1">
      <alignment horizontal="distributed" vertical="center"/>
    </xf>
    <xf numFmtId="37" fontId="6" fillId="14" borderId="17" xfId="3" applyFont="1" applyFill="1" applyBorder="1" applyAlignment="1">
      <alignment horizontal="distributed" vertical="center"/>
    </xf>
    <xf numFmtId="177" fontId="9" fillId="14" borderId="18" xfId="5" applyNumberFormat="1" applyFont="1" applyFill="1" applyBorder="1" applyAlignment="1">
      <alignment vertical="center" shrinkToFit="1"/>
    </xf>
    <xf numFmtId="37" fontId="9" fillId="14" borderId="19" xfId="5" applyFont="1" applyFill="1" applyBorder="1" applyAlignment="1">
      <alignment vertical="center" shrinkToFit="1"/>
    </xf>
    <xf numFmtId="37" fontId="9" fillId="14" borderId="20" xfId="5" applyFont="1" applyFill="1" applyBorder="1" applyAlignment="1">
      <alignment vertical="center" shrinkToFit="1"/>
    </xf>
    <xf numFmtId="41" fontId="9" fillId="14" borderId="20" xfId="0" applyNumberFormat="1" applyFont="1" applyFill="1" applyBorder="1" applyAlignment="1">
      <alignment vertical="center" shrinkToFit="1"/>
    </xf>
    <xf numFmtId="37" fontId="9" fillId="14" borderId="21" xfId="5" applyFont="1" applyFill="1" applyBorder="1" applyAlignment="1">
      <alignment vertical="center" shrinkToFit="1"/>
    </xf>
    <xf numFmtId="177" fontId="9" fillId="14" borderId="22" xfId="5" applyNumberFormat="1" applyFont="1" applyFill="1" applyBorder="1" applyAlignment="1">
      <alignment vertical="center" shrinkToFit="1"/>
    </xf>
    <xf numFmtId="41" fontId="9" fillId="14" borderId="27" xfId="1" applyFont="1" applyFill="1" applyBorder="1" applyAlignment="1">
      <alignment vertical="center" shrinkToFit="1"/>
    </xf>
    <xf numFmtId="41" fontId="9" fillId="14" borderId="20" xfId="1" applyFont="1" applyFill="1" applyBorder="1" applyAlignment="1">
      <alignment vertical="center" shrinkToFit="1"/>
    </xf>
    <xf numFmtId="41" fontId="9" fillId="14" borderId="28" xfId="1" applyFont="1" applyFill="1" applyBorder="1" applyAlignment="1">
      <alignment vertical="center" shrinkToFit="1"/>
    </xf>
    <xf numFmtId="41" fontId="9" fillId="14" borderId="21" xfId="1" applyFont="1" applyFill="1" applyBorder="1" applyAlignment="1">
      <alignment vertical="center" shrinkToFit="1"/>
    </xf>
    <xf numFmtId="41" fontId="9" fillId="14" borderId="22" xfId="1" applyFont="1" applyFill="1" applyBorder="1" applyAlignment="1">
      <alignment vertical="center" shrinkToFit="1"/>
    </xf>
    <xf numFmtId="41" fontId="9" fillId="15" borderId="18" xfId="1" applyFont="1" applyFill="1" applyBorder="1" applyAlignment="1">
      <alignment vertical="center" shrinkToFit="1"/>
    </xf>
    <xf numFmtId="41" fontId="9" fillId="15" borderId="23" xfId="1" applyFont="1" applyFill="1" applyBorder="1" applyAlignment="1">
      <alignment vertical="center" shrinkToFit="1"/>
    </xf>
    <xf numFmtId="41" fontId="14" fillId="15" borderId="20" xfId="1" applyFont="1" applyFill="1" applyBorder="1" applyAlignment="1">
      <alignment vertical="center" shrinkToFit="1"/>
    </xf>
    <xf numFmtId="41" fontId="9" fillId="15" borderId="20" xfId="1" applyFont="1" applyFill="1" applyBorder="1" applyAlignment="1">
      <alignment vertical="center" shrinkToFit="1"/>
    </xf>
    <xf numFmtId="41" fontId="9" fillId="15" borderId="21" xfId="1" applyFont="1" applyFill="1" applyBorder="1" applyAlignment="1">
      <alignment horizontal="right" vertical="center" shrinkToFit="1"/>
    </xf>
    <xf numFmtId="177" fontId="9" fillId="15" borderId="22" xfId="5" applyNumberFormat="1" applyFont="1" applyFill="1" applyBorder="1" applyAlignment="1">
      <alignment vertical="center" shrinkToFit="1"/>
    </xf>
    <xf numFmtId="41" fontId="9" fillId="15" borderId="20" xfId="1" applyFont="1" applyFill="1" applyBorder="1" applyAlignment="1">
      <alignment horizontal="right" vertical="center" shrinkToFit="1"/>
    </xf>
    <xf numFmtId="41" fontId="9" fillId="15" borderId="22" xfId="1" applyFont="1" applyFill="1" applyBorder="1" applyAlignment="1">
      <alignment horizontal="right" vertical="center" shrinkToFit="1"/>
    </xf>
    <xf numFmtId="178" fontId="6" fillId="0" borderId="1" xfId="6" applyNumberFormat="1" applyFont="1" applyBorder="1">
      <alignment vertical="center"/>
    </xf>
    <xf numFmtId="178" fontId="6" fillId="0" borderId="2" xfId="6" applyNumberFormat="1" applyFont="1" applyBorder="1" applyAlignment="1">
      <alignment horizontal="distributed" vertical="center"/>
    </xf>
    <xf numFmtId="178" fontId="6" fillId="0" borderId="3" xfId="6" applyNumberFormat="1" applyFont="1" applyBorder="1" applyAlignment="1">
      <alignment horizontal="distributed" vertical="center"/>
    </xf>
    <xf numFmtId="178" fontId="9" fillId="0" borderId="53" xfId="5" applyNumberFormat="1" applyFont="1" applyFill="1" applyBorder="1" applyAlignment="1">
      <alignment vertical="center" shrinkToFit="1"/>
    </xf>
    <xf numFmtId="180" fontId="6" fillId="0" borderId="59" xfId="7" applyNumberFormat="1" applyFont="1" applyFill="1" applyBorder="1" applyAlignment="1">
      <alignment vertical="center"/>
    </xf>
    <xf numFmtId="180" fontId="6" fillId="0" borderId="60" xfId="7" applyNumberFormat="1" applyFont="1" applyFill="1" applyBorder="1" applyAlignment="1">
      <alignment horizontal="distributed" vertical="center"/>
    </xf>
    <xf numFmtId="180" fontId="6" fillId="0" borderId="36" xfId="7" applyNumberFormat="1" applyFont="1" applyFill="1" applyBorder="1" applyAlignment="1">
      <alignment horizontal="distributed" vertical="center"/>
    </xf>
    <xf numFmtId="180" fontId="9" fillId="0" borderId="61" xfId="7" applyNumberFormat="1" applyFont="1" applyFill="1" applyBorder="1" applyAlignment="1">
      <alignment vertical="center" shrinkToFit="1"/>
    </xf>
    <xf numFmtId="180" fontId="9" fillId="0" borderId="35" xfId="7" applyNumberFormat="1" applyFont="1" applyFill="1" applyBorder="1" applyAlignment="1">
      <alignment vertical="center" shrinkToFit="1"/>
    </xf>
    <xf numFmtId="180" fontId="6" fillId="0" borderId="63" xfId="8" applyNumberFormat="1" applyFont="1" applyFill="1" applyBorder="1" applyAlignment="1">
      <alignment vertical="center"/>
    </xf>
    <xf numFmtId="178" fontId="6" fillId="0" borderId="38" xfId="6" applyNumberFormat="1" applyFont="1" applyBorder="1" applyAlignment="1">
      <alignment horizontal="distributed" vertical="center"/>
    </xf>
    <xf numFmtId="178" fontId="6" fillId="0" borderId="39" xfId="6" applyNumberFormat="1" applyFont="1" applyBorder="1" applyAlignment="1">
      <alignment horizontal="distributed" vertical="center"/>
    </xf>
    <xf numFmtId="178" fontId="9" fillId="0" borderId="54" xfId="5" applyNumberFormat="1" applyFont="1" applyFill="1" applyBorder="1" applyAlignment="1">
      <alignment vertical="center" shrinkToFit="1"/>
    </xf>
    <xf numFmtId="180" fontId="6" fillId="0" borderId="0" xfId="7" applyNumberFormat="1" applyFont="1" applyFill="1" applyBorder="1" applyAlignment="1">
      <alignment horizontal="distributed" vertical="center"/>
    </xf>
    <xf numFmtId="180" fontId="6" fillId="0" borderId="17" xfId="7" applyNumberFormat="1" applyFont="1" applyFill="1" applyBorder="1" applyAlignment="1">
      <alignment horizontal="distributed" vertical="center"/>
    </xf>
    <xf numFmtId="180" fontId="9" fillId="0" borderId="32" xfId="2" applyNumberFormat="1" applyFont="1" applyFill="1" applyBorder="1" applyAlignment="1">
      <alignment vertical="center" shrinkToFit="1"/>
    </xf>
    <xf numFmtId="180" fontId="9" fillId="0" borderId="27" xfId="7" applyNumberFormat="1" applyFont="1" applyFill="1" applyBorder="1" applyAlignment="1">
      <alignment vertical="center" shrinkToFit="1"/>
    </xf>
    <xf numFmtId="180" fontId="9" fillId="0" borderId="22" xfId="7" applyNumberFormat="1" applyFont="1" applyFill="1" applyBorder="1" applyAlignment="1">
      <alignment vertical="center" shrinkToFit="1"/>
    </xf>
    <xf numFmtId="178" fontId="6" fillId="0" borderId="63" xfId="6" applyNumberFormat="1" applyFont="1" applyBorder="1">
      <alignment vertical="center"/>
    </xf>
    <xf numFmtId="180" fontId="6" fillId="0" borderId="66" xfId="7" applyNumberFormat="1" applyFont="1" applyFill="1" applyBorder="1" applyAlignment="1">
      <alignment vertical="center"/>
    </xf>
    <xf numFmtId="180" fontId="6" fillId="0" borderId="67" xfId="7" applyNumberFormat="1" applyFont="1" applyFill="1" applyBorder="1" applyAlignment="1">
      <alignment horizontal="distributed" vertical="center"/>
    </xf>
    <xf numFmtId="180" fontId="6" fillId="0" borderId="68" xfId="7" applyNumberFormat="1" applyFont="1" applyFill="1" applyBorder="1" applyAlignment="1">
      <alignment horizontal="distributed" vertical="center"/>
    </xf>
    <xf numFmtId="180" fontId="9" fillId="0" borderId="69" xfId="7" applyNumberFormat="1" applyFont="1" applyFill="1" applyBorder="1" applyAlignment="1">
      <alignment vertical="center" shrinkToFit="1"/>
    </xf>
    <xf numFmtId="180" fontId="9" fillId="0" borderId="70" xfId="7" applyNumberFormat="1" applyFont="1" applyFill="1" applyBorder="1" applyAlignment="1">
      <alignment vertical="center" shrinkToFit="1"/>
    </xf>
    <xf numFmtId="180" fontId="6" fillId="0" borderId="73" xfId="7" applyNumberFormat="1" applyFont="1" applyFill="1" applyBorder="1" applyAlignment="1">
      <alignment vertical="center"/>
    </xf>
    <xf numFmtId="180" fontId="6" fillId="0" borderId="74" xfId="9" applyNumberFormat="1" applyFont="1" applyFill="1" applyBorder="1" applyAlignment="1">
      <alignment horizontal="distributed" vertical="center"/>
    </xf>
    <xf numFmtId="180" fontId="6" fillId="0" borderId="75" xfId="9" applyNumberFormat="1" applyFont="1" applyFill="1" applyBorder="1" applyAlignment="1">
      <alignment horizontal="distributed" vertical="center"/>
    </xf>
    <xf numFmtId="180" fontId="6" fillId="0" borderId="0" xfId="9" applyNumberFormat="1" applyFont="1" applyFill="1" applyBorder="1" applyAlignment="1">
      <alignment horizontal="distributed" vertical="center"/>
    </xf>
    <xf numFmtId="180" fontId="6" fillId="0" borderId="67" xfId="9" applyNumberFormat="1" applyFont="1" applyFill="1" applyBorder="1" applyAlignment="1">
      <alignment horizontal="distributed" vertical="center"/>
    </xf>
    <xf numFmtId="180" fontId="6" fillId="0" borderId="68" xfId="9" applyNumberFormat="1" applyFont="1" applyFill="1" applyBorder="1" applyAlignment="1">
      <alignment horizontal="distributed" vertical="center"/>
    </xf>
    <xf numFmtId="180" fontId="9" fillId="0" borderId="80" xfId="7" applyNumberFormat="1" applyFont="1" applyFill="1" applyBorder="1" applyAlignment="1">
      <alignment vertical="center" shrinkToFit="1"/>
    </xf>
    <xf numFmtId="180" fontId="6" fillId="0" borderId="46" xfId="7" applyNumberFormat="1" applyFont="1" applyFill="1" applyBorder="1" applyAlignment="1">
      <alignment vertical="center"/>
    </xf>
    <xf numFmtId="180" fontId="6" fillId="0" borderId="47" xfId="9" applyNumberFormat="1" applyFont="1" applyFill="1" applyBorder="1" applyAlignment="1">
      <alignment horizontal="distributed" vertical="center"/>
    </xf>
    <xf numFmtId="180" fontId="6" fillId="0" borderId="48" xfId="9" applyNumberFormat="1" applyFont="1" applyFill="1" applyBorder="1" applyAlignment="1">
      <alignment horizontal="distributed" vertical="center"/>
    </xf>
    <xf numFmtId="180" fontId="9" fillId="0" borderId="50" xfId="7" applyNumberFormat="1" applyFont="1" applyFill="1" applyBorder="1" applyAlignment="1">
      <alignment vertical="center" shrinkToFit="1"/>
    </xf>
    <xf numFmtId="178" fontId="9" fillId="14" borderId="29" xfId="5" applyNumberFormat="1" applyFont="1" applyFill="1" applyBorder="1" applyAlignment="1">
      <alignment vertical="center" shrinkToFit="1"/>
    </xf>
    <xf numFmtId="178" fontId="9" fillId="14" borderId="41" xfId="5" applyNumberFormat="1" applyFont="1" applyFill="1" applyBorder="1" applyAlignment="1">
      <alignment vertical="center" shrinkToFit="1"/>
    </xf>
    <xf numFmtId="178" fontId="9" fillId="14" borderId="42" xfId="5" applyNumberFormat="1" applyFont="1" applyFill="1" applyBorder="1" applyAlignment="1">
      <alignment vertical="center" shrinkToFit="1"/>
    </xf>
    <xf numFmtId="178" fontId="9" fillId="14" borderId="43" xfId="5" applyNumberFormat="1" applyFont="1" applyFill="1" applyBorder="1" applyAlignment="1">
      <alignment vertical="center" shrinkToFit="1"/>
    </xf>
    <xf numFmtId="178" fontId="6" fillId="13" borderId="2" xfId="6" applyNumberFormat="1" applyFont="1" applyFill="1" applyBorder="1" applyAlignment="1">
      <alignment horizontal="distributed" vertical="center"/>
    </xf>
    <xf numFmtId="178" fontId="6" fillId="13" borderId="3" xfId="6" applyNumberFormat="1" applyFont="1" applyFill="1" applyBorder="1" applyAlignment="1">
      <alignment horizontal="distributed" vertical="center"/>
    </xf>
    <xf numFmtId="178" fontId="9" fillId="13" borderId="53" xfId="5" applyNumberFormat="1" applyFont="1" applyFill="1" applyBorder="1" applyAlignment="1">
      <alignment vertical="center" shrinkToFit="1"/>
    </xf>
    <xf numFmtId="178" fontId="9" fillId="13" borderId="31" xfId="5" applyNumberFormat="1" applyFont="1" applyFill="1" applyBorder="1" applyAlignment="1">
      <alignment vertical="center" shrinkToFit="1"/>
    </xf>
    <xf numFmtId="178" fontId="9" fillId="13" borderId="56" xfId="5" applyNumberFormat="1" applyFont="1" applyFill="1" applyBorder="1" applyAlignment="1">
      <alignment vertical="center" shrinkToFit="1"/>
    </xf>
    <xf numFmtId="178" fontId="6" fillId="13" borderId="0" xfId="6" applyNumberFormat="1" applyFont="1" applyFill="1" applyAlignment="1">
      <alignment horizontal="distributed" vertical="center"/>
    </xf>
    <xf numFmtId="178" fontId="6" fillId="13" borderId="17" xfId="6" applyNumberFormat="1" applyFont="1" applyFill="1" applyBorder="1" applyAlignment="1">
      <alignment horizontal="distributed" vertical="center"/>
    </xf>
    <xf numFmtId="179" fontId="9" fillId="13" borderId="37" xfId="5" applyNumberFormat="1" applyFont="1" applyFill="1" applyBorder="1" applyAlignment="1">
      <alignment vertical="center" shrinkToFit="1"/>
    </xf>
    <xf numFmtId="179" fontId="9" fillId="13" borderId="27" xfId="5" applyNumberFormat="1" applyFont="1" applyFill="1" applyBorder="1" applyAlignment="1">
      <alignment vertical="center" shrinkToFit="1"/>
    </xf>
    <xf numFmtId="179" fontId="9" fillId="13" borderId="20" xfId="5" applyNumberFormat="1" applyFont="1" applyFill="1" applyBorder="1" applyAlignment="1">
      <alignment vertical="center" shrinkToFit="1"/>
    </xf>
    <xf numFmtId="179" fontId="9" fillId="13" borderId="21" xfId="5" applyNumberFormat="1" applyFont="1" applyFill="1" applyBorder="1" applyAlignment="1">
      <alignment vertical="center" shrinkToFit="1"/>
    </xf>
    <xf numFmtId="178" fontId="6" fillId="13" borderId="38" xfId="6" applyNumberFormat="1" applyFont="1" applyFill="1" applyBorder="1" applyAlignment="1">
      <alignment horizontal="distributed" vertical="center"/>
    </xf>
    <xf numFmtId="178" fontId="6" fillId="13" borderId="39" xfId="6" applyNumberFormat="1" applyFont="1" applyFill="1" applyBorder="1" applyAlignment="1">
      <alignment horizontal="distributed" vertical="center"/>
    </xf>
    <xf numFmtId="178" fontId="9" fillId="13" borderId="54" xfId="5" applyNumberFormat="1" applyFont="1" applyFill="1" applyBorder="1" applyAlignment="1">
      <alignment vertical="center" shrinkToFit="1"/>
    </xf>
    <xf numFmtId="178" fontId="9" fillId="13" borderId="42" xfId="5" applyNumberFormat="1" applyFont="1" applyFill="1" applyBorder="1" applyAlignment="1">
      <alignment vertical="center" shrinkToFit="1"/>
    </xf>
    <xf numFmtId="178" fontId="9" fillId="13" borderId="57" xfId="5" applyNumberFormat="1" applyFont="1" applyFill="1" applyBorder="1" applyAlignment="1">
      <alignment vertical="center" shrinkToFit="1"/>
    </xf>
    <xf numFmtId="181" fontId="9" fillId="13" borderId="18" xfId="5" applyNumberFormat="1" applyFont="1" applyFill="1" applyBorder="1" applyAlignment="1">
      <alignment vertical="center" shrinkToFit="1"/>
    </xf>
    <xf numFmtId="181" fontId="9" fillId="13" borderId="27" xfId="5" applyNumberFormat="1" applyFont="1" applyFill="1" applyBorder="1" applyAlignment="1">
      <alignment vertical="center" shrinkToFit="1"/>
    </xf>
    <xf numFmtId="181" fontId="9" fillId="13" borderId="20" xfId="5" applyNumberFormat="1" applyFont="1" applyFill="1" applyBorder="1" applyAlignment="1">
      <alignment vertical="center" shrinkToFit="1"/>
    </xf>
    <xf numFmtId="181" fontId="9" fillId="13" borderId="21" xfId="5" applyNumberFormat="1" applyFont="1" applyFill="1" applyBorder="1" applyAlignment="1">
      <alignment vertical="center" shrinkToFit="1"/>
    </xf>
    <xf numFmtId="180" fontId="6" fillId="13" borderId="47" xfId="7" applyNumberFormat="1" applyFont="1" applyFill="1" applyBorder="1" applyAlignment="1">
      <alignment horizontal="distributed" vertical="center"/>
    </xf>
    <xf numFmtId="180" fontId="6" fillId="13" borderId="48" xfId="7" applyNumberFormat="1" applyFont="1" applyFill="1" applyBorder="1" applyAlignment="1">
      <alignment horizontal="distributed" vertical="center"/>
    </xf>
    <xf numFmtId="180" fontId="9" fillId="13" borderId="52" xfId="7" applyNumberFormat="1" applyFont="1" applyFill="1" applyBorder="1" applyAlignment="1">
      <alignment vertical="center" shrinkToFit="1"/>
    </xf>
    <xf numFmtId="180" fontId="9" fillId="13" borderId="50" xfId="7" applyNumberFormat="1" applyFont="1" applyFill="1" applyBorder="1" applyAlignment="1">
      <alignment vertical="center" shrinkToFit="1"/>
    </xf>
    <xf numFmtId="180" fontId="9" fillId="13" borderId="28" xfId="7" applyNumberFormat="1" applyFont="1" applyFill="1" applyBorder="1" applyAlignment="1">
      <alignment vertical="center" shrinkToFit="1"/>
    </xf>
    <xf numFmtId="37" fontId="10" fillId="15" borderId="11" xfId="4" applyFont="1" applyFill="1" applyBorder="1" applyAlignment="1">
      <alignment horizontal="center" vertical="center" shrinkToFit="1"/>
    </xf>
    <xf numFmtId="37" fontId="10" fillId="15" borderId="12" xfId="4" applyFont="1" applyFill="1" applyBorder="1" applyAlignment="1">
      <alignment horizontal="center" vertical="center" shrinkToFit="1"/>
    </xf>
    <xf numFmtId="37" fontId="10" fillId="15" borderId="13" xfId="4" applyFont="1" applyFill="1" applyBorder="1" applyAlignment="1">
      <alignment horizontal="center" vertical="center" shrinkToFit="1"/>
    </xf>
    <xf numFmtId="178" fontId="9" fillId="16" borderId="41" xfId="5" applyNumberFormat="1" applyFont="1" applyFill="1" applyBorder="1" applyAlignment="1">
      <alignment vertical="center" shrinkToFit="1"/>
    </xf>
    <xf numFmtId="178" fontId="9" fillId="16" borderId="5" xfId="5" applyNumberFormat="1" applyFont="1" applyFill="1" applyBorder="1" applyAlignment="1">
      <alignment vertical="center" shrinkToFit="1"/>
    </xf>
    <xf numFmtId="37" fontId="27" fillId="0" borderId="0" xfId="3" applyFont="1" applyAlignment="1">
      <alignment vertical="center"/>
    </xf>
    <xf numFmtId="179" fontId="9" fillId="16" borderId="18" xfId="5" applyNumberFormat="1" applyFont="1" applyFill="1" applyBorder="1" applyAlignment="1">
      <alignment vertical="center" shrinkToFit="1"/>
    </xf>
    <xf numFmtId="181" fontId="9" fillId="16" borderId="18" xfId="5" applyNumberFormat="1" applyFont="1" applyFill="1" applyBorder="1" applyAlignment="1">
      <alignment vertical="center" shrinkToFit="1"/>
    </xf>
    <xf numFmtId="180" fontId="9" fillId="16" borderId="52" xfId="7" applyNumberFormat="1" applyFont="1" applyFill="1" applyBorder="1" applyAlignment="1">
      <alignment vertical="center" shrinkToFit="1"/>
    </xf>
    <xf numFmtId="41" fontId="17" fillId="6" borderId="83" xfId="1" applyFont="1" applyFill="1" applyBorder="1" applyAlignment="1">
      <alignment vertical="center" shrinkToFit="1"/>
    </xf>
    <xf numFmtId="178" fontId="9" fillId="14" borderId="84" xfId="5" applyNumberFormat="1" applyFont="1" applyFill="1" applyBorder="1" applyAlignment="1">
      <alignment vertical="center" shrinkToFit="1"/>
    </xf>
    <xf numFmtId="178" fontId="9" fillId="14" borderId="85" xfId="5" applyNumberFormat="1" applyFont="1" applyFill="1" applyBorder="1" applyAlignment="1">
      <alignment vertical="center" shrinkToFit="1"/>
    </xf>
    <xf numFmtId="37" fontId="29" fillId="0" borderId="82" xfId="4" applyFont="1" applyBorder="1"/>
    <xf numFmtId="37" fontId="12" fillId="0" borderId="82" xfId="4" applyFont="1" applyBorder="1"/>
    <xf numFmtId="41" fontId="12" fillId="0" borderId="0" xfId="1" applyFont="1" applyAlignment="1"/>
    <xf numFmtId="178" fontId="9" fillId="16" borderId="31" xfId="5" applyNumberFormat="1" applyFont="1" applyFill="1" applyBorder="1" applyAlignment="1">
      <alignment vertical="center" shrinkToFit="1"/>
    </xf>
    <xf numFmtId="178" fontId="9" fillId="16" borderId="42" xfId="5" applyNumberFormat="1" applyFont="1" applyFill="1" applyBorder="1" applyAlignment="1">
      <alignment vertical="center" shrinkToFit="1"/>
    </xf>
    <xf numFmtId="180" fontId="9" fillId="16" borderId="28" xfId="7" applyNumberFormat="1" applyFont="1" applyFill="1" applyBorder="1" applyAlignment="1">
      <alignment vertical="center" shrinkToFit="1"/>
    </xf>
    <xf numFmtId="179" fontId="9" fillId="16" borderId="20" xfId="5" applyNumberFormat="1" applyFont="1" applyFill="1" applyBorder="1" applyAlignment="1">
      <alignment vertical="center" shrinkToFit="1"/>
    </xf>
    <xf numFmtId="181" fontId="9" fillId="16" borderId="20" xfId="5" applyNumberFormat="1" applyFont="1" applyFill="1" applyBorder="1" applyAlignment="1">
      <alignment vertical="center" shrinkToFit="1"/>
    </xf>
    <xf numFmtId="180" fontId="16" fillId="0" borderId="0" xfId="2" applyNumberFormat="1" applyFont="1" applyAlignment="1">
      <alignment vertical="center"/>
    </xf>
    <xf numFmtId="37" fontId="9" fillId="2" borderId="6" xfId="4" applyFont="1" applyFill="1" applyBorder="1" applyAlignment="1">
      <alignment horizontal="center" vertical="center" wrapText="1" shrinkToFit="1"/>
    </xf>
    <xf numFmtId="37" fontId="9" fillId="2" borderId="14" xfId="4" applyFont="1" applyFill="1" applyBorder="1" applyAlignment="1">
      <alignment horizontal="center" vertical="center" shrinkToFit="1"/>
    </xf>
    <xf numFmtId="178" fontId="10" fillId="14" borderId="1" xfId="6" applyNumberFormat="1" applyFont="1" applyFill="1" applyBorder="1" applyAlignment="1">
      <alignment horizontal="center" vertical="center" wrapText="1"/>
    </xf>
    <xf numFmtId="178" fontId="10" fillId="14" borderId="16" xfId="6" applyNumberFormat="1" applyFont="1" applyFill="1" applyBorder="1" applyAlignment="1">
      <alignment horizontal="center" vertical="center"/>
    </xf>
    <xf numFmtId="178" fontId="10" fillId="14" borderId="46" xfId="6" applyNumberFormat="1" applyFont="1" applyFill="1" applyBorder="1" applyAlignment="1">
      <alignment horizontal="center" vertical="center"/>
    </xf>
    <xf numFmtId="37" fontId="10" fillId="13" borderId="1" xfId="4" applyFont="1" applyFill="1" applyBorder="1" applyAlignment="1">
      <alignment horizontal="center" vertical="center"/>
    </xf>
    <xf numFmtId="37" fontId="10" fillId="13" borderId="2" xfId="4" applyFont="1" applyFill="1" applyBorder="1" applyAlignment="1">
      <alignment horizontal="center" vertical="center"/>
    </xf>
    <xf numFmtId="37" fontId="10" fillId="13" borderId="3" xfId="4" applyFont="1" applyFill="1" applyBorder="1" applyAlignment="1">
      <alignment horizontal="center" vertical="center"/>
    </xf>
    <xf numFmtId="37" fontId="10" fillId="13" borderId="7" xfId="4" applyFont="1" applyFill="1" applyBorder="1" applyAlignment="1">
      <alignment horizontal="center" vertical="center"/>
    </xf>
    <xf numFmtId="37" fontId="10" fillId="13" borderId="8" xfId="4" applyFont="1" applyFill="1" applyBorder="1" applyAlignment="1">
      <alignment horizontal="center" vertical="center"/>
    </xf>
    <xf numFmtId="37" fontId="10" fillId="13" borderId="9" xfId="4" applyFont="1" applyFill="1" applyBorder="1" applyAlignment="1">
      <alignment horizontal="center" vertical="center"/>
    </xf>
    <xf numFmtId="37" fontId="10" fillId="13" borderId="4" xfId="4" applyFont="1" applyFill="1" applyBorder="1" applyAlignment="1">
      <alignment horizontal="center" vertical="center" wrapText="1" shrinkToFit="1"/>
    </xf>
    <xf numFmtId="37" fontId="10" fillId="13" borderId="10" xfId="4" applyFont="1" applyFill="1" applyBorder="1" applyAlignment="1">
      <alignment horizontal="center" vertical="center" shrinkToFit="1"/>
    </xf>
    <xf numFmtId="37" fontId="10" fillId="13" borderId="5" xfId="4" applyFont="1" applyFill="1" applyBorder="1" applyAlignment="1">
      <alignment horizontal="center" vertical="center" shrinkToFit="1"/>
    </xf>
    <xf numFmtId="37" fontId="10" fillId="13" borderId="2" xfId="4" applyFont="1" applyFill="1" applyBorder="1" applyAlignment="1">
      <alignment horizontal="center" vertical="center" shrinkToFit="1"/>
    </xf>
    <xf numFmtId="37" fontId="10" fillId="13" borderId="3" xfId="4" applyFont="1" applyFill="1" applyBorder="1" applyAlignment="1">
      <alignment horizontal="center" vertical="center" shrinkToFit="1"/>
    </xf>
    <xf numFmtId="37" fontId="10" fillId="13" borderId="6" xfId="4" applyFont="1" applyFill="1" applyBorder="1" applyAlignment="1">
      <alignment horizontal="center" vertical="center" wrapText="1" shrinkToFit="1"/>
    </xf>
    <xf numFmtId="37" fontId="10" fillId="13" borderId="14" xfId="4" applyFont="1" applyFill="1" applyBorder="1" applyAlignment="1">
      <alignment horizontal="center" vertical="center" shrinkToFit="1"/>
    </xf>
    <xf numFmtId="37" fontId="10" fillId="15" borderId="5" xfId="4" applyFont="1" applyFill="1" applyBorder="1" applyAlignment="1">
      <alignment horizontal="center" vertical="center" shrinkToFit="1"/>
    </xf>
    <xf numFmtId="37" fontId="10" fillId="15" borderId="2" xfId="4" applyFont="1" applyFill="1" applyBorder="1" applyAlignment="1">
      <alignment horizontal="center" vertical="center" shrinkToFit="1"/>
    </xf>
    <xf numFmtId="37" fontId="10" fillId="15" borderId="3" xfId="4" applyFont="1" applyFill="1" applyBorder="1" applyAlignment="1">
      <alignment horizontal="center" vertical="center" shrinkToFit="1"/>
    </xf>
    <xf numFmtId="37" fontId="10" fillId="15" borderId="6" xfId="4" applyFont="1" applyFill="1" applyBorder="1" applyAlignment="1">
      <alignment horizontal="center" vertical="center" wrapText="1" shrinkToFit="1"/>
    </xf>
    <xf numFmtId="37" fontId="10" fillId="15" borderId="14" xfId="4" applyFont="1" applyFill="1" applyBorder="1" applyAlignment="1">
      <alignment horizontal="center" vertical="center" shrinkToFit="1"/>
    </xf>
    <xf numFmtId="178" fontId="21" fillId="13" borderId="16" xfId="6" applyNumberFormat="1" applyFont="1" applyFill="1" applyBorder="1" applyAlignment="1">
      <alignment horizontal="center" vertical="center" wrapText="1"/>
    </xf>
    <xf numFmtId="178" fontId="21" fillId="13" borderId="16" xfId="6" applyNumberFormat="1" applyFont="1" applyFill="1" applyBorder="1" applyAlignment="1">
      <alignment horizontal="center" vertical="center"/>
    </xf>
    <xf numFmtId="178" fontId="21" fillId="13" borderId="46" xfId="6" applyNumberFormat="1" applyFont="1" applyFill="1" applyBorder="1" applyAlignment="1">
      <alignment horizontal="center" vertical="center"/>
    </xf>
    <xf numFmtId="37" fontId="9" fillId="2" borderId="3" xfId="4" applyFont="1" applyFill="1" applyBorder="1" applyAlignment="1">
      <alignment horizontal="center" vertical="center" wrapText="1" shrinkToFit="1"/>
    </xf>
    <xf numFmtId="37" fontId="9" fillId="2" borderId="9" xfId="4" applyFont="1" applyFill="1" applyBorder="1" applyAlignment="1">
      <alignment horizontal="center" vertical="center" shrinkToFit="1"/>
    </xf>
    <xf numFmtId="37" fontId="9" fillId="2" borderId="4" xfId="4" applyFont="1" applyFill="1" applyBorder="1" applyAlignment="1">
      <alignment horizontal="center" vertical="center" wrapText="1" shrinkToFit="1"/>
    </xf>
    <xf numFmtId="37" fontId="9" fillId="2" borderId="10" xfId="4" applyFont="1" applyFill="1" applyBorder="1" applyAlignment="1">
      <alignment horizontal="center" vertical="center" shrinkToFit="1"/>
    </xf>
    <xf numFmtId="37" fontId="9" fillId="2" borderId="5" xfId="4" applyFont="1" applyFill="1" applyBorder="1" applyAlignment="1">
      <alignment horizontal="center" vertical="center" wrapText="1" shrinkToFit="1"/>
    </xf>
    <xf numFmtId="37" fontId="9" fillId="2" borderId="15" xfId="4" applyFont="1" applyFill="1" applyBorder="1" applyAlignment="1">
      <alignment horizontal="center" vertical="center" shrinkToFit="1"/>
    </xf>
    <xf numFmtId="178" fontId="10" fillId="3" borderId="1" xfId="6" applyNumberFormat="1" applyFont="1" applyFill="1" applyBorder="1" applyAlignment="1">
      <alignment horizontal="center" vertical="center" wrapText="1"/>
    </xf>
    <xf numFmtId="178" fontId="10" fillId="3" borderId="16" xfId="6" applyNumberFormat="1" applyFont="1" applyFill="1" applyBorder="1" applyAlignment="1">
      <alignment horizontal="center" vertical="center"/>
    </xf>
    <xf numFmtId="178" fontId="10" fillId="3" borderId="46" xfId="6" applyNumberFormat="1" applyFont="1" applyFill="1" applyBorder="1" applyAlignment="1">
      <alignment horizontal="center" vertical="center"/>
    </xf>
    <xf numFmtId="178" fontId="10" fillId="13" borderId="16" xfId="6" applyNumberFormat="1" applyFont="1" applyFill="1" applyBorder="1" applyAlignment="1">
      <alignment horizontal="center" vertical="center" wrapText="1"/>
    </xf>
    <xf numFmtId="178" fontId="10" fillId="13" borderId="16" xfId="6" applyNumberFormat="1" applyFont="1" applyFill="1" applyBorder="1" applyAlignment="1">
      <alignment horizontal="center" vertical="center"/>
    </xf>
    <xf numFmtId="178" fontId="10" fillId="13" borderId="46" xfId="6" applyNumberFormat="1" applyFont="1" applyFill="1" applyBorder="1" applyAlignment="1">
      <alignment horizontal="center" vertical="center"/>
    </xf>
    <xf numFmtId="178" fontId="10" fillId="13" borderId="1" xfId="6" applyNumberFormat="1" applyFont="1" applyFill="1" applyBorder="1" applyAlignment="1">
      <alignment horizontal="center" vertical="center" wrapText="1"/>
    </xf>
    <xf numFmtId="178" fontId="21" fillId="13" borderId="1" xfId="6" applyNumberFormat="1" applyFont="1" applyFill="1" applyBorder="1" applyAlignment="1">
      <alignment horizontal="center" vertical="center" wrapText="1"/>
    </xf>
    <xf numFmtId="178" fontId="10" fillId="13" borderId="46" xfId="6" applyNumberFormat="1" applyFont="1" applyFill="1" applyBorder="1" applyAlignment="1">
      <alignment horizontal="center" vertical="center" wrapText="1"/>
    </xf>
    <xf numFmtId="178" fontId="24" fillId="8" borderId="1" xfId="6" applyNumberFormat="1" applyFont="1" applyFill="1" applyBorder="1" applyAlignment="1">
      <alignment horizontal="center" vertical="center" wrapText="1"/>
    </xf>
    <xf numFmtId="178" fontId="24" fillId="8" borderId="16" xfId="6" applyNumberFormat="1" applyFont="1" applyFill="1" applyBorder="1" applyAlignment="1">
      <alignment horizontal="center" vertical="center"/>
    </xf>
    <xf numFmtId="178" fontId="24" fillId="8" borderId="46" xfId="6" applyNumberFormat="1" applyFont="1" applyFill="1" applyBorder="1" applyAlignment="1">
      <alignment horizontal="center" vertical="center"/>
    </xf>
  </cellXfs>
  <cellStyles count="10">
    <cellStyle name="백분율" xfId="2" builtinId="5"/>
    <cellStyle name="백분율 2 2" xfId="8" xr:uid="{4B0C099F-61D0-4E87-96CA-9D4D1552C2C2}"/>
    <cellStyle name="백분율 2 3 2" xfId="9" xr:uid="{6975520E-C169-4FAD-A977-7BCF7513B615}"/>
    <cellStyle name="백분율 2 6 2" xfId="7" xr:uid="{871B7BBA-A658-412D-A066-36A4AD66836B}"/>
    <cellStyle name="쉼표 [0]" xfId="1" builtinId="6"/>
    <cellStyle name="쉼표 [0]_사업계획-재무손익총괄(1116)" xfId="5" xr:uid="{72E11B06-3014-446A-B381-E59BEAFBAB17}"/>
    <cellStyle name="표준" xfId="0" builtinId="0"/>
    <cellStyle name="표준 2" xfId="4" xr:uid="{D187B211-9304-4582-B784-7A8F7F16FB1D}"/>
    <cellStyle name="표준_NC20E1ADF_0501월전략경영보고" xfId="6" xr:uid="{23EFD543-7FDF-46AE-9731-50531E855025}"/>
    <cellStyle name="표준_사업계획-재무손익총괄(1116)" xfId="3" xr:uid="{B34EB650-EE1E-4C50-BB9F-E132D5B9E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B434-BA7F-4675-A7D9-C6036F6C44DB}">
  <sheetPr>
    <pageSetUpPr fitToPage="1"/>
  </sheetPr>
  <dimension ref="A1:AR341"/>
  <sheetViews>
    <sheetView showGridLines="0" tabSelected="1" view="pageBreakPreview" zoomScale="70" zoomScaleNormal="65" zoomScaleSheetLayoutView="70" workbookViewId="0">
      <pane xSplit="4" ySplit="15" topLeftCell="E263" activePane="bottomRight" state="frozen"/>
      <selection pane="topRight" activeCell="E1" sqref="E1"/>
      <selection pane="bottomLeft" activeCell="A16" sqref="A16"/>
      <selection pane="bottomRight" activeCell="S338" sqref="S338"/>
    </sheetView>
  </sheetViews>
  <sheetFormatPr defaultRowHeight="16.5" outlineLevelRow="1"/>
  <cols>
    <col min="1" max="1" width="16.875" customWidth="1"/>
    <col min="2" max="2" width="18.75" customWidth="1"/>
    <col min="31" max="43" width="0" hidden="1" customWidth="1"/>
  </cols>
  <sheetData>
    <row r="1" spans="1:42" s="2" customFormat="1" ht="30" customHeight="1" thickBot="1">
      <c r="A1" s="1" t="s">
        <v>0</v>
      </c>
      <c r="D1" s="3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6" t="s">
        <v>1</v>
      </c>
      <c r="R1" s="4"/>
      <c r="S1" s="4"/>
      <c r="T1" s="4"/>
      <c r="U1" s="4"/>
      <c r="V1" s="4"/>
      <c r="W1" s="4"/>
      <c r="X1" s="5"/>
      <c r="Y1" s="5"/>
      <c r="Z1" s="5"/>
      <c r="AA1" s="5"/>
      <c r="AB1" s="5"/>
      <c r="AC1" s="5"/>
      <c r="AD1" s="6" t="s">
        <v>1</v>
      </c>
      <c r="AE1" s="7">
        <f>AD6-Q6</f>
        <v>310.76857456369908</v>
      </c>
      <c r="AF1" s="7"/>
      <c r="AG1" s="7"/>
      <c r="AH1" s="7"/>
      <c r="AI1" s="7"/>
    </row>
    <row r="2" spans="1:42" s="8" customFormat="1" ht="19.5" customHeight="1">
      <c r="A2" s="325" t="s">
        <v>2</v>
      </c>
      <c r="B2" s="326"/>
      <c r="C2" s="327"/>
      <c r="D2" s="331" t="s">
        <v>3</v>
      </c>
      <c r="E2" s="333" t="s">
        <v>4</v>
      </c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5"/>
      <c r="Q2" s="336" t="s">
        <v>5</v>
      </c>
      <c r="R2" s="338" t="s">
        <v>6</v>
      </c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40"/>
      <c r="AD2" s="341" t="s">
        <v>5</v>
      </c>
      <c r="AE2" s="346" t="s">
        <v>7</v>
      </c>
      <c r="AF2" s="348" t="s">
        <v>8</v>
      </c>
      <c r="AG2" s="348" t="s">
        <v>9</v>
      </c>
      <c r="AH2" s="350" t="s">
        <v>10</v>
      </c>
      <c r="AI2" s="320" t="s">
        <v>11</v>
      </c>
      <c r="AK2" s="9"/>
      <c r="AL2" s="10" t="s">
        <v>12</v>
      </c>
      <c r="AM2" s="9">
        <v>1434.42</v>
      </c>
      <c r="AN2" s="9"/>
      <c r="AO2" s="9"/>
      <c r="AP2" s="9"/>
    </row>
    <row r="3" spans="1:42" s="8" customFormat="1" ht="19.5" customHeight="1" thickBot="1">
      <c r="A3" s="328"/>
      <c r="B3" s="329"/>
      <c r="C3" s="330"/>
      <c r="D3" s="332"/>
      <c r="E3" s="210" t="s">
        <v>13</v>
      </c>
      <c r="F3" s="211" t="s">
        <v>14</v>
      </c>
      <c r="G3" s="211" t="s">
        <v>15</v>
      </c>
      <c r="H3" s="211" t="s">
        <v>16</v>
      </c>
      <c r="I3" s="211" t="s">
        <v>17</v>
      </c>
      <c r="J3" s="211" t="s">
        <v>18</v>
      </c>
      <c r="K3" s="211" t="s">
        <v>19</v>
      </c>
      <c r="L3" s="211" t="s">
        <v>20</v>
      </c>
      <c r="M3" s="211" t="s">
        <v>21</v>
      </c>
      <c r="N3" s="211" t="s">
        <v>22</v>
      </c>
      <c r="O3" s="211" t="s">
        <v>23</v>
      </c>
      <c r="P3" s="212" t="s">
        <v>24</v>
      </c>
      <c r="Q3" s="337"/>
      <c r="R3" s="299" t="s">
        <v>13</v>
      </c>
      <c r="S3" s="300" t="s">
        <v>14</v>
      </c>
      <c r="T3" s="300" t="s">
        <v>15</v>
      </c>
      <c r="U3" s="300" t="s">
        <v>16</v>
      </c>
      <c r="V3" s="300" t="s">
        <v>17</v>
      </c>
      <c r="W3" s="300" t="s">
        <v>18</v>
      </c>
      <c r="X3" s="300" t="s">
        <v>19</v>
      </c>
      <c r="Y3" s="300" t="s">
        <v>20</v>
      </c>
      <c r="Z3" s="300" t="s">
        <v>21</v>
      </c>
      <c r="AA3" s="300" t="s">
        <v>22</v>
      </c>
      <c r="AB3" s="300" t="s">
        <v>23</v>
      </c>
      <c r="AC3" s="301" t="s">
        <v>24</v>
      </c>
      <c r="AD3" s="342"/>
      <c r="AE3" s="347"/>
      <c r="AF3" s="349"/>
      <c r="AG3" s="349"/>
      <c r="AH3" s="351"/>
      <c r="AI3" s="321"/>
      <c r="AK3" s="11" t="s">
        <v>25</v>
      </c>
      <c r="AL3" s="9" t="s">
        <v>26</v>
      </c>
      <c r="AM3" s="9">
        <v>1455.79</v>
      </c>
      <c r="AN3" s="9"/>
      <c r="AO3" s="9"/>
      <c r="AP3" s="9"/>
    </row>
    <row r="4" spans="1:42" s="16" customFormat="1" ht="19.5" customHeight="1" thickTop="1">
      <c r="A4" s="213"/>
      <c r="B4" s="214" t="s">
        <v>27</v>
      </c>
      <c r="C4" s="215"/>
      <c r="D4" s="216">
        <v>200876</v>
      </c>
      <c r="E4" s="217"/>
      <c r="F4" s="218"/>
      <c r="G4" s="218"/>
      <c r="H4" s="218"/>
      <c r="I4" s="218"/>
      <c r="J4" s="219">
        <v>114526</v>
      </c>
      <c r="K4" s="219">
        <v>25431</v>
      </c>
      <c r="L4" s="218"/>
      <c r="M4" s="218"/>
      <c r="N4" s="218"/>
      <c r="O4" s="218"/>
      <c r="P4" s="220"/>
      <c r="Q4" s="221">
        <f>SUM(E4:P4)</f>
        <v>139957</v>
      </c>
      <c r="R4" s="227"/>
      <c r="S4" s="228"/>
      <c r="T4" s="229"/>
      <c r="U4" s="230">
        <v>1193.8</v>
      </c>
      <c r="V4" s="230"/>
      <c r="W4" s="230"/>
      <c r="X4" s="230"/>
      <c r="Y4" s="230">
        <v>25431</v>
      </c>
      <c r="Z4" s="230">
        <v>114526</v>
      </c>
      <c r="AA4" s="230"/>
      <c r="AB4" s="230"/>
      <c r="AC4" s="231"/>
      <c r="AD4" s="232">
        <f>SUM(R4:AC4)</f>
        <v>141150.79999999999</v>
      </c>
      <c r="AE4" s="12"/>
      <c r="AF4" s="13"/>
      <c r="AG4" s="13"/>
      <c r="AH4" s="14"/>
      <c r="AI4" s="15"/>
      <c r="AK4" s="9"/>
      <c r="AL4" s="9" t="s">
        <v>28</v>
      </c>
      <c r="AM4" s="9">
        <v>1445.56</v>
      </c>
      <c r="AN4" s="9"/>
      <c r="AO4" s="9"/>
      <c r="AP4" s="9"/>
    </row>
    <row r="5" spans="1:42" s="16" customFormat="1" ht="19.5" customHeight="1" thickBot="1">
      <c r="A5" s="213"/>
      <c r="B5" s="214" t="s">
        <v>29</v>
      </c>
      <c r="C5" s="215"/>
      <c r="D5" s="216">
        <v>30123</v>
      </c>
      <c r="E5" s="222"/>
      <c r="F5" s="223"/>
      <c r="G5" s="224"/>
      <c r="H5" s="223"/>
      <c r="I5" s="223"/>
      <c r="J5" s="219">
        <v>11452.6</v>
      </c>
      <c r="K5" s="219">
        <v>3814.6499999999996</v>
      </c>
      <c r="L5" s="223"/>
      <c r="M5" s="223"/>
      <c r="N5" s="223"/>
      <c r="O5" s="223"/>
      <c r="P5" s="225"/>
      <c r="Q5" s="226">
        <f>SUM(E5:P5)</f>
        <v>15267.25</v>
      </c>
      <c r="R5" s="227"/>
      <c r="S5" s="230"/>
      <c r="T5" s="229"/>
      <c r="U5" s="230">
        <v>155.69999999999999</v>
      </c>
      <c r="V5" s="230"/>
      <c r="W5" s="230"/>
      <c r="X5" s="230"/>
      <c r="Y5" s="230">
        <v>3814.65</v>
      </c>
      <c r="Z5" s="230">
        <v>11452.6</v>
      </c>
      <c r="AA5" s="230"/>
      <c r="AB5" s="230"/>
      <c r="AC5" s="233"/>
      <c r="AD5" s="234">
        <f>SUM(R5:AC5)</f>
        <v>15422.95</v>
      </c>
      <c r="AE5" s="18">
        <f>+AE4*20%</f>
        <v>0</v>
      </c>
      <c r="AF5" s="18">
        <f>+AF4*20%</f>
        <v>0</v>
      </c>
      <c r="AG5" s="18">
        <f>+AG4*20%</f>
        <v>0</v>
      </c>
      <c r="AH5" s="19">
        <f>+AH4*20%</f>
        <v>0</v>
      </c>
      <c r="AI5" s="17">
        <f>+AI4*20%</f>
        <v>0</v>
      </c>
      <c r="AK5" s="9"/>
      <c r="AL5" s="9" t="s">
        <v>30</v>
      </c>
      <c r="AM5" s="9">
        <v>1456.95</v>
      </c>
      <c r="AN5" s="9"/>
      <c r="AO5" s="9"/>
      <c r="AP5" s="9"/>
    </row>
    <row r="6" spans="1:42" s="29" customFormat="1" ht="19.5" customHeight="1">
      <c r="A6" s="322" t="s">
        <v>31</v>
      </c>
      <c r="B6" s="20" t="s">
        <v>32</v>
      </c>
      <c r="C6" s="21"/>
      <c r="D6" s="22">
        <f>+D256</f>
        <v>52682.348059156102</v>
      </c>
      <c r="E6" s="309">
        <f>+E256</f>
        <v>1297</v>
      </c>
      <c r="F6" s="270">
        <f t="shared" ref="F6:P6" si="0">+F256</f>
        <v>2868</v>
      </c>
      <c r="G6" s="270">
        <f t="shared" si="0"/>
        <v>4967</v>
      </c>
      <c r="H6" s="270">
        <f t="shared" si="0"/>
        <v>5709</v>
      </c>
      <c r="I6" s="270">
        <f t="shared" si="0"/>
        <v>8700</v>
      </c>
      <c r="J6" s="270">
        <f t="shared" si="0"/>
        <v>11705</v>
      </c>
      <c r="K6" s="270">
        <f t="shared" si="0"/>
        <v>12072</v>
      </c>
      <c r="L6" s="270">
        <f t="shared" si="0"/>
        <v>7734.6768292085835</v>
      </c>
      <c r="M6" s="270">
        <f t="shared" si="0"/>
        <v>6347.9695208356607</v>
      </c>
      <c r="N6" s="270">
        <f t="shared" si="0"/>
        <v>9009.973380102605</v>
      </c>
      <c r="O6" s="270">
        <f t="shared" si="0"/>
        <v>10737.915921224052</v>
      </c>
      <c r="P6" s="310">
        <f t="shared" si="0"/>
        <v>18888.601786775049</v>
      </c>
      <c r="Q6" s="25">
        <f>SUM(E6:P6)</f>
        <v>100037.13743814595</v>
      </c>
      <c r="R6" s="303">
        <f>+R256</f>
        <v>2360.3286658715811</v>
      </c>
      <c r="S6" s="314">
        <f t="shared" ref="S6:AB6" si="1">+S256</f>
        <v>5618.4783432349559</v>
      </c>
      <c r="T6" s="314">
        <f t="shared" si="1"/>
        <v>3444.5062092846852</v>
      </c>
      <c r="U6" s="314">
        <f t="shared" si="1"/>
        <v>5235.6440852839642</v>
      </c>
      <c r="V6" s="314">
        <f t="shared" si="1"/>
        <v>8024.5998983095915</v>
      </c>
      <c r="W6" s="314">
        <f t="shared" si="1"/>
        <v>7479.25</v>
      </c>
      <c r="X6" s="26">
        <f t="shared" si="1"/>
        <v>9897.6745356365336</v>
      </c>
      <c r="Y6" s="26">
        <f t="shared" si="1"/>
        <v>9890.9334236288541</v>
      </c>
      <c r="Z6" s="26">
        <f t="shared" si="1"/>
        <v>8517.3823494685694</v>
      </c>
      <c r="AA6" s="26">
        <f t="shared" si="1"/>
        <v>11446.503719001279</v>
      </c>
      <c r="AB6" s="26">
        <f t="shared" si="1"/>
        <v>13337.531804901271</v>
      </c>
      <c r="AC6" s="26">
        <f>+AC256</f>
        <v>15095.072978088356</v>
      </c>
      <c r="AD6" s="25">
        <f>SUM(R6:AC6)</f>
        <v>100347.90601270965</v>
      </c>
      <c r="AE6" s="27">
        <f t="shared" ref="AE6:AI6" si="2">+AE256</f>
        <v>168156.09142875194</v>
      </c>
      <c r="AF6" s="27">
        <f t="shared" si="2"/>
        <v>429402.92220972711</v>
      </c>
      <c r="AG6" s="27">
        <f t="shared" si="2"/>
        <v>607195.04365869681</v>
      </c>
      <c r="AH6" s="23">
        <f t="shared" si="2"/>
        <v>759164.07314643008</v>
      </c>
      <c r="AI6" s="28">
        <f t="shared" si="2"/>
        <v>362909.22863899946</v>
      </c>
      <c r="AK6" s="9"/>
      <c r="AL6" s="9"/>
      <c r="AM6" s="9"/>
      <c r="AN6" s="9"/>
      <c r="AO6" s="9"/>
      <c r="AP6" s="9"/>
    </row>
    <row r="7" spans="1:42" s="29" customFormat="1" ht="19.5" customHeight="1">
      <c r="A7" s="323"/>
      <c r="B7" s="30"/>
      <c r="C7" s="31"/>
      <c r="D7" s="32"/>
      <c r="E7" s="33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4"/>
      <c r="Q7" s="35"/>
      <c r="R7" s="36"/>
      <c r="S7" s="37"/>
      <c r="T7" s="37"/>
      <c r="U7" s="37"/>
      <c r="V7" s="38"/>
      <c r="W7" s="38"/>
      <c r="X7" s="38"/>
      <c r="Y7" s="38"/>
      <c r="Z7" s="38" t="s">
        <v>33</v>
      </c>
      <c r="AA7" s="38"/>
      <c r="AB7" s="38"/>
      <c r="AC7" s="38"/>
      <c r="AD7" s="39">
        <f>AD6/Q6</f>
        <v>1.003106532059215</v>
      </c>
      <c r="AE7" s="40"/>
      <c r="AF7" s="40"/>
      <c r="AG7" s="40"/>
      <c r="AH7" s="41"/>
      <c r="AI7" s="35"/>
      <c r="AK7" s="9"/>
      <c r="AL7" s="9"/>
      <c r="AM7" s="9"/>
      <c r="AN7" s="9"/>
      <c r="AO7" s="9"/>
      <c r="AP7" s="9"/>
    </row>
    <row r="8" spans="1:42" s="29" customFormat="1" ht="19.5" customHeight="1">
      <c r="A8" s="323"/>
      <c r="B8" s="42" t="s">
        <v>34</v>
      </c>
      <c r="C8" s="43"/>
      <c r="D8" s="44">
        <f>+D258</f>
        <v>42854.789707049953</v>
      </c>
      <c r="E8" s="271">
        <f>+E258</f>
        <v>1107.05</v>
      </c>
      <c r="F8" s="272">
        <f t="shared" ref="F8:P8" si="3">+F258</f>
        <v>2447.8500000000004</v>
      </c>
      <c r="G8" s="272">
        <f t="shared" si="3"/>
        <v>4227.1000000000004</v>
      </c>
      <c r="H8" s="272">
        <f t="shared" si="3"/>
        <v>4864.05</v>
      </c>
      <c r="I8" s="272">
        <f t="shared" si="3"/>
        <v>7406.45</v>
      </c>
      <c r="J8" s="272">
        <f t="shared" si="3"/>
        <v>9960.65</v>
      </c>
      <c r="K8" s="272">
        <f t="shared" si="3"/>
        <v>10271.4</v>
      </c>
      <c r="L8" s="272">
        <f t="shared" si="3"/>
        <v>6607.8591462877248</v>
      </c>
      <c r="M8" s="272">
        <f t="shared" si="3"/>
        <v>5439.1225687520946</v>
      </c>
      <c r="N8" s="272">
        <f t="shared" si="3"/>
        <v>7723.3260420923434</v>
      </c>
      <c r="O8" s="272">
        <f t="shared" si="3"/>
        <v>9201.4743291016457</v>
      </c>
      <c r="P8" s="273">
        <f t="shared" si="3"/>
        <v>16149.591608097544</v>
      </c>
      <c r="Q8" s="48">
        <f>SUM(E8:P8)</f>
        <v>85405.923694331359</v>
      </c>
      <c r="R8" s="302">
        <f>+R258</f>
        <v>1206.8388051398449</v>
      </c>
      <c r="S8" s="315">
        <f t="shared" ref="S8:AC8" si="4">+S258</f>
        <v>4308.9083675318825</v>
      </c>
      <c r="T8" s="315">
        <f t="shared" si="4"/>
        <v>2451.2488161647584</v>
      </c>
      <c r="U8" s="315">
        <f t="shared" si="4"/>
        <v>4541.4438313157343</v>
      </c>
      <c r="V8" s="315">
        <f t="shared" si="4"/>
        <v>6847.7805825641026</v>
      </c>
      <c r="W8" s="315">
        <f t="shared" si="4"/>
        <v>6389.6900000000005</v>
      </c>
      <c r="X8" s="50">
        <f t="shared" si="4"/>
        <v>8399.9588981909401</v>
      </c>
      <c r="Y8" s="50">
        <f t="shared" si="4"/>
        <v>8377.5031479931949</v>
      </c>
      <c r="Z8" s="50">
        <f t="shared" si="4"/>
        <v>7210.8056090077062</v>
      </c>
      <c r="AA8" s="50">
        <f t="shared" si="4"/>
        <v>9725.6590687391181</v>
      </c>
      <c r="AB8" s="50">
        <f t="shared" si="4"/>
        <v>11345.375299791434</v>
      </c>
      <c r="AC8" s="50">
        <f t="shared" si="4"/>
        <v>12865.842213876911</v>
      </c>
      <c r="AD8" s="48">
        <f>SUM(R8:AC8)</f>
        <v>83671.054640315633</v>
      </c>
      <c r="AE8" s="51">
        <f t="shared" ref="AE8:AI8" si="5">+AE258</f>
        <v>145390.34694850759</v>
      </c>
      <c r="AF8" s="51">
        <f t="shared" si="5"/>
        <v>334052.02839051181</v>
      </c>
      <c r="AG8" s="51">
        <f t="shared" si="5"/>
        <v>448844.93405084178</v>
      </c>
      <c r="AH8" s="45">
        <f t="shared" si="5"/>
        <v>425268.68832967774</v>
      </c>
      <c r="AI8" s="52">
        <f t="shared" si="5"/>
        <v>201127.20577509954</v>
      </c>
      <c r="AK8" s="53"/>
      <c r="AL8" s="54" t="s">
        <v>35</v>
      </c>
      <c r="AM8" s="53" t="s">
        <v>26</v>
      </c>
      <c r="AN8" s="53" t="s">
        <v>28</v>
      </c>
      <c r="AO8" s="53" t="s">
        <v>30</v>
      </c>
      <c r="AP8" s="54" t="s">
        <v>36</v>
      </c>
    </row>
    <row r="9" spans="1:42" s="29" customFormat="1" ht="19.5" customHeight="1">
      <c r="A9" s="323"/>
      <c r="B9" s="30"/>
      <c r="C9" s="31"/>
      <c r="D9" s="55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7"/>
      <c r="R9" s="5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59">
        <f>AD8/Q8</f>
        <v>0.97968678308281243</v>
      </c>
      <c r="AE9" s="60"/>
      <c r="AF9" s="55"/>
      <c r="AG9" s="55"/>
      <c r="AH9" s="61"/>
      <c r="AI9" s="57"/>
      <c r="AK9" s="54" t="s">
        <v>37</v>
      </c>
      <c r="AL9" s="53">
        <f>Q6*$AM$357/100000</f>
        <v>0</v>
      </c>
      <c r="AM9" s="53">
        <f>R6*AM3/100000</f>
        <v>34.361428684891891</v>
      </c>
      <c r="AN9" s="53">
        <f>S6*AM4/100000</f>
        <v>81.218475538467231</v>
      </c>
      <c r="AO9" s="53">
        <f>T6*AM5/100000</f>
        <v>50.184733216173221</v>
      </c>
      <c r="AP9" s="53">
        <f>SUM(AM9:AO9)</f>
        <v>165.76463743953235</v>
      </c>
    </row>
    <row r="10" spans="1:42" s="71" customFormat="1" ht="19.5" customHeight="1" thickBot="1">
      <c r="A10" s="324"/>
      <c r="B10" s="62" t="s">
        <v>38</v>
      </c>
      <c r="C10" s="63"/>
      <c r="D10" s="64">
        <f>D8/D6</f>
        <v>0.81345633377861304</v>
      </c>
      <c r="E10" s="65">
        <f>IFERROR(E8/E6,0)</f>
        <v>0.8535466461063993</v>
      </c>
      <c r="F10" s="66">
        <f>IFERROR(F8/F6,0)</f>
        <v>0.85350418410041851</v>
      </c>
      <c r="G10" s="66">
        <f t="shared" ref="G10:P10" si="6">IFERROR(G8/G6,0)</f>
        <v>0.85103684316488837</v>
      </c>
      <c r="H10" s="66">
        <f t="shared" si="6"/>
        <v>0.85199684708355228</v>
      </c>
      <c r="I10" s="66">
        <f t="shared" si="6"/>
        <v>0.85131609195402291</v>
      </c>
      <c r="J10" s="66">
        <f t="shared" si="6"/>
        <v>0.85097394275950444</v>
      </c>
      <c r="K10" s="66">
        <f t="shared" si="6"/>
        <v>0.85084493041749498</v>
      </c>
      <c r="L10" s="66">
        <f t="shared" si="6"/>
        <v>0.85431612621930897</v>
      </c>
      <c r="M10" s="66">
        <f t="shared" si="6"/>
        <v>0.8568287152135029</v>
      </c>
      <c r="N10" s="66">
        <f t="shared" si="6"/>
        <v>0.85719743180910379</v>
      </c>
      <c r="O10" s="66">
        <f t="shared" si="6"/>
        <v>0.85691435811249472</v>
      </c>
      <c r="P10" s="66">
        <f t="shared" si="6"/>
        <v>0.85499137471386388</v>
      </c>
      <c r="Q10" s="67">
        <f>Q8/Q6</f>
        <v>0.85374217896967286</v>
      </c>
      <c r="R10" s="68">
        <f t="shared" ref="R10:AI10" si="7">R8/R6</f>
        <v>0.51130116859984176</v>
      </c>
      <c r="S10" s="69">
        <f t="shared" si="7"/>
        <v>0.76691732250247291</v>
      </c>
      <c r="T10" s="69">
        <f t="shared" si="7"/>
        <v>0.71164012117539632</v>
      </c>
      <c r="U10" s="69">
        <f t="shared" si="7"/>
        <v>0.86740881491172284</v>
      </c>
      <c r="V10" s="69">
        <f t="shared" si="7"/>
        <v>0.85334853691666424</v>
      </c>
      <c r="W10" s="69">
        <f t="shared" si="7"/>
        <v>0.8543222916736305</v>
      </c>
      <c r="X10" s="69">
        <f t="shared" si="7"/>
        <v>0.84868004781799256</v>
      </c>
      <c r="Y10" s="69">
        <f t="shared" si="7"/>
        <v>0.84698812429369263</v>
      </c>
      <c r="Z10" s="69">
        <f t="shared" si="7"/>
        <v>0.84659879211100753</v>
      </c>
      <c r="AA10" s="69">
        <f t="shared" si="7"/>
        <v>0.84966198478531518</v>
      </c>
      <c r="AB10" s="69">
        <f t="shared" si="7"/>
        <v>0.85063529487684075</v>
      </c>
      <c r="AC10" s="69">
        <f t="shared" si="7"/>
        <v>0.8523206368430718</v>
      </c>
      <c r="AD10" s="67">
        <f t="shared" si="7"/>
        <v>0.83380967241825865</v>
      </c>
      <c r="AE10" s="70">
        <f t="shared" si="7"/>
        <v>0.86461540413544735</v>
      </c>
      <c r="AF10" s="64">
        <f t="shared" si="7"/>
        <v>0.77794540072402107</v>
      </c>
      <c r="AG10" s="64">
        <f t="shared" si="7"/>
        <v>0.73921047073489732</v>
      </c>
      <c r="AH10" s="68">
        <f t="shared" si="7"/>
        <v>0.56018020790566381</v>
      </c>
      <c r="AI10" s="67">
        <f t="shared" si="7"/>
        <v>0.55420802201524877</v>
      </c>
      <c r="AK10" s="54" t="s">
        <v>39</v>
      </c>
      <c r="AL10" s="53">
        <f>Q8*$AM$357/100000</f>
        <v>0</v>
      </c>
      <c r="AM10" s="53">
        <f>R8*AM3/100000</f>
        <v>17.569038641345347</v>
      </c>
      <c r="AN10" s="53">
        <f>S8*AM4/100000</f>
        <v>62.287855797693879</v>
      </c>
      <c r="AO10" s="53">
        <f>T8*AM5/100000</f>
        <v>35.713469627112445</v>
      </c>
      <c r="AP10" s="53">
        <f t="shared" ref="AP10:AP15" si="8">SUM(AM10:AO10)</f>
        <v>115.57036406615167</v>
      </c>
    </row>
    <row r="11" spans="1:42" s="29" customFormat="1" ht="19.5" hidden="1" customHeight="1">
      <c r="A11" s="352" t="s">
        <v>40</v>
      </c>
      <c r="B11" s="20" t="s">
        <v>32</v>
      </c>
      <c r="C11" s="21"/>
      <c r="D11" s="72">
        <f t="shared" ref="D11:AI11" si="9">+D6-D251</f>
        <v>48529.996259446401</v>
      </c>
      <c r="E11" s="73">
        <f t="shared" si="9"/>
        <v>1223</v>
      </c>
      <c r="F11" s="74">
        <f t="shared" si="9"/>
        <v>2555</v>
      </c>
      <c r="G11" s="74">
        <f t="shared" si="9"/>
        <v>4874</v>
      </c>
      <c r="H11" s="74">
        <f t="shared" si="9"/>
        <v>5269</v>
      </c>
      <c r="I11" s="74">
        <f t="shared" si="9"/>
        <v>8213</v>
      </c>
      <c r="J11" s="74">
        <f t="shared" si="9"/>
        <v>11245</v>
      </c>
      <c r="K11" s="74">
        <f t="shared" si="9"/>
        <v>11660</v>
      </c>
      <c r="L11" s="74">
        <f t="shared" si="9"/>
        <v>7285.6768292085835</v>
      </c>
      <c r="M11" s="74">
        <f t="shared" si="9"/>
        <v>6003.9695208356607</v>
      </c>
      <c r="N11" s="74">
        <f t="shared" si="9"/>
        <v>8480.973380102605</v>
      </c>
      <c r="O11" s="74">
        <f t="shared" si="9"/>
        <v>10204.915921224052</v>
      </c>
      <c r="P11" s="74">
        <f t="shared" si="9"/>
        <v>17912.601786775049</v>
      </c>
      <c r="Q11" s="25">
        <f t="shared" si="9"/>
        <v>94927.137438145946</v>
      </c>
      <c r="R11" s="22">
        <f t="shared" si="9"/>
        <v>2300.9972988112186</v>
      </c>
      <c r="S11" s="26">
        <f t="shared" si="9"/>
        <v>5244.3202587581445</v>
      </c>
      <c r="T11" s="26">
        <f t="shared" si="9"/>
        <v>3140.680238944095</v>
      </c>
      <c r="U11" s="26">
        <f t="shared" si="9"/>
        <v>4863.9936837133428</v>
      </c>
      <c r="V11" s="26">
        <f t="shared" si="9"/>
        <v>7666.9000393162387</v>
      </c>
      <c r="W11" s="26">
        <f t="shared" si="9"/>
        <v>7132.42</v>
      </c>
      <c r="X11" s="26">
        <f t="shared" si="9"/>
        <v>9501.5717905489291</v>
      </c>
      <c r="Y11" s="26">
        <f t="shared" si="9"/>
        <v>9591.5898962506835</v>
      </c>
      <c r="Z11" s="26">
        <f t="shared" si="9"/>
        <v>8178.8385662961</v>
      </c>
      <c r="AA11" s="26">
        <f t="shared" si="9"/>
        <v>10938.864610551733</v>
      </c>
      <c r="AB11" s="26">
        <f t="shared" si="9"/>
        <v>12632.106429050618</v>
      </c>
      <c r="AC11" s="26">
        <f t="shared" si="9"/>
        <v>14147.286873130051</v>
      </c>
      <c r="AD11" s="25">
        <f t="shared" si="9"/>
        <v>95339.569685371156</v>
      </c>
      <c r="AE11" s="24">
        <f t="shared" si="9"/>
        <v>168156.09142875194</v>
      </c>
      <c r="AF11" s="75">
        <f t="shared" si="9"/>
        <v>429402.92220972711</v>
      </c>
      <c r="AG11" s="75">
        <f t="shared" si="9"/>
        <v>607195.04365869681</v>
      </c>
      <c r="AH11" s="23">
        <f t="shared" si="9"/>
        <v>759164.07314643008</v>
      </c>
      <c r="AI11" s="28">
        <f t="shared" si="9"/>
        <v>362909.22863899946</v>
      </c>
      <c r="AK11" s="54" t="s">
        <v>41</v>
      </c>
      <c r="AL11" s="53">
        <f>Q265*$AM$357/100000</f>
        <v>0</v>
      </c>
      <c r="AM11" s="53">
        <f>R265*AM3/100000</f>
        <v>2.0769755929999998</v>
      </c>
      <c r="AN11" s="53">
        <f>S265*AM4/100000</f>
        <v>2.2306436359999999</v>
      </c>
      <c r="AO11" s="53">
        <f>T265*AM5/100000</f>
        <v>2.1510409799999999</v>
      </c>
      <c r="AP11" s="53">
        <f t="shared" si="8"/>
        <v>6.4586602089999996</v>
      </c>
    </row>
    <row r="12" spans="1:42" s="29" customFormat="1" ht="19.5" hidden="1" customHeight="1">
      <c r="A12" s="353"/>
      <c r="B12" s="30"/>
      <c r="C12" s="31"/>
      <c r="D12" s="32">
        <v>0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35"/>
      <c r="R12" s="58"/>
      <c r="S12" s="38"/>
      <c r="T12" s="38"/>
      <c r="U12" s="76"/>
      <c r="V12" s="38"/>
      <c r="W12" s="38"/>
      <c r="X12" s="38"/>
      <c r="Y12" s="38"/>
      <c r="Z12" s="38"/>
      <c r="AA12" s="38"/>
      <c r="AB12" s="38"/>
      <c r="AC12" s="38"/>
      <c r="AD12" s="59">
        <f>AD11/Q11</f>
        <v>1.0043447243681392</v>
      </c>
      <c r="AE12" s="34"/>
      <c r="AF12" s="32"/>
      <c r="AG12" s="32"/>
      <c r="AH12" s="41"/>
      <c r="AI12" s="35"/>
      <c r="AK12" s="54" t="s">
        <v>42</v>
      </c>
      <c r="AL12" s="53"/>
      <c r="AM12" s="53"/>
      <c r="AN12" s="53"/>
      <c r="AO12" s="53"/>
      <c r="AP12" s="53">
        <f t="shared" si="8"/>
        <v>0</v>
      </c>
    </row>
    <row r="13" spans="1:42" s="29" customFormat="1" ht="19.5" hidden="1" customHeight="1">
      <c r="A13" s="353"/>
      <c r="B13" s="42" t="s">
        <v>34</v>
      </c>
      <c r="C13" s="43"/>
      <c r="D13" s="44">
        <f>+D8-D253-1</f>
        <v>39205.768670075922</v>
      </c>
      <c r="E13" s="77">
        <f t="shared" ref="E13:AI13" si="10">+E8-E253</f>
        <v>1043.05</v>
      </c>
      <c r="F13" s="46">
        <f t="shared" si="10"/>
        <v>2174.8500000000004</v>
      </c>
      <c r="G13" s="46">
        <f t="shared" si="10"/>
        <v>4146.1000000000004</v>
      </c>
      <c r="H13" s="46">
        <f t="shared" si="10"/>
        <v>4481.05</v>
      </c>
      <c r="I13" s="46">
        <f t="shared" si="10"/>
        <v>6982.45</v>
      </c>
      <c r="J13" s="46">
        <f t="shared" si="10"/>
        <v>9559.65</v>
      </c>
      <c r="K13" s="46">
        <f t="shared" si="10"/>
        <v>9912.4</v>
      </c>
      <c r="L13" s="46">
        <f t="shared" si="10"/>
        <v>6216.8591462877248</v>
      </c>
      <c r="M13" s="46">
        <f t="shared" si="10"/>
        <v>5139.1225687520946</v>
      </c>
      <c r="N13" s="46">
        <f t="shared" si="10"/>
        <v>7262.3260420923434</v>
      </c>
      <c r="O13" s="46">
        <f t="shared" si="10"/>
        <v>8737.4743291016457</v>
      </c>
      <c r="P13" s="46">
        <f t="shared" si="10"/>
        <v>15299.591608097544</v>
      </c>
      <c r="Q13" s="48">
        <f t="shared" si="10"/>
        <v>80954.923694331359</v>
      </c>
      <c r="R13" s="49">
        <f t="shared" si="10"/>
        <v>1155.1908501134917</v>
      </c>
      <c r="S13" s="50">
        <f t="shared" si="10"/>
        <v>3983.2037549983447</v>
      </c>
      <c r="T13" s="50">
        <f t="shared" si="10"/>
        <v>2186.7683089964357</v>
      </c>
      <c r="U13" s="50">
        <f t="shared" si="10"/>
        <v>4217.9221567453787</v>
      </c>
      <c r="V13" s="50">
        <f t="shared" si="10"/>
        <v>6536.4028553086418</v>
      </c>
      <c r="W13" s="50">
        <f t="shared" si="10"/>
        <v>6087.7800000000007</v>
      </c>
      <c r="X13" s="50">
        <f t="shared" si="10"/>
        <v>8056.1159585921805</v>
      </c>
      <c r="Y13" s="50">
        <f t="shared" si="10"/>
        <v>8116.9246074104967</v>
      </c>
      <c r="Z13" s="50">
        <f t="shared" si="10"/>
        <v>6916.1032457560714</v>
      </c>
      <c r="AA13" s="50">
        <f t="shared" si="10"/>
        <v>9283.7592248337878</v>
      </c>
      <c r="AB13" s="50">
        <f t="shared" si="10"/>
        <v>10731.302510113441</v>
      </c>
      <c r="AC13" s="50">
        <f t="shared" si="10"/>
        <v>12040.794409510707</v>
      </c>
      <c r="AD13" s="78">
        <f t="shared" si="10"/>
        <v>79312.267882378976</v>
      </c>
      <c r="AE13" s="47">
        <f t="shared" si="10"/>
        <v>145390.34694850759</v>
      </c>
      <c r="AF13" s="79">
        <f t="shared" si="10"/>
        <v>334052.02839051181</v>
      </c>
      <c r="AG13" s="79">
        <f t="shared" si="10"/>
        <v>448844.93405084178</v>
      </c>
      <c r="AH13" s="45">
        <f t="shared" si="10"/>
        <v>425268.68832967774</v>
      </c>
      <c r="AI13" s="52">
        <f t="shared" si="10"/>
        <v>201127.20577509954</v>
      </c>
      <c r="AK13" s="54" t="s">
        <v>43</v>
      </c>
      <c r="AL13" s="53">
        <f>(-Q283+Q306)*AM2/100000</f>
        <v>22.485579294552732</v>
      </c>
      <c r="AM13" s="53">
        <f>-R305*AM3/100000</f>
        <v>3.3085739329999999</v>
      </c>
      <c r="AN13" s="53">
        <f>-S305*AM4/100000</f>
        <v>4.5592962399999992</v>
      </c>
      <c r="AO13" s="53">
        <f>-T305*AM5/100000</f>
        <v>4.1518704150000003</v>
      </c>
      <c r="AP13" s="53">
        <f t="shared" si="8"/>
        <v>12.019740587999999</v>
      </c>
    </row>
    <row r="14" spans="1:42" s="29" customFormat="1" ht="19.5" hidden="1" customHeight="1">
      <c r="A14" s="353"/>
      <c r="B14" s="30"/>
      <c r="C14" s="31"/>
      <c r="D14" s="55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  <c r="R14" s="5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59">
        <f>AD13/Q13</f>
        <v>0.97970900672879757</v>
      </c>
      <c r="AE14" s="60"/>
      <c r="AF14" s="55"/>
      <c r="AG14" s="55"/>
      <c r="AH14" s="61"/>
      <c r="AI14" s="57"/>
      <c r="AK14" s="54" t="s">
        <v>44</v>
      </c>
      <c r="AL14" s="53">
        <f>(AL9-AL10-AL11+AL13)*20%</f>
        <v>4.4971158589105462</v>
      </c>
      <c r="AM14" s="53">
        <f>(AM9-AM10-AM11+AM13)*20%</f>
        <v>3.6047976767093091</v>
      </c>
      <c r="AN14" s="53">
        <f>(AN9-AN10-AN11+AN13)*20%</f>
        <v>4.2518544689546705</v>
      </c>
      <c r="AO14" s="53">
        <f>(AO9-AO10-AO11+AO13)*20%</f>
        <v>3.2944186048121553</v>
      </c>
      <c r="AP14" s="53">
        <f t="shared" si="8"/>
        <v>11.151070750476133</v>
      </c>
    </row>
    <row r="15" spans="1:42" s="71" customFormat="1" ht="19.5" hidden="1" customHeight="1">
      <c r="A15" s="354"/>
      <c r="B15" s="62" t="s">
        <v>38</v>
      </c>
      <c r="C15" s="63"/>
      <c r="D15" s="64">
        <f>D13/D11</f>
        <v>0.80786671526776577</v>
      </c>
      <c r="E15" s="65">
        <f>IFERROR(E13/E11,0)</f>
        <v>0.85286181520850368</v>
      </c>
      <c r="F15" s="66">
        <f>IFERROR(F13/F11,0)</f>
        <v>0.85121330724070465</v>
      </c>
      <c r="G15" s="66">
        <f t="shared" ref="G15:P15" si="11">IFERROR(G13/G11,0)</f>
        <v>0.85065654493229392</v>
      </c>
      <c r="H15" s="66">
        <f t="shared" si="11"/>
        <v>0.85045549440121471</v>
      </c>
      <c r="I15" s="66">
        <f t="shared" si="11"/>
        <v>0.85017046146353337</v>
      </c>
      <c r="J15" s="66">
        <f t="shared" si="11"/>
        <v>0.8501244997776789</v>
      </c>
      <c r="K15" s="66">
        <f t="shared" si="11"/>
        <v>0.8501200686106346</v>
      </c>
      <c r="L15" s="66">
        <f t="shared" si="11"/>
        <v>0.85329877951271127</v>
      </c>
      <c r="M15" s="66">
        <f t="shared" si="11"/>
        <v>0.85595414015972671</v>
      </c>
      <c r="N15" s="66">
        <f t="shared" si="11"/>
        <v>0.8563080812316477</v>
      </c>
      <c r="O15" s="66">
        <f t="shared" si="11"/>
        <v>0.85620248089742312</v>
      </c>
      <c r="P15" s="66">
        <f t="shared" si="11"/>
        <v>0.85412447561879579</v>
      </c>
      <c r="Q15" s="67">
        <f>IFERROR(Q13/Q11,0)</f>
        <v>0.85281117580398114</v>
      </c>
      <c r="R15" s="68">
        <f>IFERROR(R13/R11,0)</f>
        <v>0.50203920304917637</v>
      </c>
      <c r="S15" s="69">
        <f>IFERROR(S13/S11,0)</f>
        <v>0.7595271757757921</v>
      </c>
      <c r="T15" s="69">
        <f t="shared" ref="T15:AC15" si="12">IFERROR(T13/T11,0)</f>
        <v>0.69627219029837717</v>
      </c>
      <c r="U15" s="69">
        <f t="shared" si="12"/>
        <v>0.86717262213327329</v>
      </c>
      <c r="V15" s="69">
        <f t="shared" si="12"/>
        <v>0.85254833397978946</v>
      </c>
      <c r="W15" s="69">
        <f t="shared" si="12"/>
        <v>0.85353638736922399</v>
      </c>
      <c r="X15" s="69">
        <f t="shared" si="12"/>
        <v>0.84787192436997405</v>
      </c>
      <c r="Y15" s="69">
        <f t="shared" si="12"/>
        <v>0.84625434314944725</v>
      </c>
      <c r="Z15" s="69">
        <f t="shared" si="12"/>
        <v>0.84560945783383079</v>
      </c>
      <c r="AA15" s="69">
        <f t="shared" si="12"/>
        <v>0.84869495650202909</v>
      </c>
      <c r="AB15" s="69">
        <f t="shared" si="12"/>
        <v>0.84952597339064417</v>
      </c>
      <c r="AC15" s="69">
        <f t="shared" si="12"/>
        <v>0.85110272503060591</v>
      </c>
      <c r="AD15" s="67">
        <f>IFERROR(AD13/AD11,0)</f>
        <v>0.8318924465897668</v>
      </c>
      <c r="AE15" s="70">
        <f>AE13/AE11</f>
        <v>0.86461540413544735</v>
      </c>
      <c r="AF15" s="64">
        <f>AF13/AF11</f>
        <v>0.77794540072402107</v>
      </c>
      <c r="AG15" s="64">
        <f>AG13/AG11</f>
        <v>0.73921047073489732</v>
      </c>
      <c r="AH15" s="68">
        <f>AH13/AH11</f>
        <v>0.56018020790566381</v>
      </c>
      <c r="AI15" s="67">
        <f>AI13/AI11</f>
        <v>0.55420802201524877</v>
      </c>
      <c r="AK15" s="80"/>
      <c r="AL15" s="81">
        <f>AL9-AL10-AL11+AL13</f>
        <v>22.485579294552732</v>
      </c>
      <c r="AM15" s="80"/>
      <c r="AN15" s="80"/>
      <c r="AO15" s="80"/>
      <c r="AP15" s="53">
        <f t="shared" si="8"/>
        <v>0</v>
      </c>
    </row>
    <row r="16" spans="1:42" s="29" customFormat="1" ht="19.5" customHeight="1">
      <c r="A16" s="355" t="s">
        <v>156</v>
      </c>
      <c r="B16" s="20" t="s">
        <v>32</v>
      </c>
      <c r="C16" s="21"/>
      <c r="D16" s="22">
        <v>26131.337567367322</v>
      </c>
      <c r="E16" s="73">
        <v>277</v>
      </c>
      <c r="F16" s="74">
        <v>2282</v>
      </c>
      <c r="G16" s="46">
        <v>3333</v>
      </c>
      <c r="H16" s="46">
        <v>4124</v>
      </c>
      <c r="I16" s="46">
        <v>4830</v>
      </c>
      <c r="J16" s="46">
        <v>6568</v>
      </c>
      <c r="K16" s="74">
        <v>7610</v>
      </c>
      <c r="L16" s="74">
        <v>4150</v>
      </c>
      <c r="M16" s="74">
        <v>2495</v>
      </c>
      <c r="N16" s="74">
        <v>2932</v>
      </c>
      <c r="O16" s="74">
        <v>3476</v>
      </c>
      <c r="P16" s="74">
        <v>5637</v>
      </c>
      <c r="Q16" s="25">
        <f>SUM(E16:P16)</f>
        <v>47714</v>
      </c>
      <c r="R16" s="303">
        <v>154.61372327165006</v>
      </c>
      <c r="S16" s="314">
        <v>3015.5887750862398</v>
      </c>
      <c r="T16" s="314">
        <v>1553.2474724266101</v>
      </c>
      <c r="U16" s="314">
        <v>3143.2012540308815</v>
      </c>
      <c r="V16" s="315">
        <v>4681.1903158594496</v>
      </c>
      <c r="W16" s="315">
        <v>3012.86</v>
      </c>
      <c r="X16" s="26">
        <f>5773.3544581358+112</f>
        <v>5885.3544581358001</v>
      </c>
      <c r="Y16" s="26">
        <v>5308.9348008612942</v>
      </c>
      <c r="Z16" s="26">
        <v>5303.178531870899</v>
      </c>
      <c r="AA16" s="26">
        <v>5303.178531870899</v>
      </c>
      <c r="AB16" s="26">
        <v>6295.4768737897593</v>
      </c>
      <c r="AC16" s="26">
        <v>5010.8736383199357</v>
      </c>
      <c r="AD16" s="25">
        <f>SUM(R16:AC16)</f>
        <v>48667.698375523425</v>
      </c>
      <c r="AE16" s="27">
        <v>70400</v>
      </c>
      <c r="AF16" s="75">
        <v>32536</v>
      </c>
      <c r="AG16" s="75"/>
      <c r="AH16" s="23"/>
      <c r="AI16" s="28"/>
    </row>
    <row r="17" spans="1:41" s="29" customFormat="1" ht="19.5" customHeight="1">
      <c r="A17" s="356"/>
      <c r="B17" s="30"/>
      <c r="C17" s="31"/>
      <c r="D17" s="82"/>
      <c r="E17" s="83"/>
      <c r="F17" s="84"/>
      <c r="G17" s="84"/>
      <c r="H17" s="84"/>
      <c r="I17" s="84"/>
      <c r="J17" s="84"/>
      <c r="K17" s="84"/>
      <c r="L17" s="85"/>
      <c r="M17" s="84"/>
      <c r="N17" s="84"/>
      <c r="O17" s="84"/>
      <c r="P17" s="84"/>
      <c r="Q17" s="35"/>
      <c r="R17" s="82"/>
      <c r="S17" s="86"/>
      <c r="T17" s="87"/>
      <c r="U17" s="76"/>
      <c r="V17" s="86"/>
      <c r="W17" s="86"/>
      <c r="X17" s="86"/>
      <c r="Y17" s="88"/>
      <c r="Z17" s="86"/>
      <c r="AA17" s="86"/>
      <c r="AB17" s="86"/>
      <c r="AC17" s="86"/>
      <c r="AD17" s="35"/>
      <c r="AE17" s="40"/>
      <c r="AF17" s="32"/>
      <c r="AG17" s="32"/>
      <c r="AH17" s="41"/>
      <c r="AI17" s="35"/>
    </row>
    <row r="18" spans="1:41" s="29" customFormat="1" ht="19.5" customHeight="1">
      <c r="A18" s="356"/>
      <c r="B18" s="42" t="s">
        <v>34</v>
      </c>
      <c r="C18" s="43"/>
      <c r="D18" s="44">
        <v>22108.550932301365</v>
      </c>
      <c r="E18" s="77">
        <v>235.45</v>
      </c>
      <c r="F18" s="46">
        <v>1939.7</v>
      </c>
      <c r="G18" s="46">
        <v>2833.0499999999997</v>
      </c>
      <c r="H18" s="46">
        <v>3505.4</v>
      </c>
      <c r="I18" s="46">
        <v>4105.5</v>
      </c>
      <c r="J18" s="46">
        <v>5582.8</v>
      </c>
      <c r="K18" s="46">
        <v>6468.5</v>
      </c>
      <c r="L18" s="46">
        <v>3527.5</v>
      </c>
      <c r="M18" s="46">
        <v>2120.75</v>
      </c>
      <c r="N18" s="46">
        <v>2492.1999999999998</v>
      </c>
      <c r="O18" s="46">
        <v>2954.6</v>
      </c>
      <c r="P18" s="46">
        <v>4791.45</v>
      </c>
      <c r="Q18" s="48">
        <f>SUM(E18:P18)</f>
        <v>40556.899999999994</v>
      </c>
      <c r="R18" s="302">
        <f>129.844604816681+1.1</f>
        <v>130.94460481668099</v>
      </c>
      <c r="S18" s="315">
        <v>2553.9820334331707</v>
      </c>
      <c r="T18" s="315">
        <f>1304.41722733824+11.03</f>
        <v>1315.4472273382401</v>
      </c>
      <c r="U18" s="315">
        <v>2662.2913775166458</v>
      </c>
      <c r="V18" s="315">
        <v>3964.5000785185184</v>
      </c>
      <c r="W18" s="315">
        <f>2530.2+21.39</f>
        <v>2551.5899999999997</v>
      </c>
      <c r="X18" s="50">
        <f>4890.03122604102+96</f>
        <v>4986.0312260410201</v>
      </c>
      <c r="Y18" s="50">
        <v>4496.6677763295156</v>
      </c>
      <c r="Z18" s="50">
        <v>4491.7922164946513</v>
      </c>
      <c r="AA18" s="50">
        <v>4491.7922164946513</v>
      </c>
      <c r="AB18" s="50">
        <v>5332.2689120999257</v>
      </c>
      <c r="AC18" s="50">
        <v>4243.994490916979</v>
      </c>
      <c r="AD18" s="78">
        <f>SUM(R18:AC18)</f>
        <v>41221.302159999999</v>
      </c>
      <c r="AE18" s="51">
        <v>59840</v>
      </c>
      <c r="AF18" s="79">
        <v>27656</v>
      </c>
      <c r="AG18" s="79"/>
      <c r="AH18" s="45"/>
      <c r="AI18" s="52"/>
      <c r="AK18" s="29" t="s">
        <v>45</v>
      </c>
      <c r="AM18" s="29" t="s">
        <v>46</v>
      </c>
      <c r="AO18" s="29" t="s">
        <v>47</v>
      </c>
    </row>
    <row r="19" spans="1:41" s="29" customFormat="1" ht="19.5" customHeight="1">
      <c r="A19" s="356"/>
      <c r="B19" s="30"/>
      <c r="C19" s="31"/>
      <c r="D19" s="61"/>
      <c r="E19" s="89"/>
      <c r="F19" s="90"/>
      <c r="G19" s="90"/>
      <c r="H19" s="90"/>
      <c r="I19" s="90"/>
      <c r="J19" s="90"/>
      <c r="K19" s="90"/>
      <c r="L19" s="91"/>
      <c r="M19" s="90"/>
      <c r="N19" s="90"/>
      <c r="O19" s="90"/>
      <c r="P19" s="90"/>
      <c r="Q19" s="57"/>
      <c r="R19" s="61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57"/>
      <c r="AE19" s="60"/>
      <c r="AF19" s="55"/>
      <c r="AG19" s="55"/>
      <c r="AH19" s="61"/>
      <c r="AI19" s="57"/>
    </row>
    <row r="20" spans="1:41" s="71" customFormat="1" ht="19.5" customHeight="1" thickBot="1">
      <c r="A20" s="357"/>
      <c r="B20" s="62" t="s">
        <v>38</v>
      </c>
      <c r="C20" s="93" t="s">
        <v>48</v>
      </c>
      <c r="D20" s="68">
        <v>0.84605508138666452</v>
      </c>
      <c r="E20" s="65">
        <f>IFERROR(E18/E16,0)</f>
        <v>0.85</v>
      </c>
      <c r="F20" s="66">
        <f>IFERROR(F18/F16,0)</f>
        <v>0.85</v>
      </c>
      <c r="G20" s="66">
        <f t="shared" ref="G20:P20" si="13">IFERROR(G18/G16,0)</f>
        <v>0.84999999999999987</v>
      </c>
      <c r="H20" s="66">
        <f t="shared" si="13"/>
        <v>0.85</v>
      </c>
      <c r="I20" s="66">
        <f t="shared" si="13"/>
        <v>0.85</v>
      </c>
      <c r="J20" s="66">
        <f t="shared" si="13"/>
        <v>0.85</v>
      </c>
      <c r="K20" s="66">
        <f t="shared" si="13"/>
        <v>0.85</v>
      </c>
      <c r="L20" s="66">
        <f t="shared" si="13"/>
        <v>0.85</v>
      </c>
      <c r="M20" s="66">
        <f t="shared" si="13"/>
        <v>0.85</v>
      </c>
      <c r="N20" s="66">
        <f t="shared" si="13"/>
        <v>0.85</v>
      </c>
      <c r="O20" s="66">
        <f t="shared" si="13"/>
        <v>0.85</v>
      </c>
      <c r="P20" s="66">
        <f t="shared" si="13"/>
        <v>0.85</v>
      </c>
      <c r="Q20" s="67">
        <f>IFERROR(Q18/Q16,0)</f>
        <v>0.84999999999999987</v>
      </c>
      <c r="R20" s="68">
        <f>IFERROR(R18/R16,0)</f>
        <v>0.8469145043911569</v>
      </c>
      <c r="S20" s="69">
        <f>IFERROR(S18/S16,0)</f>
        <v>0.84692649559293176</v>
      </c>
      <c r="T20" s="69">
        <f t="shared" ref="T20:AC20" si="14">IFERROR(T18/T16,0)</f>
        <v>0.84690125088897839</v>
      </c>
      <c r="U20" s="69">
        <f t="shared" si="14"/>
        <v>0.84699997306964969</v>
      </c>
      <c r="V20" s="69">
        <f t="shared" si="14"/>
        <v>0.84690000000366372</v>
      </c>
      <c r="W20" s="69">
        <f t="shared" si="14"/>
        <v>0.84689962361344362</v>
      </c>
      <c r="X20" s="69">
        <f t="shared" si="14"/>
        <v>0.84719302150925291</v>
      </c>
      <c r="Y20" s="69">
        <f t="shared" si="14"/>
        <v>0.84699999999999986</v>
      </c>
      <c r="Z20" s="69">
        <f t="shared" si="14"/>
        <v>0.84699999999999998</v>
      </c>
      <c r="AA20" s="69">
        <f t="shared" si="14"/>
        <v>0.84699999999999998</v>
      </c>
      <c r="AB20" s="69">
        <f t="shared" si="14"/>
        <v>0.84699999999999998</v>
      </c>
      <c r="AC20" s="69">
        <f t="shared" si="14"/>
        <v>0.8469569973710056</v>
      </c>
      <c r="AD20" s="67">
        <f>IFERROR(AD18/AD16,0)</f>
        <v>0.84699510221201535</v>
      </c>
      <c r="AE20" s="70">
        <f>AE18/AE16</f>
        <v>0.85</v>
      </c>
      <c r="AF20" s="64">
        <f>AF18/AF16</f>
        <v>0.85001229407425616</v>
      </c>
      <c r="AG20" s="64" t="e">
        <f>AG18/AG16</f>
        <v>#DIV/0!</v>
      </c>
      <c r="AH20" s="68" t="e">
        <f>AH18/AH16</f>
        <v>#DIV/0!</v>
      </c>
      <c r="AI20" s="67" t="e">
        <f>AI18/AI16</f>
        <v>#DIV/0!</v>
      </c>
    </row>
    <row r="21" spans="1:41" s="29" customFormat="1" ht="19.5" customHeight="1">
      <c r="A21" s="343" t="s">
        <v>167</v>
      </c>
      <c r="B21" s="20" t="s">
        <v>32</v>
      </c>
      <c r="C21" s="21"/>
      <c r="D21" s="22">
        <v>328.51806948441612</v>
      </c>
      <c r="E21" s="73"/>
      <c r="F21" s="74"/>
      <c r="G21" s="46"/>
      <c r="H21" s="46"/>
      <c r="I21" s="46"/>
      <c r="J21" s="46"/>
      <c r="K21" s="74"/>
      <c r="L21" s="74"/>
      <c r="M21" s="74"/>
      <c r="N21" s="74"/>
      <c r="O21" s="74"/>
      <c r="P21" s="74"/>
      <c r="Q21" s="25">
        <f>SUM(E21:P21)</f>
        <v>0</v>
      </c>
      <c r="R21" s="303"/>
      <c r="S21" s="314"/>
      <c r="T21" s="314"/>
      <c r="U21" s="314">
        <v>119.61050468530672</v>
      </c>
      <c r="V21" s="315"/>
      <c r="W21" s="315"/>
      <c r="X21" s="26"/>
      <c r="Y21" s="26"/>
      <c r="Z21" s="26"/>
      <c r="AA21" s="26"/>
      <c r="AB21" s="26"/>
      <c r="AC21" s="26"/>
      <c r="AD21" s="25">
        <f>SUM(R21:AC21)</f>
        <v>119.61050468530672</v>
      </c>
      <c r="AE21" s="27"/>
      <c r="AF21" s="75"/>
      <c r="AG21" s="75"/>
      <c r="AH21" s="23"/>
      <c r="AI21" s="28"/>
    </row>
    <row r="22" spans="1:41" s="29" customFormat="1" ht="19.5" customHeight="1">
      <c r="A22" s="344"/>
      <c r="B22" s="30"/>
      <c r="C22" s="31"/>
      <c r="D22" s="82"/>
      <c r="E22" s="83"/>
      <c r="F22" s="84"/>
      <c r="G22" s="84"/>
      <c r="H22" s="84"/>
      <c r="I22" s="84"/>
      <c r="J22" s="84"/>
      <c r="K22" s="84"/>
      <c r="L22" s="85"/>
      <c r="M22" s="84"/>
      <c r="N22" s="84"/>
      <c r="O22" s="84"/>
      <c r="P22" s="84"/>
      <c r="Q22" s="35"/>
      <c r="R22" s="82"/>
      <c r="S22" s="86"/>
      <c r="T22" s="87"/>
      <c r="U22" s="76"/>
      <c r="V22" s="86"/>
      <c r="W22" s="86"/>
      <c r="X22" s="86"/>
      <c r="Y22" s="88"/>
      <c r="Z22" s="88"/>
      <c r="AA22" s="86"/>
      <c r="AB22" s="86"/>
      <c r="AC22" s="86"/>
      <c r="AD22" s="35"/>
      <c r="AE22" s="40"/>
      <c r="AF22" s="32"/>
      <c r="AG22" s="32"/>
      <c r="AH22" s="41"/>
      <c r="AI22" s="35"/>
    </row>
    <row r="23" spans="1:41" s="29" customFormat="1" ht="19.5" customHeight="1">
      <c r="A23" s="344"/>
      <c r="B23" s="42" t="s">
        <v>34</v>
      </c>
      <c r="C23" s="43"/>
      <c r="D23" s="44">
        <v>275.87436305426252</v>
      </c>
      <c r="E23" s="77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8">
        <f>SUM(E23:P23)</f>
        <v>0</v>
      </c>
      <c r="R23" s="302"/>
      <c r="S23" s="315"/>
      <c r="T23" s="315"/>
      <c r="U23" s="315">
        <v>102.71077379134927</v>
      </c>
      <c r="V23" s="315"/>
      <c r="W23" s="315"/>
      <c r="X23" s="50"/>
      <c r="Y23" s="50"/>
      <c r="Z23" s="50"/>
      <c r="AA23" s="50"/>
      <c r="AB23" s="50"/>
      <c r="AC23" s="50"/>
      <c r="AD23" s="48">
        <f>SUM(R23:AC23)</f>
        <v>102.71077379134927</v>
      </c>
      <c r="AE23" s="51"/>
      <c r="AF23" s="79"/>
      <c r="AG23" s="79"/>
      <c r="AH23" s="45"/>
      <c r="AI23" s="52"/>
    </row>
    <row r="24" spans="1:41" s="29" customFormat="1" ht="19.5" customHeight="1">
      <c r="A24" s="344"/>
      <c r="B24" s="30"/>
      <c r="C24" s="31"/>
      <c r="D24" s="61"/>
      <c r="E24" s="89"/>
      <c r="F24" s="90"/>
      <c r="G24" s="90"/>
      <c r="H24" s="90"/>
      <c r="I24" s="90"/>
      <c r="J24" s="90"/>
      <c r="K24" s="90"/>
      <c r="L24" s="91"/>
      <c r="M24" s="90"/>
      <c r="N24" s="90"/>
      <c r="O24" s="90"/>
      <c r="P24" s="90"/>
      <c r="Q24" s="57"/>
      <c r="R24" s="61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57"/>
      <c r="AE24" s="60"/>
      <c r="AF24" s="55"/>
      <c r="AG24" s="55"/>
      <c r="AH24" s="61"/>
      <c r="AI24" s="57"/>
    </row>
    <row r="25" spans="1:41" s="71" customFormat="1" ht="19.5" customHeight="1" thickBot="1">
      <c r="A25" s="345"/>
      <c r="B25" s="62" t="s">
        <v>38</v>
      </c>
      <c r="C25" s="93" t="s">
        <v>49</v>
      </c>
      <c r="D25" s="68">
        <v>0.83975400040316239</v>
      </c>
      <c r="E25" s="65">
        <f>IFERROR(E23/E21,0)</f>
        <v>0</v>
      </c>
      <c r="F25" s="66">
        <f>IFERROR(F23/F21,0)</f>
        <v>0</v>
      </c>
      <c r="G25" s="66">
        <f t="shared" ref="G25:P25" si="15">IFERROR(G23/G21,0)</f>
        <v>0</v>
      </c>
      <c r="H25" s="66">
        <f t="shared" si="15"/>
        <v>0</v>
      </c>
      <c r="I25" s="66">
        <f t="shared" si="15"/>
        <v>0</v>
      </c>
      <c r="J25" s="66">
        <f t="shared" si="15"/>
        <v>0</v>
      </c>
      <c r="K25" s="66">
        <f t="shared" si="15"/>
        <v>0</v>
      </c>
      <c r="L25" s="66">
        <f t="shared" si="15"/>
        <v>0</v>
      </c>
      <c r="M25" s="66">
        <f t="shared" si="15"/>
        <v>0</v>
      </c>
      <c r="N25" s="66">
        <f t="shared" si="15"/>
        <v>0</v>
      </c>
      <c r="O25" s="66">
        <f t="shared" si="15"/>
        <v>0</v>
      </c>
      <c r="P25" s="66">
        <f t="shared" si="15"/>
        <v>0</v>
      </c>
      <c r="Q25" s="67">
        <f>IFERROR(Q23/Q21,0)</f>
        <v>0</v>
      </c>
      <c r="R25" s="68">
        <f>IFERROR(R23/R21,0)</f>
        <v>0</v>
      </c>
      <c r="S25" s="69">
        <f>IFERROR(S23/S21,0)</f>
        <v>0</v>
      </c>
      <c r="T25" s="69">
        <f t="shared" ref="T25:AC25" si="16">IFERROR(T23/T21,0)</f>
        <v>0</v>
      </c>
      <c r="U25" s="69">
        <f t="shared" si="16"/>
        <v>0.8587103119544528</v>
      </c>
      <c r="V25" s="69">
        <f t="shared" si="16"/>
        <v>0</v>
      </c>
      <c r="W25" s="69">
        <f t="shared" si="16"/>
        <v>0</v>
      </c>
      <c r="X25" s="69">
        <f t="shared" si="16"/>
        <v>0</v>
      </c>
      <c r="Y25" s="69">
        <f t="shared" si="16"/>
        <v>0</v>
      </c>
      <c r="Z25" s="69">
        <f t="shared" si="16"/>
        <v>0</v>
      </c>
      <c r="AA25" s="69">
        <f t="shared" si="16"/>
        <v>0</v>
      </c>
      <c r="AB25" s="69">
        <f t="shared" si="16"/>
        <v>0</v>
      </c>
      <c r="AC25" s="69">
        <f t="shared" si="16"/>
        <v>0</v>
      </c>
      <c r="AD25" s="67">
        <f>IFERROR(AD23/AD21,0)</f>
        <v>0.8587103119544528</v>
      </c>
      <c r="AE25" s="70" t="e">
        <f>AE23/AE21</f>
        <v>#DIV/0!</v>
      </c>
      <c r="AF25" s="64" t="e">
        <f>AF23/AF21</f>
        <v>#DIV/0!</v>
      </c>
      <c r="AG25" s="64" t="e">
        <f>AG23/AG21</f>
        <v>#DIV/0!</v>
      </c>
      <c r="AH25" s="68" t="e">
        <f>AH23/AH21</f>
        <v>#DIV/0!</v>
      </c>
      <c r="AI25" s="67" t="e">
        <f>AI23/AI21</f>
        <v>#DIV/0!</v>
      </c>
    </row>
    <row r="26" spans="1:41" s="29" customFormat="1" ht="19.5" customHeight="1">
      <c r="A26" s="343" t="s">
        <v>173</v>
      </c>
      <c r="B26" s="20" t="s">
        <v>32</v>
      </c>
      <c r="C26" s="21"/>
      <c r="D26" s="22"/>
      <c r="E26" s="73"/>
      <c r="F26" s="74"/>
      <c r="G26" s="46"/>
      <c r="H26" s="46"/>
      <c r="I26" s="46"/>
      <c r="J26" s="46"/>
      <c r="K26" s="74"/>
      <c r="L26" s="74"/>
      <c r="M26" s="74"/>
      <c r="N26" s="74"/>
      <c r="O26" s="74"/>
      <c r="P26" s="74"/>
      <c r="Q26" s="25">
        <f>SUM(E26:P26)</f>
        <v>0</v>
      </c>
      <c r="R26" s="303"/>
      <c r="S26" s="314"/>
      <c r="T26" s="314"/>
      <c r="U26" s="314"/>
      <c r="V26" s="315">
        <v>55.427627958214622</v>
      </c>
      <c r="W26" s="315">
        <v>67.069999999999993</v>
      </c>
      <c r="X26" s="26">
        <f>653-67</f>
        <v>586</v>
      </c>
      <c r="Y26" s="26">
        <v>236</v>
      </c>
      <c r="Z26" s="26">
        <v>236</v>
      </c>
      <c r="AA26" s="26"/>
      <c r="AB26" s="26"/>
      <c r="AC26" s="26"/>
      <c r="AD26" s="25">
        <f>SUM(R26:AC26)</f>
        <v>1180.4976279582147</v>
      </c>
      <c r="AE26" s="27"/>
      <c r="AF26" s="75"/>
      <c r="AG26" s="75"/>
      <c r="AH26" s="23"/>
      <c r="AI26" s="28"/>
    </row>
    <row r="27" spans="1:41" s="29" customFormat="1" ht="19.5" customHeight="1">
      <c r="A27" s="344"/>
      <c r="B27" s="30"/>
      <c r="C27" s="31"/>
      <c r="D27" s="82"/>
      <c r="E27" s="83"/>
      <c r="F27" s="84"/>
      <c r="G27" s="84"/>
      <c r="H27" s="84"/>
      <c r="I27" s="84"/>
      <c r="J27" s="84"/>
      <c r="K27" s="84"/>
      <c r="L27" s="85"/>
      <c r="M27" s="84"/>
      <c r="N27" s="84"/>
      <c r="O27" s="84"/>
      <c r="P27" s="84"/>
      <c r="Q27" s="35"/>
      <c r="R27" s="82"/>
      <c r="S27" s="86"/>
      <c r="T27" s="87"/>
      <c r="U27" s="76"/>
      <c r="V27" s="86"/>
      <c r="W27" s="86"/>
      <c r="X27" s="86"/>
      <c r="Y27" s="88"/>
      <c r="Z27" s="88"/>
      <c r="AA27" s="86"/>
      <c r="AB27" s="86"/>
      <c r="AC27" s="86"/>
      <c r="AD27" s="35"/>
      <c r="AE27" s="40"/>
      <c r="AF27" s="32"/>
      <c r="AG27" s="32"/>
      <c r="AH27" s="41"/>
      <c r="AI27" s="35"/>
    </row>
    <row r="28" spans="1:41" s="29" customFormat="1" ht="19.5" customHeight="1">
      <c r="A28" s="344"/>
      <c r="B28" s="42" t="s">
        <v>34</v>
      </c>
      <c r="C28" s="43"/>
      <c r="D28" s="44"/>
      <c r="E28" s="77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8">
        <f>SUM(E28:P28)</f>
        <v>0</v>
      </c>
      <c r="R28" s="302"/>
      <c r="S28" s="315"/>
      <c r="T28" s="315"/>
      <c r="U28" s="315"/>
      <c r="V28" s="315">
        <v>45.905161481481478</v>
      </c>
      <c r="W28" s="315">
        <v>55.55</v>
      </c>
      <c r="X28" s="50">
        <f>555.05-56</f>
        <v>499.04999999999995</v>
      </c>
      <c r="Y28" s="50">
        <v>200.6</v>
      </c>
      <c r="Z28" s="50">
        <v>200.6</v>
      </c>
      <c r="AA28" s="50"/>
      <c r="AB28" s="50"/>
      <c r="AC28" s="50"/>
      <c r="AD28" s="48">
        <f>SUM(R28:AC28)</f>
        <v>1001.7051614814815</v>
      </c>
      <c r="AE28" s="51"/>
      <c r="AF28" s="79"/>
      <c r="AG28" s="79"/>
      <c r="AH28" s="45"/>
      <c r="AI28" s="52"/>
    </row>
    <row r="29" spans="1:41" s="29" customFormat="1" ht="19.5" customHeight="1">
      <c r="A29" s="344"/>
      <c r="B29" s="30"/>
      <c r="C29" s="31"/>
      <c r="D29" s="61"/>
      <c r="E29" s="89"/>
      <c r="F29" s="90"/>
      <c r="G29" s="90"/>
      <c r="H29" s="90"/>
      <c r="I29" s="90"/>
      <c r="J29" s="90"/>
      <c r="K29" s="90"/>
      <c r="L29" s="91"/>
      <c r="M29" s="90"/>
      <c r="N29" s="90"/>
      <c r="O29" s="90"/>
      <c r="P29" s="90"/>
      <c r="Q29" s="57"/>
      <c r="R29" s="61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57"/>
      <c r="AE29" s="60"/>
      <c r="AF29" s="55"/>
      <c r="AG29" s="55"/>
      <c r="AH29" s="61"/>
      <c r="AI29" s="57"/>
    </row>
    <row r="30" spans="1:41" s="71" customFormat="1" ht="19.5" customHeight="1" thickBot="1">
      <c r="A30" s="345"/>
      <c r="B30" s="62" t="s">
        <v>38</v>
      </c>
      <c r="C30" s="93" t="s">
        <v>49</v>
      </c>
      <c r="D30" s="68"/>
      <c r="E30" s="65">
        <f>IFERROR(E28/E26,0)</f>
        <v>0</v>
      </c>
      <c r="F30" s="66">
        <f>IFERROR(F28/F26,0)</f>
        <v>0</v>
      </c>
      <c r="G30" s="66">
        <f t="shared" ref="G30:P30" si="17">IFERROR(G28/G26,0)</f>
        <v>0</v>
      </c>
      <c r="H30" s="66">
        <f t="shared" si="17"/>
        <v>0</v>
      </c>
      <c r="I30" s="66">
        <f t="shared" si="17"/>
        <v>0</v>
      </c>
      <c r="J30" s="66">
        <f t="shared" si="17"/>
        <v>0</v>
      </c>
      <c r="K30" s="66">
        <f t="shared" si="17"/>
        <v>0</v>
      </c>
      <c r="L30" s="66">
        <f t="shared" si="17"/>
        <v>0</v>
      </c>
      <c r="M30" s="66">
        <f t="shared" si="17"/>
        <v>0</v>
      </c>
      <c r="N30" s="66">
        <f t="shared" si="17"/>
        <v>0</v>
      </c>
      <c r="O30" s="66">
        <f t="shared" si="17"/>
        <v>0</v>
      </c>
      <c r="P30" s="66">
        <f t="shared" si="17"/>
        <v>0</v>
      </c>
      <c r="Q30" s="67">
        <f>IFERROR(Q28/Q26,0)</f>
        <v>0</v>
      </c>
      <c r="R30" s="68">
        <f>IFERROR(R28/R26,0)</f>
        <v>0</v>
      </c>
      <c r="S30" s="69">
        <f>IFERROR(S28/S26,0)</f>
        <v>0</v>
      </c>
      <c r="T30" s="69">
        <f t="shared" ref="T30:AC30" si="18">IFERROR(T28/T26,0)</f>
        <v>0</v>
      </c>
      <c r="U30" s="69">
        <f t="shared" si="18"/>
        <v>0</v>
      </c>
      <c r="V30" s="69">
        <f t="shared" si="18"/>
        <v>0.82820000011705586</v>
      </c>
      <c r="W30" s="69">
        <f t="shared" si="18"/>
        <v>0.8282391531236023</v>
      </c>
      <c r="X30" s="69">
        <f t="shared" si="18"/>
        <v>0.85162116040955627</v>
      </c>
      <c r="Y30" s="69">
        <f t="shared" si="18"/>
        <v>0.85</v>
      </c>
      <c r="Z30" s="69">
        <f t="shared" si="18"/>
        <v>0.85</v>
      </c>
      <c r="AA30" s="69">
        <f t="shared" si="18"/>
        <v>0</v>
      </c>
      <c r="AB30" s="69">
        <f t="shared" si="18"/>
        <v>0</v>
      </c>
      <c r="AC30" s="69">
        <f t="shared" si="18"/>
        <v>0</v>
      </c>
      <c r="AD30" s="67">
        <f>IFERROR(AD28/AD26,0)</f>
        <v>0.84854483207562881</v>
      </c>
      <c r="AE30" s="70" t="e">
        <f>AE28/AE26</f>
        <v>#DIV/0!</v>
      </c>
      <c r="AF30" s="64" t="e">
        <f>AF28/AF26</f>
        <v>#DIV/0!</v>
      </c>
      <c r="AG30" s="64" t="e">
        <f>AG28/AG26</f>
        <v>#DIV/0!</v>
      </c>
      <c r="AH30" s="68" t="e">
        <f>AH28/AH26</f>
        <v>#DIV/0!</v>
      </c>
      <c r="AI30" s="67" t="e">
        <f>AI28/AI26</f>
        <v>#DIV/0!</v>
      </c>
    </row>
    <row r="31" spans="1:41" s="29" customFormat="1" ht="19.5" customHeight="1">
      <c r="A31" s="343" t="s">
        <v>157</v>
      </c>
      <c r="B31" s="20" t="s">
        <v>32</v>
      </c>
      <c r="C31" s="21"/>
      <c r="D31" s="22">
        <v>5276.6399999999994</v>
      </c>
      <c r="E31" s="73">
        <v>236</v>
      </c>
      <c r="F31" s="74">
        <v>119</v>
      </c>
      <c r="G31" s="46">
        <v>453</v>
      </c>
      <c r="H31" s="46">
        <v>689</v>
      </c>
      <c r="I31" s="46">
        <v>2147</v>
      </c>
      <c r="J31" s="46">
        <v>3441</v>
      </c>
      <c r="K31" s="74">
        <v>2814</v>
      </c>
      <c r="L31" s="74">
        <v>1467</v>
      </c>
      <c r="M31" s="74">
        <v>2172</v>
      </c>
      <c r="N31" s="74">
        <v>1730</v>
      </c>
      <c r="O31" s="74">
        <v>3126</v>
      </c>
      <c r="P31" s="74">
        <v>7965</v>
      </c>
      <c r="Q31" s="25">
        <f>SUM(E31:P31)</f>
        <v>26359</v>
      </c>
      <c r="R31" s="303">
        <v>79.739765706151658</v>
      </c>
      <c r="S31" s="314">
        <v>1283.8682004599464</v>
      </c>
      <c r="T31" s="314">
        <v>590.27739698854589</v>
      </c>
      <c r="U31" s="314">
        <v>1461.3443519481011</v>
      </c>
      <c r="V31" s="315">
        <v>2899.3086840645774</v>
      </c>
      <c r="W31" s="315">
        <v>4075.67</v>
      </c>
      <c r="X31" s="26">
        <f>3141.21733241313-150</f>
        <v>2991.21733241313</v>
      </c>
      <c r="Y31" s="26">
        <v>3816.6550953893902</v>
      </c>
      <c r="Z31" s="26">
        <v>2029.6600344251997</v>
      </c>
      <c r="AA31" s="26">
        <v>2056.0092494722498</v>
      </c>
      <c r="AB31" s="26">
        <v>2029.6600344251997</v>
      </c>
      <c r="AC31" s="26">
        <v>3572.4398547075107</v>
      </c>
      <c r="AD31" s="25">
        <f>SUM(R31:AC31)</f>
        <v>26885.850000000002</v>
      </c>
      <c r="AE31" s="27">
        <v>39930.917847815988</v>
      </c>
      <c r="AF31" s="75">
        <v>67319.711364209186</v>
      </c>
      <c r="AG31" s="75">
        <v>24934.764382103516</v>
      </c>
      <c r="AH31" s="23"/>
      <c r="AI31" s="28"/>
    </row>
    <row r="32" spans="1:41" s="29" customFormat="1" ht="19.5" customHeight="1">
      <c r="A32" s="344"/>
      <c r="B32" s="30"/>
      <c r="C32" s="31"/>
      <c r="D32" s="82"/>
      <c r="E32" s="83"/>
      <c r="F32" s="84"/>
      <c r="G32" s="84"/>
      <c r="H32" s="84"/>
      <c r="I32" s="84"/>
      <c r="J32" s="84"/>
      <c r="K32" s="84"/>
      <c r="L32" s="85"/>
      <c r="M32" s="84"/>
      <c r="N32" s="84"/>
      <c r="O32" s="84"/>
      <c r="P32" s="84"/>
      <c r="Q32" s="35"/>
      <c r="R32" s="82"/>
      <c r="S32" s="86"/>
      <c r="T32" s="87"/>
      <c r="U32" s="76"/>
      <c r="V32" s="86"/>
      <c r="W32" s="86"/>
      <c r="X32" s="86"/>
      <c r="Y32" s="88"/>
      <c r="Z32" s="86"/>
      <c r="AA32" s="86"/>
      <c r="AB32" s="86"/>
      <c r="AC32" s="86"/>
      <c r="AD32" s="35"/>
      <c r="AE32" s="40"/>
      <c r="AF32" s="32"/>
      <c r="AG32" s="32"/>
      <c r="AH32" s="41"/>
      <c r="AI32" s="35"/>
    </row>
    <row r="33" spans="1:35" s="29" customFormat="1" ht="19.5" customHeight="1">
      <c r="A33" s="344"/>
      <c r="B33" s="42" t="s">
        <v>34</v>
      </c>
      <c r="C33" s="43"/>
      <c r="D33" s="44">
        <v>4485.1499999999996</v>
      </c>
      <c r="E33" s="77">
        <v>200.6</v>
      </c>
      <c r="F33" s="46">
        <v>101.14999999999999</v>
      </c>
      <c r="G33" s="46">
        <v>385.05</v>
      </c>
      <c r="H33" s="46">
        <v>585.65</v>
      </c>
      <c r="I33" s="46">
        <v>1824.95</v>
      </c>
      <c r="J33" s="46">
        <v>2924.85</v>
      </c>
      <c r="K33" s="46">
        <v>2391.9</v>
      </c>
      <c r="L33" s="46">
        <v>1246.95</v>
      </c>
      <c r="M33" s="46">
        <v>1846.2</v>
      </c>
      <c r="N33" s="46">
        <v>1470.5</v>
      </c>
      <c r="O33" s="46">
        <v>2657.1</v>
      </c>
      <c r="P33" s="46">
        <v>6770.25</v>
      </c>
      <c r="Q33" s="48">
        <f>SUM(E33:P33)</f>
        <v>22405.15</v>
      </c>
      <c r="R33" s="302">
        <f>66.8538195668065+0.92</f>
        <v>67.773819566806495</v>
      </c>
      <c r="S33" s="315">
        <v>1092.2685285026985</v>
      </c>
      <c r="T33" s="315">
        <f>494.888569635136+6.85</f>
        <v>501.738569635136</v>
      </c>
      <c r="U33" s="315">
        <v>1242.3813897084112</v>
      </c>
      <c r="V33" s="315">
        <v>2464.4123814624882</v>
      </c>
      <c r="W33" s="315">
        <f>3417.05+47.28</f>
        <v>3464.3300000000004</v>
      </c>
      <c r="X33" s="50">
        <f>2670.03473255116-129</f>
        <v>2541.0347325511598</v>
      </c>
      <c r="Y33" s="50">
        <v>3244.1568310809816</v>
      </c>
      <c r="Z33" s="50">
        <v>1725.2110292614198</v>
      </c>
      <c r="AA33" s="50">
        <v>1747.6078620514122</v>
      </c>
      <c r="AB33" s="50">
        <v>1725.2110292614198</v>
      </c>
      <c r="AC33" s="50">
        <v>3036.5738765013839</v>
      </c>
      <c r="AD33" s="48">
        <f>SUM(R33:AC33)</f>
        <v>22852.700049583316</v>
      </c>
      <c r="AE33" s="51">
        <v>33941.280170643586</v>
      </c>
      <c r="AF33" s="79">
        <v>57221.754659577804</v>
      </c>
      <c r="AG33" s="79">
        <v>21194.549724787987</v>
      </c>
      <c r="AH33" s="45"/>
      <c r="AI33" s="52"/>
    </row>
    <row r="34" spans="1:35" s="29" customFormat="1" ht="19.5" customHeight="1">
      <c r="A34" s="344"/>
      <c r="B34" s="30"/>
      <c r="C34" s="31"/>
      <c r="D34" s="61"/>
      <c r="E34" s="89"/>
      <c r="F34" s="90"/>
      <c r="G34" s="90"/>
      <c r="H34" s="90"/>
      <c r="I34" s="90"/>
      <c r="J34" s="90"/>
      <c r="K34" s="90"/>
      <c r="L34" s="91"/>
      <c r="M34" s="90"/>
      <c r="N34" s="90"/>
      <c r="O34" s="90"/>
      <c r="P34" s="90"/>
      <c r="Q34" s="57"/>
      <c r="R34" s="61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57"/>
      <c r="AE34" s="60"/>
      <c r="AF34" s="55"/>
      <c r="AG34" s="55"/>
      <c r="AH34" s="61"/>
      <c r="AI34" s="57"/>
    </row>
    <row r="35" spans="1:35" s="71" customFormat="1" ht="19.5" customHeight="1" thickBot="1">
      <c r="A35" s="345"/>
      <c r="B35" s="62" t="s">
        <v>38</v>
      </c>
      <c r="C35" s="93" t="s">
        <v>50</v>
      </c>
      <c r="D35" s="68">
        <v>0.85000113708723735</v>
      </c>
      <c r="E35" s="65">
        <f>IFERROR(E33/E31,0)</f>
        <v>0.85</v>
      </c>
      <c r="F35" s="66">
        <f>IFERROR(F33/F31,0)</f>
        <v>0.85</v>
      </c>
      <c r="G35" s="66">
        <f t="shared" ref="G35:P35" si="19">IFERROR(G33/G31,0)</f>
        <v>0.85</v>
      </c>
      <c r="H35" s="66">
        <f t="shared" si="19"/>
        <v>0.85</v>
      </c>
      <c r="I35" s="66">
        <f t="shared" si="19"/>
        <v>0.85</v>
      </c>
      <c r="J35" s="66">
        <f t="shared" si="19"/>
        <v>0.85</v>
      </c>
      <c r="K35" s="66">
        <f t="shared" si="19"/>
        <v>0.85</v>
      </c>
      <c r="L35" s="66">
        <f t="shared" si="19"/>
        <v>0.85</v>
      </c>
      <c r="M35" s="66">
        <f t="shared" si="19"/>
        <v>0.85</v>
      </c>
      <c r="N35" s="66">
        <f t="shared" si="19"/>
        <v>0.85</v>
      </c>
      <c r="O35" s="66">
        <f t="shared" si="19"/>
        <v>0.85</v>
      </c>
      <c r="P35" s="66">
        <f t="shared" si="19"/>
        <v>0.85</v>
      </c>
      <c r="Q35" s="67">
        <f>IFERROR(Q33/Q31,0)</f>
        <v>0.85000000000000009</v>
      </c>
      <c r="R35" s="68">
        <f t="shared" ref="R35:AC35" si="20">IFERROR(R33/R31,0)</f>
        <v>0.84993753074920275</v>
      </c>
      <c r="S35" s="69">
        <f t="shared" si="20"/>
        <v>0.85076375293927586</v>
      </c>
      <c r="T35" s="69">
        <f t="shared" si="20"/>
        <v>0.85000471336847083</v>
      </c>
      <c r="U35" s="69">
        <f t="shared" si="20"/>
        <v>0.8501633362815596</v>
      </c>
      <c r="V35" s="69">
        <f t="shared" si="20"/>
        <v>0.85000000000262044</v>
      </c>
      <c r="W35" s="69">
        <f t="shared" si="20"/>
        <v>0.8500025762635347</v>
      </c>
      <c r="X35" s="69">
        <f t="shared" si="20"/>
        <v>0.84949853192419467</v>
      </c>
      <c r="Y35" s="69">
        <f t="shared" si="20"/>
        <v>0.85</v>
      </c>
      <c r="Z35" s="69">
        <f t="shared" si="20"/>
        <v>0.85</v>
      </c>
      <c r="AA35" s="69">
        <f t="shared" si="20"/>
        <v>0.85</v>
      </c>
      <c r="AB35" s="69">
        <f t="shared" si="20"/>
        <v>0.85</v>
      </c>
      <c r="AC35" s="69">
        <f t="shared" si="20"/>
        <v>0.85</v>
      </c>
      <c r="AD35" s="67">
        <f>IFERROR(AD33/AD31,0)</f>
        <v>0.84998986640122276</v>
      </c>
      <c r="AE35" s="70">
        <f>AE33/AE31</f>
        <v>0.84999999999999987</v>
      </c>
      <c r="AF35" s="64">
        <f>AF33/AF31</f>
        <v>0.85</v>
      </c>
      <c r="AG35" s="64">
        <f>AG33/AG31</f>
        <v>0.84999999999999987</v>
      </c>
      <c r="AH35" s="68" t="e">
        <f>AH33/AH31</f>
        <v>#DIV/0!</v>
      </c>
      <c r="AI35" s="67" t="e">
        <f>AI33/AI31</f>
        <v>#DIV/0!</v>
      </c>
    </row>
    <row r="36" spans="1:35" s="29" customFormat="1" ht="19.5" customHeight="1">
      <c r="A36" s="343" t="s">
        <v>51</v>
      </c>
      <c r="B36" s="20" t="s">
        <v>32</v>
      </c>
      <c r="C36" s="21"/>
      <c r="D36" s="22"/>
      <c r="E36" s="73"/>
      <c r="F36" s="74"/>
      <c r="G36" s="46"/>
      <c r="H36" s="46"/>
      <c r="I36" s="46"/>
      <c r="J36" s="46"/>
      <c r="K36" s="74"/>
      <c r="L36" s="74"/>
      <c r="M36" s="74"/>
      <c r="N36" s="74">
        <v>251</v>
      </c>
      <c r="O36" s="74">
        <v>753</v>
      </c>
      <c r="P36" s="74">
        <v>1249</v>
      </c>
      <c r="Q36" s="25">
        <f>SUM(E36:P36)</f>
        <v>2253</v>
      </c>
      <c r="R36" s="303"/>
      <c r="S36" s="314"/>
      <c r="T36" s="314"/>
      <c r="U36" s="314"/>
      <c r="V36" s="315"/>
      <c r="W36" s="315"/>
      <c r="X36" s="26"/>
      <c r="Y36" s="26"/>
      <c r="Z36" s="26"/>
      <c r="AA36" s="26">
        <v>251</v>
      </c>
      <c r="AB36" s="26">
        <v>753</v>
      </c>
      <c r="AC36" s="26">
        <v>1249</v>
      </c>
      <c r="AD36" s="25">
        <f>SUM(R36:AC36)</f>
        <v>2253</v>
      </c>
      <c r="AE36" s="27">
        <v>4987.7888995675785</v>
      </c>
      <c r="AF36" s="75">
        <v>62733.577773619734</v>
      </c>
      <c r="AG36" s="75">
        <v>73782.225873359625</v>
      </c>
      <c r="AH36" s="23">
        <v>15221.407453453048</v>
      </c>
      <c r="AI36" s="28"/>
    </row>
    <row r="37" spans="1:35" s="29" customFormat="1" ht="19.5" customHeight="1">
      <c r="A37" s="344"/>
      <c r="B37" s="30"/>
      <c r="C37" s="31"/>
      <c r="D37" s="82"/>
      <c r="E37" s="83"/>
      <c r="F37" s="84"/>
      <c r="G37" s="84"/>
      <c r="H37" s="84"/>
      <c r="I37" s="84"/>
      <c r="J37" s="84"/>
      <c r="K37" s="84"/>
      <c r="L37" s="85"/>
      <c r="M37" s="84"/>
      <c r="N37" s="84"/>
      <c r="O37" s="84"/>
      <c r="P37" s="84"/>
      <c r="Q37" s="35"/>
      <c r="R37" s="82"/>
      <c r="S37" s="86"/>
      <c r="T37" s="87"/>
      <c r="U37" s="76"/>
      <c r="V37" s="86"/>
      <c r="W37" s="86"/>
      <c r="X37" s="86"/>
      <c r="Y37" s="88"/>
      <c r="Z37" s="86"/>
      <c r="AA37" s="86"/>
      <c r="AB37" s="86"/>
      <c r="AC37" s="86"/>
      <c r="AD37" s="35"/>
      <c r="AE37" s="40"/>
      <c r="AF37" s="32"/>
      <c r="AG37" s="32"/>
      <c r="AH37" s="41"/>
      <c r="AI37" s="35"/>
    </row>
    <row r="38" spans="1:35" s="29" customFormat="1" ht="19.5" customHeight="1">
      <c r="A38" s="344"/>
      <c r="B38" s="42" t="s">
        <v>34</v>
      </c>
      <c r="C38" s="43"/>
      <c r="D38" s="44"/>
      <c r="E38" s="77"/>
      <c r="F38" s="46"/>
      <c r="G38" s="46"/>
      <c r="H38" s="46"/>
      <c r="I38" s="46"/>
      <c r="J38" s="46"/>
      <c r="K38" s="46"/>
      <c r="L38" s="46"/>
      <c r="M38" s="46"/>
      <c r="N38" s="46">
        <v>213.35</v>
      </c>
      <c r="O38" s="46">
        <v>640.04999999999995</v>
      </c>
      <c r="P38" s="46">
        <v>1061.6499999999999</v>
      </c>
      <c r="Q38" s="48">
        <f>SUM(E38:P38)</f>
        <v>1915.0499999999997</v>
      </c>
      <c r="R38" s="302"/>
      <c r="S38" s="315"/>
      <c r="T38" s="315"/>
      <c r="U38" s="315"/>
      <c r="V38" s="315"/>
      <c r="W38" s="315"/>
      <c r="X38" s="50"/>
      <c r="Y38" s="50"/>
      <c r="Z38" s="50"/>
      <c r="AA38" s="50">
        <v>213.35</v>
      </c>
      <c r="AB38" s="50">
        <v>640.04999999999995</v>
      </c>
      <c r="AC38" s="50">
        <v>1061.6499999999999</v>
      </c>
      <c r="AD38" s="48">
        <f>SUM(R38:AC38)</f>
        <v>1915.0499999999997</v>
      </c>
      <c r="AE38" s="51">
        <v>4239.6205646324415</v>
      </c>
      <c r="AF38" s="79">
        <v>53323.54110757677</v>
      </c>
      <c r="AG38" s="79">
        <v>62714.891992355682</v>
      </c>
      <c r="AH38" s="45">
        <v>12938.19633543509</v>
      </c>
      <c r="AI38" s="52"/>
    </row>
    <row r="39" spans="1:35" s="29" customFormat="1" ht="19.5" customHeight="1">
      <c r="A39" s="344"/>
      <c r="B39" s="30"/>
      <c r="C39" s="31"/>
      <c r="D39" s="61"/>
      <c r="E39" s="89"/>
      <c r="F39" s="90"/>
      <c r="G39" s="90"/>
      <c r="H39" s="90"/>
      <c r="I39" s="90"/>
      <c r="J39" s="90"/>
      <c r="K39" s="90"/>
      <c r="L39" s="91"/>
      <c r="M39" s="90"/>
      <c r="N39" s="90"/>
      <c r="O39" s="90"/>
      <c r="P39" s="90"/>
      <c r="Q39" s="57"/>
      <c r="R39" s="61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57"/>
      <c r="AE39" s="60"/>
      <c r="AF39" s="55"/>
      <c r="AG39" s="55"/>
      <c r="AH39" s="61"/>
      <c r="AI39" s="57"/>
    </row>
    <row r="40" spans="1:35" s="71" customFormat="1" ht="19.5" customHeight="1" thickBot="1">
      <c r="A40" s="345"/>
      <c r="B40" s="62" t="s">
        <v>38</v>
      </c>
      <c r="C40" s="93" t="s">
        <v>50</v>
      </c>
      <c r="D40" s="68"/>
      <c r="E40" s="65">
        <f>IFERROR(E38/E36,0)</f>
        <v>0</v>
      </c>
      <c r="F40" s="66">
        <f>IFERROR(F38/F36,0)</f>
        <v>0</v>
      </c>
      <c r="G40" s="66">
        <f t="shared" ref="G40:P40" si="21">IFERROR(G38/G36,0)</f>
        <v>0</v>
      </c>
      <c r="H40" s="66">
        <f t="shared" si="21"/>
        <v>0</v>
      </c>
      <c r="I40" s="66">
        <f t="shared" si="21"/>
        <v>0</v>
      </c>
      <c r="J40" s="66">
        <f t="shared" si="21"/>
        <v>0</v>
      </c>
      <c r="K40" s="66">
        <f t="shared" si="21"/>
        <v>0</v>
      </c>
      <c r="L40" s="66">
        <f t="shared" si="21"/>
        <v>0</v>
      </c>
      <c r="M40" s="66">
        <f t="shared" si="21"/>
        <v>0</v>
      </c>
      <c r="N40" s="66">
        <f t="shared" si="21"/>
        <v>0.85</v>
      </c>
      <c r="O40" s="66">
        <f t="shared" si="21"/>
        <v>0.85</v>
      </c>
      <c r="P40" s="66">
        <f t="shared" si="21"/>
        <v>0.84999999999999987</v>
      </c>
      <c r="Q40" s="67">
        <f>IFERROR(Q38/Q36,0)</f>
        <v>0.84999999999999987</v>
      </c>
      <c r="R40" s="68">
        <f>IFERROR(R38/R36,0)</f>
        <v>0</v>
      </c>
      <c r="S40" s="69">
        <f>IFERROR(S38/S36,0)</f>
        <v>0</v>
      </c>
      <c r="T40" s="69">
        <f t="shared" ref="T40:AC40" si="22">IFERROR(T38/T36,0)</f>
        <v>0</v>
      </c>
      <c r="U40" s="69">
        <f t="shared" si="22"/>
        <v>0</v>
      </c>
      <c r="V40" s="69">
        <f t="shared" si="22"/>
        <v>0</v>
      </c>
      <c r="W40" s="69">
        <f t="shared" si="22"/>
        <v>0</v>
      </c>
      <c r="X40" s="69">
        <f t="shared" si="22"/>
        <v>0</v>
      </c>
      <c r="Y40" s="69">
        <f t="shared" si="22"/>
        <v>0</v>
      </c>
      <c r="Z40" s="69">
        <f t="shared" si="22"/>
        <v>0</v>
      </c>
      <c r="AA40" s="69">
        <f t="shared" si="22"/>
        <v>0.85</v>
      </c>
      <c r="AB40" s="69">
        <f t="shared" si="22"/>
        <v>0.85</v>
      </c>
      <c r="AC40" s="69">
        <f t="shared" si="22"/>
        <v>0.84999999999999987</v>
      </c>
      <c r="AD40" s="67">
        <f>IFERROR(AD38/AD36,0)</f>
        <v>0.84999999999999987</v>
      </c>
      <c r="AE40" s="70">
        <f>AE38/AE36</f>
        <v>0.85</v>
      </c>
      <c r="AF40" s="64">
        <f>AF38/AF36</f>
        <v>0.85</v>
      </c>
      <c r="AG40" s="64">
        <f>AG38/AG36</f>
        <v>0.85</v>
      </c>
      <c r="AH40" s="68">
        <f>AH38/AH36</f>
        <v>0.85</v>
      </c>
      <c r="AI40" s="67" t="e">
        <f>AI38/AI36</f>
        <v>#DIV/0!</v>
      </c>
    </row>
    <row r="41" spans="1:35" s="29" customFormat="1" ht="19.5" hidden="1" customHeight="1">
      <c r="A41" s="343" t="s">
        <v>52</v>
      </c>
      <c r="B41" s="20" t="s">
        <v>32</v>
      </c>
      <c r="C41" s="21"/>
      <c r="D41" s="22"/>
      <c r="E41" s="73"/>
      <c r="F41" s="74"/>
      <c r="G41" s="46"/>
      <c r="H41" s="46"/>
      <c r="I41" s="46"/>
      <c r="J41" s="46"/>
      <c r="K41" s="74"/>
      <c r="L41" s="74"/>
      <c r="M41" s="74"/>
      <c r="N41" s="74"/>
      <c r="O41" s="74"/>
      <c r="P41" s="74"/>
      <c r="Q41" s="25">
        <f>SUM(E41:P41)</f>
        <v>0</v>
      </c>
      <c r="R41" s="22">
        <f t="shared" ref="R41:S41" si="23">+E41</f>
        <v>0</v>
      </c>
      <c r="S41" s="26">
        <f t="shared" si="23"/>
        <v>0</v>
      </c>
      <c r="T41" s="26"/>
      <c r="U41" s="26"/>
      <c r="V41" s="50"/>
      <c r="W41" s="50"/>
      <c r="X41" s="26"/>
      <c r="Y41" s="26"/>
      <c r="Z41" s="26"/>
      <c r="AA41" s="26"/>
      <c r="AB41" s="26"/>
      <c r="AC41" s="26"/>
      <c r="AD41" s="25">
        <f>SUM(R41:AC41)</f>
        <v>0</v>
      </c>
      <c r="AE41" s="27">
        <v>0</v>
      </c>
      <c r="AF41" s="75">
        <v>30920.742827022725</v>
      </c>
      <c r="AG41" s="75">
        <v>70555.114584243216</v>
      </c>
      <c r="AH41" s="23">
        <v>36224.142588734059</v>
      </c>
      <c r="AI41" s="28">
        <v>0</v>
      </c>
    </row>
    <row r="42" spans="1:35" s="29" customFormat="1" ht="19.5" hidden="1" customHeight="1">
      <c r="A42" s="344"/>
      <c r="B42" s="30"/>
      <c r="C42" s="31"/>
      <c r="D42" s="82"/>
      <c r="E42" s="83"/>
      <c r="F42" s="84"/>
      <c r="G42" s="84"/>
      <c r="H42" s="84"/>
      <c r="I42" s="84"/>
      <c r="J42" s="84"/>
      <c r="K42" s="84"/>
      <c r="L42" s="85"/>
      <c r="M42" s="84"/>
      <c r="N42" s="84"/>
      <c r="O42" s="84"/>
      <c r="P42" s="84"/>
      <c r="Q42" s="35"/>
      <c r="R42" s="82"/>
      <c r="S42" s="86"/>
      <c r="T42" s="87"/>
      <c r="U42" s="76"/>
      <c r="V42" s="86"/>
      <c r="W42" s="86"/>
      <c r="X42" s="86"/>
      <c r="Y42" s="88"/>
      <c r="Z42" s="86"/>
      <c r="AA42" s="86"/>
      <c r="AB42" s="86"/>
      <c r="AC42" s="86"/>
      <c r="AD42" s="35"/>
      <c r="AE42" s="40"/>
      <c r="AF42" s="32"/>
      <c r="AG42" s="32"/>
      <c r="AH42" s="41"/>
      <c r="AI42" s="35"/>
    </row>
    <row r="43" spans="1:35" s="29" customFormat="1" ht="19.5" hidden="1" customHeight="1">
      <c r="A43" s="344"/>
      <c r="B43" s="42" t="s">
        <v>34</v>
      </c>
      <c r="C43" s="43"/>
      <c r="D43" s="44"/>
      <c r="E43" s="77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8">
        <f>SUM(E43:P43)</f>
        <v>0</v>
      </c>
      <c r="R43" s="49">
        <f t="shared" ref="R43:S43" si="24">+E43</f>
        <v>0</v>
      </c>
      <c r="S43" s="50">
        <f t="shared" si="24"/>
        <v>0</v>
      </c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48">
        <f>SUM(R43:AC43)</f>
        <v>0</v>
      </c>
      <c r="AE43" s="51">
        <v>0</v>
      </c>
      <c r="AF43" s="79">
        <v>26282.631402969317</v>
      </c>
      <c r="AG43" s="79">
        <v>59971.847396606732</v>
      </c>
      <c r="AH43" s="45">
        <v>30790.521200423951</v>
      </c>
      <c r="AI43" s="52">
        <v>0</v>
      </c>
    </row>
    <row r="44" spans="1:35" s="29" customFormat="1" ht="19.5" hidden="1" customHeight="1">
      <c r="A44" s="344"/>
      <c r="B44" s="30"/>
      <c r="C44" s="31"/>
      <c r="D44" s="61"/>
      <c r="E44" s="89"/>
      <c r="F44" s="90"/>
      <c r="G44" s="90"/>
      <c r="H44" s="90"/>
      <c r="I44" s="90"/>
      <c r="J44" s="90"/>
      <c r="K44" s="90"/>
      <c r="L44" s="91"/>
      <c r="M44" s="90"/>
      <c r="N44" s="90"/>
      <c r="O44" s="90"/>
      <c r="P44" s="90"/>
      <c r="Q44" s="57"/>
      <c r="R44" s="61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57"/>
      <c r="AE44" s="60"/>
      <c r="AF44" s="55"/>
      <c r="AG44" s="55"/>
      <c r="AH44" s="61"/>
      <c r="AI44" s="57"/>
    </row>
    <row r="45" spans="1:35" s="71" customFormat="1" ht="19.5" hidden="1" customHeight="1">
      <c r="A45" s="345"/>
      <c r="B45" s="62" t="s">
        <v>38</v>
      </c>
      <c r="C45" s="93" t="s">
        <v>50</v>
      </c>
      <c r="D45" s="68" t="e">
        <v>#DIV/0!</v>
      </c>
      <c r="E45" s="65">
        <f>IFERROR(E43/E41,0)</f>
        <v>0</v>
      </c>
      <c r="F45" s="66">
        <f>IFERROR(F43/F41,0)</f>
        <v>0</v>
      </c>
      <c r="G45" s="66">
        <f t="shared" ref="G45:P45" si="25">IFERROR(G43/G41,0)</f>
        <v>0</v>
      </c>
      <c r="H45" s="66">
        <f t="shared" si="25"/>
        <v>0</v>
      </c>
      <c r="I45" s="66">
        <f t="shared" si="25"/>
        <v>0</v>
      </c>
      <c r="J45" s="66">
        <f t="shared" si="25"/>
        <v>0</v>
      </c>
      <c r="K45" s="66">
        <f t="shared" si="25"/>
        <v>0</v>
      </c>
      <c r="L45" s="66">
        <f t="shared" si="25"/>
        <v>0</v>
      </c>
      <c r="M45" s="66">
        <f t="shared" si="25"/>
        <v>0</v>
      </c>
      <c r="N45" s="66">
        <f t="shared" si="25"/>
        <v>0</v>
      </c>
      <c r="O45" s="66">
        <f t="shared" si="25"/>
        <v>0</v>
      </c>
      <c r="P45" s="66">
        <f t="shared" si="25"/>
        <v>0</v>
      </c>
      <c r="Q45" s="67">
        <f>IFERROR(Q43/Q41,0)</f>
        <v>0</v>
      </c>
      <c r="R45" s="68">
        <f>IFERROR(R43/R41,0)</f>
        <v>0</v>
      </c>
      <c r="S45" s="69">
        <f>IFERROR(S43/S41,0)</f>
        <v>0</v>
      </c>
      <c r="T45" s="69">
        <f t="shared" ref="T45:AC45" si="26">IFERROR(T43/T41,0)</f>
        <v>0</v>
      </c>
      <c r="U45" s="69">
        <f t="shared" si="26"/>
        <v>0</v>
      </c>
      <c r="V45" s="69">
        <f t="shared" si="26"/>
        <v>0</v>
      </c>
      <c r="W45" s="69">
        <f t="shared" si="26"/>
        <v>0</v>
      </c>
      <c r="X45" s="69">
        <f t="shared" si="26"/>
        <v>0</v>
      </c>
      <c r="Y45" s="69">
        <f t="shared" si="26"/>
        <v>0</v>
      </c>
      <c r="Z45" s="69">
        <f t="shared" si="26"/>
        <v>0</v>
      </c>
      <c r="AA45" s="69">
        <f t="shared" si="26"/>
        <v>0</v>
      </c>
      <c r="AB45" s="69">
        <f t="shared" si="26"/>
        <v>0</v>
      </c>
      <c r="AC45" s="69">
        <f t="shared" si="26"/>
        <v>0</v>
      </c>
      <c r="AD45" s="67">
        <f>IFERROR(AD43/AD41,0)</f>
        <v>0</v>
      </c>
      <c r="AE45" s="70" t="e">
        <f>AE43/AE41</f>
        <v>#DIV/0!</v>
      </c>
      <c r="AF45" s="64">
        <f>AF43/AF41</f>
        <v>0.85</v>
      </c>
      <c r="AG45" s="64">
        <f>AG43/AG41</f>
        <v>0.85</v>
      </c>
      <c r="AH45" s="68">
        <f>AH43/AH41</f>
        <v>0.85</v>
      </c>
      <c r="AI45" s="67" t="e">
        <f>AI43/AI41</f>
        <v>#DIV/0!</v>
      </c>
    </row>
    <row r="46" spans="1:35" s="29" customFormat="1" ht="19.5" customHeight="1">
      <c r="A46" s="343" t="s">
        <v>53</v>
      </c>
      <c r="B46" s="20" t="s">
        <v>32</v>
      </c>
      <c r="C46" s="21"/>
      <c r="D46" s="22"/>
      <c r="E46" s="73"/>
      <c r="F46" s="74"/>
      <c r="G46" s="46"/>
      <c r="H46" s="46"/>
      <c r="I46" s="46"/>
      <c r="J46" s="46"/>
      <c r="K46" s="74"/>
      <c r="L46" s="74"/>
      <c r="M46" s="74"/>
      <c r="N46" s="74"/>
      <c r="O46" s="74"/>
      <c r="P46" s="74"/>
      <c r="Q46" s="25">
        <f>SUM(E46:P46)</f>
        <v>0</v>
      </c>
      <c r="R46" s="303"/>
      <c r="S46" s="314"/>
      <c r="T46" s="314"/>
      <c r="U46" s="314"/>
      <c r="V46" s="315"/>
      <c r="W46" s="315"/>
      <c r="X46" s="26"/>
      <c r="Y46" s="26"/>
      <c r="Z46" s="26"/>
      <c r="AA46" s="26"/>
      <c r="AB46" s="26"/>
      <c r="AC46" s="26"/>
      <c r="AD46" s="25">
        <f>SUM(R46:AC46)</f>
        <v>0</v>
      </c>
      <c r="AE46" s="27">
        <v>3184.1927533037042</v>
      </c>
      <c r="AF46" s="75">
        <v>22520.367260444458</v>
      </c>
      <c r="AG46" s="75">
        <v>55836.752802133393</v>
      </c>
      <c r="AH46" s="23">
        <v>12458.68718411844</v>
      </c>
      <c r="AI46" s="28"/>
    </row>
    <row r="47" spans="1:35" s="29" customFormat="1" ht="19.5" customHeight="1">
      <c r="A47" s="344"/>
      <c r="B47" s="30"/>
      <c r="C47" s="31"/>
      <c r="D47" s="82"/>
      <c r="E47" s="83"/>
      <c r="F47" s="84"/>
      <c r="G47" s="84"/>
      <c r="H47" s="84"/>
      <c r="I47" s="84"/>
      <c r="J47" s="84"/>
      <c r="K47" s="84"/>
      <c r="L47" s="85"/>
      <c r="M47" s="84"/>
      <c r="N47" s="84"/>
      <c r="O47" s="84"/>
      <c r="P47" s="84"/>
      <c r="Q47" s="35"/>
      <c r="R47" s="82"/>
      <c r="S47" s="86"/>
      <c r="T47" s="87"/>
      <c r="U47" s="76"/>
      <c r="V47" s="86"/>
      <c r="W47" s="86"/>
      <c r="X47" s="86"/>
      <c r="Y47" s="88"/>
      <c r="Z47" s="86"/>
      <c r="AA47" s="86"/>
      <c r="AB47" s="86"/>
      <c r="AC47" s="86"/>
      <c r="AD47" s="35"/>
      <c r="AE47" s="40"/>
      <c r="AF47" s="32"/>
      <c r="AG47" s="32"/>
      <c r="AH47" s="41"/>
      <c r="AI47" s="35"/>
    </row>
    <row r="48" spans="1:35" s="29" customFormat="1" ht="19.5" customHeight="1">
      <c r="A48" s="344"/>
      <c r="B48" s="42" t="s">
        <v>34</v>
      </c>
      <c r="C48" s="43"/>
      <c r="D48" s="44"/>
      <c r="E48" s="77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8">
        <f>SUM(E48:P48)</f>
        <v>0</v>
      </c>
      <c r="R48" s="302"/>
      <c r="S48" s="315"/>
      <c r="T48" s="315"/>
      <c r="U48" s="315"/>
      <c r="V48" s="315"/>
      <c r="W48" s="315"/>
      <c r="X48" s="50"/>
      <c r="Y48" s="50"/>
      <c r="Z48" s="50"/>
      <c r="AA48" s="50"/>
      <c r="AB48" s="50"/>
      <c r="AC48" s="50"/>
      <c r="AD48" s="48">
        <f>SUM(R48:AC48)</f>
        <v>0</v>
      </c>
      <c r="AE48" s="51">
        <v>2865.7734779733337</v>
      </c>
      <c r="AF48" s="79">
        <v>20268.330534400015</v>
      </c>
      <c r="AG48" s="79">
        <v>50253.077521920051</v>
      </c>
      <c r="AH48" s="45">
        <v>11212.818465706596</v>
      </c>
      <c r="AI48" s="52"/>
    </row>
    <row r="49" spans="1:40" s="29" customFormat="1" ht="19.5" customHeight="1">
      <c r="A49" s="344"/>
      <c r="B49" s="30"/>
      <c r="C49" s="31"/>
      <c r="D49" s="61"/>
      <c r="E49" s="89"/>
      <c r="F49" s="90"/>
      <c r="G49" s="90"/>
      <c r="H49" s="90"/>
      <c r="I49" s="90"/>
      <c r="J49" s="90"/>
      <c r="K49" s="90"/>
      <c r="L49" s="91"/>
      <c r="M49" s="90"/>
      <c r="N49" s="90"/>
      <c r="O49" s="90"/>
      <c r="P49" s="90"/>
      <c r="Q49" s="57"/>
      <c r="R49" s="61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57"/>
      <c r="AE49" s="60"/>
      <c r="AF49" s="55"/>
      <c r="AG49" s="55"/>
      <c r="AH49" s="61"/>
      <c r="AI49" s="57"/>
    </row>
    <row r="50" spans="1:40" s="71" customFormat="1" ht="19.5" customHeight="1" thickBot="1">
      <c r="A50" s="345"/>
      <c r="B50" s="62" t="s">
        <v>38</v>
      </c>
      <c r="C50" s="93" t="s">
        <v>50</v>
      </c>
      <c r="D50" s="68"/>
      <c r="E50" s="65">
        <f>IFERROR(E48/E46,0)</f>
        <v>0</v>
      </c>
      <c r="F50" s="66">
        <f>IFERROR(F48/F46,0)</f>
        <v>0</v>
      </c>
      <c r="G50" s="66">
        <f t="shared" ref="G50:P50" si="27">IFERROR(G48/G46,0)</f>
        <v>0</v>
      </c>
      <c r="H50" s="66">
        <f t="shared" si="27"/>
        <v>0</v>
      </c>
      <c r="I50" s="66">
        <f t="shared" si="27"/>
        <v>0</v>
      </c>
      <c r="J50" s="66">
        <f t="shared" si="27"/>
        <v>0</v>
      </c>
      <c r="K50" s="66">
        <f t="shared" si="27"/>
        <v>0</v>
      </c>
      <c r="L50" s="66">
        <f t="shared" si="27"/>
        <v>0</v>
      </c>
      <c r="M50" s="66">
        <f t="shared" si="27"/>
        <v>0</v>
      </c>
      <c r="N50" s="66">
        <f t="shared" si="27"/>
        <v>0</v>
      </c>
      <c r="O50" s="66">
        <f t="shared" si="27"/>
        <v>0</v>
      </c>
      <c r="P50" s="66">
        <f t="shared" si="27"/>
        <v>0</v>
      </c>
      <c r="Q50" s="67">
        <f>IFERROR(Q48/Q46,0)</f>
        <v>0</v>
      </c>
      <c r="R50" s="68">
        <f>IFERROR(R48/R46,0)</f>
        <v>0</v>
      </c>
      <c r="S50" s="69">
        <f t="shared" ref="S50:AC50" si="28">IFERROR(S48/S46,0)</f>
        <v>0</v>
      </c>
      <c r="T50" s="69">
        <f t="shared" si="28"/>
        <v>0</v>
      </c>
      <c r="U50" s="69">
        <f t="shared" si="28"/>
        <v>0</v>
      </c>
      <c r="V50" s="69">
        <f t="shared" si="28"/>
        <v>0</v>
      </c>
      <c r="W50" s="69">
        <f t="shared" si="28"/>
        <v>0</v>
      </c>
      <c r="X50" s="69">
        <f t="shared" si="28"/>
        <v>0</v>
      </c>
      <c r="Y50" s="69">
        <f t="shared" si="28"/>
        <v>0</v>
      </c>
      <c r="Z50" s="69">
        <f t="shared" si="28"/>
        <v>0</v>
      </c>
      <c r="AA50" s="69">
        <f t="shared" si="28"/>
        <v>0</v>
      </c>
      <c r="AB50" s="69">
        <f t="shared" si="28"/>
        <v>0</v>
      </c>
      <c r="AC50" s="69">
        <f t="shared" si="28"/>
        <v>0</v>
      </c>
      <c r="AD50" s="67">
        <f>IFERROR(AD48/AD46,0)</f>
        <v>0</v>
      </c>
      <c r="AE50" s="70">
        <f>AE48/AE46</f>
        <v>0.9</v>
      </c>
      <c r="AF50" s="64">
        <f>AF48/AF46</f>
        <v>0.90000000000000013</v>
      </c>
      <c r="AG50" s="64">
        <f>AG48/AG46</f>
        <v>0.89999999999999991</v>
      </c>
      <c r="AH50" s="68">
        <f>AH48/AH46</f>
        <v>0.9</v>
      </c>
      <c r="AI50" s="67" t="e">
        <f>AI48/AI46</f>
        <v>#DIV/0!</v>
      </c>
    </row>
    <row r="51" spans="1:40" s="29" customFormat="1" ht="19.5" customHeight="1">
      <c r="A51" s="343" t="s">
        <v>54</v>
      </c>
      <c r="B51" s="20" t="s">
        <v>32</v>
      </c>
      <c r="C51" s="21"/>
      <c r="D51" s="22"/>
      <c r="E51" s="73"/>
      <c r="F51" s="74"/>
      <c r="G51" s="46"/>
      <c r="H51" s="46"/>
      <c r="I51" s="46"/>
      <c r="J51" s="46"/>
      <c r="K51" s="74"/>
      <c r="L51" s="74">
        <v>432.67682920858329</v>
      </c>
      <c r="M51" s="74">
        <v>644.219520835661</v>
      </c>
      <c r="N51" s="74">
        <v>916.9733801026041</v>
      </c>
      <c r="O51" s="74">
        <v>1129.4159212240511</v>
      </c>
      <c r="P51" s="74">
        <v>1293.6017867750493</v>
      </c>
      <c r="Q51" s="25">
        <f>SUM(E51:P51)</f>
        <v>4416.8874381459482</v>
      </c>
      <c r="R51" s="303"/>
      <c r="S51" s="314"/>
      <c r="T51" s="314"/>
      <c r="U51" s="314"/>
      <c r="V51" s="315"/>
      <c r="W51" s="315"/>
      <c r="X51" s="26"/>
      <c r="Y51" s="26"/>
      <c r="Z51" s="26"/>
      <c r="AA51" s="26">
        <v>432.67682920858329</v>
      </c>
      <c r="AB51" s="26">
        <v>644.219520835661</v>
      </c>
      <c r="AC51" s="26">
        <v>916.9733801026041</v>
      </c>
      <c r="AD51" s="25">
        <f>SUM(R51:AC51)</f>
        <v>1993.8697301468483</v>
      </c>
      <c r="AE51" s="27">
        <v>3123.2856513708994</v>
      </c>
      <c r="AF51" s="75">
        <v>21580.347149580884</v>
      </c>
      <c r="AG51" s="75">
        <v>46600.851392104873</v>
      </c>
      <c r="AH51" s="23">
        <v>51117.515806943513</v>
      </c>
      <c r="AI51" s="28"/>
    </row>
    <row r="52" spans="1:40" s="29" customFormat="1" ht="19.5" customHeight="1">
      <c r="A52" s="344"/>
      <c r="B52" s="30"/>
      <c r="C52" s="31"/>
      <c r="D52" s="82"/>
      <c r="E52" s="83"/>
      <c r="F52" s="84"/>
      <c r="G52" s="84"/>
      <c r="H52" s="84"/>
      <c r="I52" s="84"/>
      <c r="J52" s="84"/>
      <c r="K52" s="84"/>
      <c r="L52" s="85"/>
      <c r="M52" s="84"/>
      <c r="N52" s="84"/>
      <c r="O52" s="84"/>
      <c r="P52" s="84"/>
      <c r="Q52" s="35"/>
      <c r="R52" s="82"/>
      <c r="S52" s="86"/>
      <c r="T52" s="87"/>
      <c r="U52" s="76"/>
      <c r="V52" s="86"/>
      <c r="W52" s="86"/>
      <c r="X52" s="86"/>
      <c r="Y52" s="88"/>
      <c r="Z52" s="86"/>
      <c r="AA52" s="86"/>
      <c r="AB52" s="86"/>
      <c r="AC52" s="86"/>
      <c r="AD52" s="35"/>
      <c r="AE52" s="40"/>
      <c r="AF52" s="32"/>
      <c r="AG52" s="32"/>
      <c r="AH52" s="41"/>
      <c r="AI52" s="35"/>
    </row>
    <row r="53" spans="1:40" s="29" customFormat="1" ht="19.5" customHeight="1">
      <c r="A53" s="344"/>
      <c r="B53" s="42" t="s">
        <v>34</v>
      </c>
      <c r="C53" s="43"/>
      <c r="D53" s="44"/>
      <c r="E53" s="77"/>
      <c r="F53" s="46"/>
      <c r="G53" s="46"/>
      <c r="H53" s="46"/>
      <c r="I53" s="46"/>
      <c r="J53" s="46"/>
      <c r="K53" s="46"/>
      <c r="L53" s="46">
        <v>389.40914628772498</v>
      </c>
      <c r="M53" s="46">
        <v>579.79756875209489</v>
      </c>
      <c r="N53" s="46">
        <v>825.27604209234369</v>
      </c>
      <c r="O53" s="46">
        <v>1016.474329101646</v>
      </c>
      <c r="P53" s="46">
        <v>1164.2416080975445</v>
      </c>
      <c r="Q53" s="48">
        <f>SUM(E53:P53)</f>
        <v>3975.1986943313541</v>
      </c>
      <c r="R53" s="302"/>
      <c r="S53" s="315"/>
      <c r="T53" s="315"/>
      <c r="U53" s="315"/>
      <c r="V53" s="315"/>
      <c r="W53" s="315"/>
      <c r="X53" s="50"/>
      <c r="Y53" s="50"/>
      <c r="Z53" s="50"/>
      <c r="AA53" s="50">
        <v>389.40914628772498</v>
      </c>
      <c r="AB53" s="50">
        <v>579.79756875209489</v>
      </c>
      <c r="AC53" s="50">
        <v>825.27604209234369</v>
      </c>
      <c r="AD53" s="48">
        <f>SUM(R53:AC53)</f>
        <v>1794.4827571321634</v>
      </c>
      <c r="AE53" s="51">
        <v>2810.9570862338096</v>
      </c>
      <c r="AF53" s="79">
        <v>19422.312434622796</v>
      </c>
      <c r="AG53" s="79">
        <v>41940.766252894384</v>
      </c>
      <c r="AH53" s="45">
        <v>46005.764226249164</v>
      </c>
      <c r="AI53" s="52"/>
    </row>
    <row r="54" spans="1:40" s="29" customFormat="1" ht="19.5" customHeight="1">
      <c r="A54" s="344"/>
      <c r="B54" s="30"/>
      <c r="C54" s="31"/>
      <c r="D54" s="61"/>
      <c r="E54" s="89"/>
      <c r="F54" s="90"/>
      <c r="G54" s="90"/>
      <c r="H54" s="90"/>
      <c r="I54" s="90"/>
      <c r="J54" s="90"/>
      <c r="K54" s="90"/>
      <c r="L54" s="91"/>
      <c r="M54" s="90"/>
      <c r="N54" s="90"/>
      <c r="O54" s="90"/>
      <c r="P54" s="90"/>
      <c r="Q54" s="57"/>
      <c r="R54" s="61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57"/>
      <c r="AE54" s="60"/>
      <c r="AF54" s="55"/>
      <c r="AG54" s="55"/>
      <c r="AH54" s="61"/>
      <c r="AI54" s="57"/>
    </row>
    <row r="55" spans="1:40" s="71" customFormat="1" ht="19.5" customHeight="1" thickBot="1">
      <c r="A55" s="345"/>
      <c r="B55" s="62" t="s">
        <v>38</v>
      </c>
      <c r="C55" s="93" t="s">
        <v>50</v>
      </c>
      <c r="D55" s="68"/>
      <c r="E55" s="65">
        <f>IFERROR(E53/E51,0)</f>
        <v>0</v>
      </c>
      <c r="F55" s="66">
        <f>IFERROR(F53/F51,0)</f>
        <v>0</v>
      </c>
      <c r="G55" s="66">
        <f t="shared" ref="G55:P55" si="29">IFERROR(G53/G51,0)</f>
        <v>0</v>
      </c>
      <c r="H55" s="66">
        <f t="shared" si="29"/>
        <v>0</v>
      </c>
      <c r="I55" s="66">
        <f t="shared" si="29"/>
        <v>0</v>
      </c>
      <c r="J55" s="66">
        <f t="shared" si="29"/>
        <v>0</v>
      </c>
      <c r="K55" s="66">
        <f t="shared" si="29"/>
        <v>0</v>
      </c>
      <c r="L55" s="66">
        <f t="shared" si="29"/>
        <v>0.9</v>
      </c>
      <c r="M55" s="66">
        <f t="shared" si="29"/>
        <v>0.9</v>
      </c>
      <c r="N55" s="66">
        <f t="shared" si="29"/>
        <v>0.9</v>
      </c>
      <c r="O55" s="66">
        <f t="shared" si="29"/>
        <v>0.9</v>
      </c>
      <c r="P55" s="66">
        <f t="shared" si="29"/>
        <v>0.90000000000000013</v>
      </c>
      <c r="Q55" s="67">
        <f>IFERROR(Q53/Q51,0)</f>
        <v>0.90000000000000013</v>
      </c>
      <c r="R55" s="68">
        <f>IFERROR(R53/R51,0)</f>
        <v>0</v>
      </c>
      <c r="S55" s="69">
        <f t="shared" ref="S55:Y55" si="30">IFERROR(S53/S51,0)</f>
        <v>0</v>
      </c>
      <c r="T55" s="69">
        <f t="shared" si="30"/>
        <v>0</v>
      </c>
      <c r="U55" s="69">
        <f t="shared" si="30"/>
        <v>0</v>
      </c>
      <c r="V55" s="69">
        <f t="shared" si="30"/>
        <v>0</v>
      </c>
      <c r="W55" s="69">
        <f t="shared" si="30"/>
        <v>0</v>
      </c>
      <c r="X55" s="69">
        <f t="shared" si="30"/>
        <v>0</v>
      </c>
      <c r="Y55" s="69">
        <f t="shared" si="30"/>
        <v>0</v>
      </c>
      <c r="Z55" s="69">
        <f>IFERROR(Z53/Z51,0)</f>
        <v>0</v>
      </c>
      <c r="AA55" s="69">
        <f>IFERROR(AA53/AA51,0)</f>
        <v>0.9</v>
      </c>
      <c r="AB55" s="69">
        <f>IFERROR(AB53/AB51,0)</f>
        <v>0.9</v>
      </c>
      <c r="AC55" s="69">
        <f>IFERROR(AC53/AC51,0)</f>
        <v>0.9</v>
      </c>
      <c r="AD55" s="67">
        <f>IFERROR(AD53/AD51,0)</f>
        <v>0.9</v>
      </c>
      <c r="AE55" s="70">
        <f>AE53/AE51</f>
        <v>0.9</v>
      </c>
      <c r="AF55" s="64">
        <f>AF53/AF51</f>
        <v>0.9</v>
      </c>
      <c r="AG55" s="64">
        <f>AG53/AG51</f>
        <v>0.9</v>
      </c>
      <c r="AH55" s="68">
        <f>AH53/AH51</f>
        <v>0.9</v>
      </c>
      <c r="AI55" s="67" t="e">
        <f>AI53/AI51</f>
        <v>#DIV/0!</v>
      </c>
    </row>
    <row r="56" spans="1:40" s="29" customFormat="1" ht="19.5" customHeight="1">
      <c r="A56" s="359" t="s">
        <v>166</v>
      </c>
      <c r="B56" s="20" t="s">
        <v>32</v>
      </c>
      <c r="C56" s="21"/>
      <c r="D56" s="22">
        <v>5828.3736073247019</v>
      </c>
      <c r="E56" s="73"/>
      <c r="F56" s="74"/>
      <c r="G56" s="46"/>
      <c r="H56" s="46"/>
      <c r="I56" s="46"/>
      <c r="J56" s="46"/>
      <c r="K56" s="74"/>
      <c r="L56" s="74"/>
      <c r="M56" s="74"/>
      <c r="N56" s="74"/>
      <c r="O56" s="74"/>
      <c r="P56" s="74"/>
      <c r="Q56" s="25">
        <f>SUM(E56:P56)</f>
        <v>0</v>
      </c>
      <c r="R56" s="303"/>
      <c r="S56" s="314"/>
      <c r="T56" s="314"/>
      <c r="U56" s="314"/>
      <c r="V56" s="315">
        <v>-68.935158898385566</v>
      </c>
      <c r="W56" s="315"/>
      <c r="X56" s="26"/>
      <c r="Y56" s="26"/>
      <c r="Z56" s="26"/>
      <c r="AA56" s="26"/>
      <c r="AB56" s="26"/>
      <c r="AC56" s="26"/>
      <c r="AD56" s="25">
        <f>SUM(R56:AC56)</f>
        <v>-68.935158898385566</v>
      </c>
      <c r="AE56" s="27"/>
      <c r="AF56" s="75"/>
      <c r="AG56" s="75"/>
      <c r="AH56" s="23"/>
      <c r="AI56" s="28"/>
    </row>
    <row r="57" spans="1:40" s="29" customFormat="1" ht="19.5" customHeight="1">
      <c r="A57" s="344"/>
      <c r="B57" s="30"/>
      <c r="C57" s="31"/>
      <c r="D57" s="41"/>
      <c r="E57" s="83"/>
      <c r="F57" s="84"/>
      <c r="G57" s="84"/>
      <c r="H57" s="84"/>
      <c r="I57" s="84"/>
      <c r="J57" s="84"/>
      <c r="K57" s="84"/>
      <c r="L57" s="85"/>
      <c r="M57" s="84"/>
      <c r="N57" s="84"/>
      <c r="O57" s="84"/>
      <c r="P57" s="84"/>
      <c r="Q57" s="35"/>
      <c r="R57" s="82"/>
      <c r="S57" s="86"/>
      <c r="T57" s="87"/>
      <c r="U57" s="76"/>
      <c r="V57" s="86"/>
      <c r="W57" s="86"/>
      <c r="X57" s="86"/>
      <c r="Y57" s="86"/>
      <c r="Z57" s="86"/>
      <c r="AA57" s="86"/>
      <c r="AB57" s="86"/>
      <c r="AC57" s="86"/>
      <c r="AD57" s="35"/>
      <c r="AE57" s="40"/>
      <c r="AF57" s="32"/>
      <c r="AG57" s="32"/>
      <c r="AH57" s="41"/>
      <c r="AI57" s="35"/>
    </row>
    <row r="58" spans="1:40" s="29" customFormat="1" ht="19.5" customHeight="1">
      <c r="A58" s="344"/>
      <c r="B58" s="42" t="s">
        <v>34</v>
      </c>
      <c r="C58" s="43"/>
      <c r="D58" s="49">
        <v>5440.318165804214</v>
      </c>
      <c r="E58" s="77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8">
        <f>SUM(E58:P58)</f>
        <v>0</v>
      </c>
      <c r="R58" s="302"/>
      <c r="S58" s="315"/>
      <c r="T58" s="315"/>
      <c r="U58" s="315"/>
      <c r="V58" s="315">
        <v>-13.499733105413105</v>
      </c>
      <c r="W58" s="315">
        <v>11.02</v>
      </c>
      <c r="X58" s="50"/>
      <c r="Y58" s="50"/>
      <c r="Z58" s="50"/>
      <c r="AA58" s="50"/>
      <c r="AB58" s="50"/>
      <c r="AC58" s="50"/>
      <c r="AD58" s="48">
        <f>SUM(R58:AC58)</f>
        <v>-2.4797331054131053</v>
      </c>
      <c r="AE58" s="51"/>
      <c r="AF58" s="79"/>
      <c r="AG58" s="79"/>
      <c r="AH58" s="45"/>
      <c r="AI58" s="52"/>
      <c r="AK58" s="29" t="s">
        <v>55</v>
      </c>
      <c r="AN58" s="29" t="s">
        <v>56</v>
      </c>
    </row>
    <row r="59" spans="1:40" s="29" customFormat="1" ht="19.5" customHeight="1">
      <c r="A59" s="344"/>
      <c r="B59" s="30"/>
      <c r="C59" s="31"/>
      <c r="D59" s="61"/>
      <c r="E59" s="89"/>
      <c r="F59" s="90"/>
      <c r="G59" s="90"/>
      <c r="H59" s="90"/>
      <c r="I59" s="90"/>
      <c r="J59" s="90"/>
      <c r="K59" s="90"/>
      <c r="L59" s="91"/>
      <c r="M59" s="90"/>
      <c r="N59" s="90"/>
      <c r="O59" s="90"/>
      <c r="P59" s="90"/>
      <c r="Q59" s="57"/>
      <c r="R59" s="61"/>
      <c r="S59" s="92"/>
      <c r="T59" s="92"/>
      <c r="U59" s="92"/>
      <c r="V59" s="92"/>
      <c r="W59" s="92"/>
      <c r="X59" s="92"/>
      <c r="Y59" s="94"/>
      <c r="Z59" s="92"/>
      <c r="AA59" s="92"/>
      <c r="AB59" s="92"/>
      <c r="AC59" s="92"/>
      <c r="AD59" s="57"/>
      <c r="AE59" s="95"/>
      <c r="AF59" s="61"/>
      <c r="AG59" s="61"/>
      <c r="AH59" s="61"/>
      <c r="AI59" s="57"/>
    </row>
    <row r="60" spans="1:40" s="71" customFormat="1" ht="19.5" customHeight="1" thickBot="1">
      <c r="A60" s="345"/>
      <c r="B60" s="62" t="s">
        <v>38</v>
      </c>
      <c r="C60" s="93" t="s">
        <v>57</v>
      </c>
      <c r="D60" s="68">
        <v>0.9334196007900375</v>
      </c>
      <c r="E60" s="65">
        <f>IFERROR(E58/E56,0)</f>
        <v>0</v>
      </c>
      <c r="F60" s="66">
        <f>IFERROR(F58/F56,0)</f>
        <v>0</v>
      </c>
      <c r="G60" s="66">
        <f t="shared" ref="G60:AD60" si="31">IFERROR(G58/G56,0)</f>
        <v>0</v>
      </c>
      <c r="H60" s="66">
        <f t="shared" si="31"/>
        <v>0</v>
      </c>
      <c r="I60" s="66">
        <f t="shared" si="31"/>
        <v>0</v>
      </c>
      <c r="J60" s="66">
        <f t="shared" si="31"/>
        <v>0</v>
      </c>
      <c r="K60" s="66">
        <f t="shared" si="31"/>
        <v>0</v>
      </c>
      <c r="L60" s="66">
        <f t="shared" si="31"/>
        <v>0</v>
      </c>
      <c r="M60" s="66">
        <f t="shared" si="31"/>
        <v>0</v>
      </c>
      <c r="N60" s="66">
        <f t="shared" si="31"/>
        <v>0</v>
      </c>
      <c r="O60" s="66">
        <f t="shared" si="31"/>
        <v>0</v>
      </c>
      <c r="P60" s="66">
        <f t="shared" si="31"/>
        <v>0</v>
      </c>
      <c r="Q60" s="67">
        <f t="shared" si="31"/>
        <v>0</v>
      </c>
      <c r="R60" s="68">
        <f t="shared" si="31"/>
        <v>0</v>
      </c>
      <c r="S60" s="69">
        <f t="shared" si="31"/>
        <v>0</v>
      </c>
      <c r="T60" s="69">
        <f t="shared" si="31"/>
        <v>0</v>
      </c>
      <c r="U60" s="69">
        <f t="shared" si="31"/>
        <v>0</v>
      </c>
      <c r="V60" s="69">
        <f t="shared" si="31"/>
        <v>0.19583233463365909</v>
      </c>
      <c r="W60" s="69">
        <f t="shared" si="31"/>
        <v>0</v>
      </c>
      <c r="X60" s="69">
        <f t="shared" si="31"/>
        <v>0</v>
      </c>
      <c r="Y60" s="69">
        <f t="shared" si="31"/>
        <v>0</v>
      </c>
      <c r="Z60" s="69">
        <f t="shared" si="31"/>
        <v>0</v>
      </c>
      <c r="AA60" s="69">
        <f t="shared" si="31"/>
        <v>0</v>
      </c>
      <c r="AB60" s="69">
        <f t="shared" si="31"/>
        <v>0</v>
      </c>
      <c r="AC60" s="69">
        <f t="shared" si="31"/>
        <v>0</v>
      </c>
      <c r="AD60" s="67">
        <f t="shared" si="31"/>
        <v>3.5971964742525307E-2</v>
      </c>
      <c r="AE60" s="96" t="e">
        <f>AE58/AE56</f>
        <v>#DIV/0!</v>
      </c>
      <c r="AF60" s="68" t="e">
        <f>AF58/AF56</f>
        <v>#DIV/0!</v>
      </c>
      <c r="AG60" s="68" t="e">
        <f>AG58/AG56</f>
        <v>#DIV/0!</v>
      </c>
      <c r="AH60" s="68" t="e">
        <f>AH58/AH56</f>
        <v>#DIV/0!</v>
      </c>
      <c r="AI60" s="67" t="e">
        <f>AI58/AI56</f>
        <v>#DIV/0!</v>
      </c>
    </row>
    <row r="61" spans="1:40" s="29" customFormat="1" ht="19.5" customHeight="1">
      <c r="A61" s="359" t="s">
        <v>58</v>
      </c>
      <c r="B61" s="20" t="s">
        <v>32</v>
      </c>
      <c r="C61" s="21"/>
      <c r="D61" s="22"/>
      <c r="E61" s="73"/>
      <c r="F61" s="74"/>
      <c r="G61" s="46"/>
      <c r="H61" s="46"/>
      <c r="I61" s="46"/>
      <c r="J61" s="46"/>
      <c r="K61" s="74"/>
      <c r="L61" s="74"/>
      <c r="M61" s="74"/>
      <c r="N61" s="74"/>
      <c r="O61" s="74"/>
      <c r="P61" s="74"/>
      <c r="Q61" s="25">
        <f>SUM(E61:P61)</f>
        <v>0</v>
      </c>
      <c r="R61" s="303"/>
      <c r="S61" s="314"/>
      <c r="T61" s="314"/>
      <c r="U61" s="314"/>
      <c r="V61" s="315"/>
      <c r="W61" s="315"/>
      <c r="X61" s="26"/>
      <c r="Y61" s="26"/>
      <c r="Z61" s="26"/>
      <c r="AA61" s="26"/>
      <c r="AB61" s="26"/>
      <c r="AC61" s="26"/>
      <c r="AD61" s="25">
        <f>SUM(R61:AC61)</f>
        <v>0</v>
      </c>
      <c r="AE61" s="27">
        <v>36429.482617749287</v>
      </c>
      <c r="AF61" s="75">
        <v>6676.5906946242176</v>
      </c>
      <c r="AG61" s="75"/>
      <c r="AH61" s="23"/>
      <c r="AI61" s="28"/>
    </row>
    <row r="62" spans="1:40" s="29" customFormat="1" ht="19.5" customHeight="1">
      <c r="A62" s="344"/>
      <c r="B62" s="30"/>
      <c r="C62" s="31"/>
      <c r="D62" s="41"/>
      <c r="E62" s="83"/>
      <c r="F62" s="84"/>
      <c r="G62" s="84"/>
      <c r="H62" s="84"/>
      <c r="I62" s="84"/>
      <c r="J62" s="84"/>
      <c r="K62" s="84"/>
      <c r="L62" s="85"/>
      <c r="M62" s="84"/>
      <c r="N62" s="84"/>
      <c r="O62" s="84"/>
      <c r="P62" s="84"/>
      <c r="Q62" s="35"/>
      <c r="R62" s="82"/>
      <c r="S62" s="86"/>
      <c r="T62" s="87"/>
      <c r="U62" s="76"/>
      <c r="V62" s="86"/>
      <c r="W62" s="86"/>
      <c r="X62" s="86"/>
      <c r="Y62" s="86"/>
      <c r="Z62" s="86"/>
      <c r="AA62" s="86"/>
      <c r="AB62" s="86"/>
      <c r="AC62" s="86"/>
      <c r="AD62" s="35"/>
      <c r="AE62" s="40"/>
      <c r="AF62" s="32"/>
      <c r="AG62" s="32"/>
      <c r="AH62" s="41"/>
      <c r="AI62" s="35"/>
    </row>
    <row r="63" spans="1:40" s="29" customFormat="1" ht="19.5" customHeight="1">
      <c r="A63" s="344"/>
      <c r="B63" s="42" t="s">
        <v>34</v>
      </c>
      <c r="C63" s="43"/>
      <c r="D63" s="49"/>
      <c r="E63" s="77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8">
        <f>SUM(E63:P63)</f>
        <v>0</v>
      </c>
      <c r="R63" s="302"/>
      <c r="S63" s="315"/>
      <c r="T63" s="315"/>
      <c r="U63" s="315"/>
      <c r="V63" s="315"/>
      <c r="W63" s="315"/>
      <c r="X63" s="50"/>
      <c r="Y63" s="50"/>
      <c r="Z63" s="50"/>
      <c r="AA63" s="50"/>
      <c r="AB63" s="50"/>
      <c r="AC63" s="50"/>
      <c r="AD63" s="48">
        <f>SUM(R63:AC63)</f>
        <v>0</v>
      </c>
      <c r="AE63" s="51">
        <v>32786.534355974356</v>
      </c>
      <c r="AF63" s="79">
        <v>6008.9316251617956</v>
      </c>
      <c r="AG63" s="79"/>
      <c r="AH63" s="45"/>
      <c r="AI63" s="52"/>
    </row>
    <row r="64" spans="1:40" s="29" customFormat="1" ht="19.5" customHeight="1">
      <c r="A64" s="344"/>
      <c r="B64" s="30"/>
      <c r="C64" s="31"/>
      <c r="D64" s="61"/>
      <c r="E64" s="89"/>
      <c r="F64" s="90"/>
      <c r="G64" s="90"/>
      <c r="H64" s="90"/>
      <c r="I64" s="90"/>
      <c r="J64" s="90"/>
      <c r="K64" s="90"/>
      <c r="L64" s="91"/>
      <c r="M64" s="90"/>
      <c r="N64" s="90"/>
      <c r="O64" s="90"/>
      <c r="P64" s="90"/>
      <c r="Q64" s="57"/>
      <c r="R64" s="61"/>
      <c r="S64" s="92"/>
      <c r="T64" s="92"/>
      <c r="U64" s="92"/>
      <c r="V64" s="92"/>
      <c r="W64" s="92"/>
      <c r="X64" s="92"/>
      <c r="Y64" s="94"/>
      <c r="Z64" s="92"/>
      <c r="AA64" s="92"/>
      <c r="AB64" s="92"/>
      <c r="AC64" s="92"/>
      <c r="AD64" s="57"/>
      <c r="AE64" s="95"/>
      <c r="AF64" s="61"/>
      <c r="AG64" s="61"/>
      <c r="AH64" s="61"/>
      <c r="AI64" s="57"/>
    </row>
    <row r="65" spans="1:35" s="71" customFormat="1" ht="19.5" customHeight="1" thickBot="1">
      <c r="A65" s="345"/>
      <c r="B65" s="62" t="s">
        <v>38</v>
      </c>
      <c r="C65" s="93" t="s">
        <v>59</v>
      </c>
      <c r="D65" s="68"/>
      <c r="E65" s="65">
        <f>IFERROR(E63/E61,0)</f>
        <v>0</v>
      </c>
      <c r="F65" s="66">
        <f>IFERROR(F63/F61,0)</f>
        <v>0</v>
      </c>
      <c r="G65" s="66">
        <f t="shared" ref="G65:AD65" si="32">IFERROR(G63/G61,0)</f>
        <v>0</v>
      </c>
      <c r="H65" s="66">
        <f t="shared" si="32"/>
        <v>0</v>
      </c>
      <c r="I65" s="66">
        <f t="shared" si="32"/>
        <v>0</v>
      </c>
      <c r="J65" s="66">
        <f t="shared" si="32"/>
        <v>0</v>
      </c>
      <c r="K65" s="66">
        <f t="shared" si="32"/>
        <v>0</v>
      </c>
      <c r="L65" s="66">
        <f t="shared" si="32"/>
        <v>0</v>
      </c>
      <c r="M65" s="66">
        <f t="shared" si="32"/>
        <v>0</v>
      </c>
      <c r="N65" s="66">
        <f t="shared" si="32"/>
        <v>0</v>
      </c>
      <c r="O65" s="66">
        <f t="shared" si="32"/>
        <v>0</v>
      </c>
      <c r="P65" s="66">
        <f t="shared" si="32"/>
        <v>0</v>
      </c>
      <c r="Q65" s="67">
        <f t="shared" si="32"/>
        <v>0</v>
      </c>
      <c r="R65" s="68">
        <f t="shared" si="32"/>
        <v>0</v>
      </c>
      <c r="S65" s="69">
        <f t="shared" si="32"/>
        <v>0</v>
      </c>
      <c r="T65" s="69">
        <f t="shared" si="32"/>
        <v>0</v>
      </c>
      <c r="U65" s="69">
        <f t="shared" si="32"/>
        <v>0</v>
      </c>
      <c r="V65" s="69">
        <f t="shared" si="32"/>
        <v>0</v>
      </c>
      <c r="W65" s="69">
        <f t="shared" si="32"/>
        <v>0</v>
      </c>
      <c r="X65" s="69">
        <f>IFERROR(X63/X61,0)</f>
        <v>0</v>
      </c>
      <c r="Y65" s="69">
        <f t="shared" si="32"/>
        <v>0</v>
      </c>
      <c r="Z65" s="69">
        <f t="shared" si="32"/>
        <v>0</v>
      </c>
      <c r="AA65" s="69">
        <f t="shared" si="32"/>
        <v>0</v>
      </c>
      <c r="AB65" s="69">
        <f t="shared" si="32"/>
        <v>0</v>
      </c>
      <c r="AC65" s="69">
        <f t="shared" si="32"/>
        <v>0</v>
      </c>
      <c r="AD65" s="67">
        <f t="shared" si="32"/>
        <v>0</v>
      </c>
      <c r="AE65" s="96">
        <f>AE63/AE61</f>
        <v>0.89999999999999991</v>
      </c>
      <c r="AF65" s="68">
        <f>AF63/AF61</f>
        <v>0.9</v>
      </c>
      <c r="AG65" s="68" t="e">
        <f>AG63/AG61</f>
        <v>#DIV/0!</v>
      </c>
      <c r="AH65" s="68" t="e">
        <f>AH63/AH61</f>
        <v>#DIV/0!</v>
      </c>
      <c r="AI65" s="67" t="e">
        <f>AI63/AI61</f>
        <v>#DIV/0!</v>
      </c>
    </row>
    <row r="66" spans="1:35" s="29" customFormat="1" ht="19.5" hidden="1" customHeight="1">
      <c r="A66" s="359" t="s">
        <v>60</v>
      </c>
      <c r="B66" s="20" t="s">
        <v>32</v>
      </c>
      <c r="C66" s="21"/>
      <c r="D66" s="22"/>
      <c r="E66" s="73"/>
      <c r="F66" s="74"/>
      <c r="G66" s="46"/>
      <c r="H66" s="46"/>
      <c r="I66" s="46"/>
      <c r="J66" s="46"/>
      <c r="K66" s="74"/>
      <c r="L66" s="74"/>
      <c r="M66" s="74"/>
      <c r="N66" s="74"/>
      <c r="O66" s="74"/>
      <c r="P66" s="74"/>
      <c r="Q66" s="25">
        <f>SUM(E66:P66)</f>
        <v>0</v>
      </c>
      <c r="R66" s="22"/>
      <c r="S66" s="26"/>
      <c r="T66" s="26"/>
      <c r="U66" s="26"/>
      <c r="V66" s="50"/>
      <c r="W66" s="50"/>
      <c r="X66" s="26"/>
      <c r="Y66" s="26"/>
      <c r="Z66" s="26"/>
      <c r="AA66" s="26"/>
      <c r="AB66" s="26"/>
      <c r="AC66" s="26"/>
      <c r="AD66" s="25">
        <f>SUM(R66:AC66)</f>
        <v>0</v>
      </c>
      <c r="AE66" s="27"/>
      <c r="AF66" s="75">
        <v>25084</v>
      </c>
      <c r="AG66" s="75">
        <v>13241</v>
      </c>
      <c r="AH66" s="23"/>
      <c r="AI66" s="28"/>
    </row>
    <row r="67" spans="1:35" s="29" customFormat="1" ht="19.5" hidden="1" customHeight="1">
      <c r="A67" s="344"/>
      <c r="B67" s="30"/>
      <c r="C67" s="31"/>
      <c r="D67" s="41"/>
      <c r="E67" s="83"/>
      <c r="F67" s="84"/>
      <c r="G67" s="84"/>
      <c r="H67" s="84"/>
      <c r="I67" s="84"/>
      <c r="J67" s="84"/>
      <c r="K67" s="84"/>
      <c r="L67" s="85"/>
      <c r="M67" s="84"/>
      <c r="N67" s="84"/>
      <c r="O67" s="84"/>
      <c r="P67" s="84"/>
      <c r="Q67" s="35"/>
      <c r="R67" s="82"/>
      <c r="S67" s="86"/>
      <c r="T67" s="87"/>
      <c r="U67" s="76"/>
      <c r="V67" s="86"/>
      <c r="W67" s="86"/>
      <c r="X67" s="86"/>
      <c r="Y67" s="86"/>
      <c r="Z67" s="86"/>
      <c r="AA67" s="86"/>
      <c r="AB67" s="86"/>
      <c r="AC67" s="86"/>
      <c r="AD67" s="35"/>
      <c r="AE67" s="40"/>
      <c r="AF67" s="32"/>
      <c r="AG67" s="32"/>
      <c r="AH67" s="41"/>
      <c r="AI67" s="35"/>
    </row>
    <row r="68" spans="1:35" s="29" customFormat="1" ht="19.5" hidden="1" customHeight="1">
      <c r="A68" s="344"/>
      <c r="B68" s="42" t="s">
        <v>34</v>
      </c>
      <c r="C68" s="43"/>
      <c r="D68" s="49"/>
      <c r="E68" s="77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8">
        <f>SUM(E68:P68)</f>
        <v>0</v>
      </c>
      <c r="R68" s="49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48">
        <f>SUM(R68:AC68)</f>
        <v>0</v>
      </c>
      <c r="AE68" s="51">
        <v>0</v>
      </c>
      <c r="AF68" s="79">
        <v>22575.600000000002</v>
      </c>
      <c r="AG68" s="79">
        <v>11916.9</v>
      </c>
      <c r="AH68" s="45"/>
      <c r="AI68" s="52"/>
    </row>
    <row r="69" spans="1:35" s="29" customFormat="1" ht="19.5" hidden="1" customHeight="1">
      <c r="A69" s="344"/>
      <c r="B69" s="30"/>
      <c r="C69" s="31"/>
      <c r="D69" s="61"/>
      <c r="E69" s="89"/>
      <c r="F69" s="90"/>
      <c r="G69" s="90"/>
      <c r="H69" s="90"/>
      <c r="I69" s="90"/>
      <c r="J69" s="90"/>
      <c r="K69" s="90"/>
      <c r="L69" s="91"/>
      <c r="M69" s="90"/>
      <c r="N69" s="90"/>
      <c r="O69" s="90"/>
      <c r="P69" s="90"/>
      <c r="Q69" s="57"/>
      <c r="R69" s="61"/>
      <c r="S69" s="92"/>
      <c r="T69" s="92"/>
      <c r="U69" s="92"/>
      <c r="V69" s="92"/>
      <c r="W69" s="92"/>
      <c r="X69" s="92"/>
      <c r="Y69" s="94"/>
      <c r="Z69" s="92"/>
      <c r="AA69" s="92"/>
      <c r="AB69" s="92"/>
      <c r="AC69" s="92"/>
      <c r="AD69" s="57"/>
      <c r="AE69" s="95"/>
      <c r="AF69" s="61"/>
      <c r="AG69" s="61"/>
      <c r="AH69" s="61"/>
      <c r="AI69" s="57"/>
    </row>
    <row r="70" spans="1:35" s="71" customFormat="1" ht="19.5" hidden="1" customHeight="1">
      <c r="A70" s="345"/>
      <c r="B70" s="62" t="s">
        <v>38</v>
      </c>
      <c r="C70" s="93" t="s">
        <v>59</v>
      </c>
      <c r="D70" s="68" t="e">
        <v>#DIV/0!</v>
      </c>
      <c r="E70" s="65">
        <f>IFERROR(E68/E66,0)</f>
        <v>0</v>
      </c>
      <c r="F70" s="66">
        <f>IFERROR(F68/F66,0)</f>
        <v>0</v>
      </c>
      <c r="G70" s="66">
        <f t="shared" ref="G70:AD70" si="33">IFERROR(G68/G66,0)</f>
        <v>0</v>
      </c>
      <c r="H70" s="66">
        <f t="shared" si="33"/>
        <v>0</v>
      </c>
      <c r="I70" s="66">
        <f t="shared" si="33"/>
        <v>0</v>
      </c>
      <c r="J70" s="66">
        <f t="shared" si="33"/>
        <v>0</v>
      </c>
      <c r="K70" s="66">
        <f t="shared" si="33"/>
        <v>0</v>
      </c>
      <c r="L70" s="66">
        <f t="shared" si="33"/>
        <v>0</v>
      </c>
      <c r="M70" s="66">
        <f t="shared" si="33"/>
        <v>0</v>
      </c>
      <c r="N70" s="66">
        <f t="shared" si="33"/>
        <v>0</v>
      </c>
      <c r="O70" s="66">
        <f t="shared" si="33"/>
        <v>0</v>
      </c>
      <c r="P70" s="66">
        <f t="shared" si="33"/>
        <v>0</v>
      </c>
      <c r="Q70" s="67">
        <f t="shared" si="33"/>
        <v>0</v>
      </c>
      <c r="R70" s="68">
        <f t="shared" si="33"/>
        <v>0</v>
      </c>
      <c r="S70" s="69">
        <f t="shared" si="33"/>
        <v>0</v>
      </c>
      <c r="T70" s="69">
        <f t="shared" si="33"/>
        <v>0</v>
      </c>
      <c r="U70" s="69">
        <f t="shared" si="33"/>
        <v>0</v>
      </c>
      <c r="V70" s="69">
        <f t="shared" si="33"/>
        <v>0</v>
      </c>
      <c r="W70" s="69">
        <f t="shared" si="33"/>
        <v>0</v>
      </c>
      <c r="X70" s="69">
        <f t="shared" si="33"/>
        <v>0</v>
      </c>
      <c r="Y70" s="69">
        <f t="shared" si="33"/>
        <v>0</v>
      </c>
      <c r="Z70" s="69">
        <f t="shared" si="33"/>
        <v>0</v>
      </c>
      <c r="AA70" s="69">
        <f t="shared" si="33"/>
        <v>0</v>
      </c>
      <c r="AB70" s="69">
        <f t="shared" si="33"/>
        <v>0</v>
      </c>
      <c r="AC70" s="69">
        <f t="shared" si="33"/>
        <v>0</v>
      </c>
      <c r="AD70" s="67">
        <f t="shared" si="33"/>
        <v>0</v>
      </c>
      <c r="AE70" s="96" t="e">
        <f>AE68/AE66</f>
        <v>#DIV/0!</v>
      </c>
      <c r="AF70" s="68">
        <f>AF68/AF66</f>
        <v>0.90000000000000013</v>
      </c>
      <c r="AG70" s="68">
        <f>AG68/AG66</f>
        <v>0.9</v>
      </c>
      <c r="AH70" s="68" t="e">
        <f>AH68/AH66</f>
        <v>#DIV/0!</v>
      </c>
      <c r="AI70" s="67" t="e">
        <f>AI68/AI66</f>
        <v>#DIV/0!</v>
      </c>
    </row>
    <row r="71" spans="1:35" s="29" customFormat="1" ht="19.5" customHeight="1">
      <c r="A71" s="359" t="s">
        <v>61</v>
      </c>
      <c r="B71" s="20" t="s">
        <v>32</v>
      </c>
      <c r="C71" s="21"/>
      <c r="D71" s="22"/>
      <c r="E71" s="73"/>
      <c r="F71" s="74"/>
      <c r="G71" s="46"/>
      <c r="H71" s="46"/>
      <c r="I71" s="46"/>
      <c r="J71" s="46"/>
      <c r="K71" s="74"/>
      <c r="L71" s="74"/>
      <c r="M71" s="74">
        <v>13.75</v>
      </c>
      <c r="N71" s="74">
        <v>100</v>
      </c>
      <c r="O71" s="74">
        <v>102.5</v>
      </c>
      <c r="P71" s="74">
        <v>150</v>
      </c>
      <c r="Q71" s="25">
        <f>SUM(E71:P71)</f>
        <v>366.25</v>
      </c>
      <c r="R71" s="303"/>
      <c r="S71" s="314"/>
      <c r="T71" s="314"/>
      <c r="U71" s="314"/>
      <c r="V71" s="315"/>
      <c r="W71" s="315"/>
      <c r="X71" s="26"/>
      <c r="Y71" s="26"/>
      <c r="Z71" s="26"/>
      <c r="AA71" s="26"/>
      <c r="AB71" s="26">
        <v>13.75</v>
      </c>
      <c r="AC71" s="26">
        <v>100</v>
      </c>
      <c r="AD71" s="25">
        <f>SUM(R71:AC71)</f>
        <v>113.75</v>
      </c>
      <c r="AE71" s="27">
        <v>4819.3606554453854</v>
      </c>
      <c r="AF71" s="75">
        <v>12617.249999999996</v>
      </c>
      <c r="AG71" s="75">
        <v>15595.778689109224</v>
      </c>
      <c r="AH71" s="23">
        <v>12617.249999999995</v>
      </c>
      <c r="AI71" s="28">
        <v>4819.3606554453972</v>
      </c>
    </row>
    <row r="72" spans="1:35" s="29" customFormat="1" ht="19.5" customHeight="1">
      <c r="A72" s="344"/>
      <c r="B72" s="30"/>
      <c r="C72" s="31"/>
      <c r="D72" s="41"/>
      <c r="E72" s="83"/>
      <c r="F72" s="84"/>
      <c r="G72" s="84"/>
      <c r="H72" s="84"/>
      <c r="I72" s="84"/>
      <c r="J72" s="84"/>
      <c r="K72" s="84"/>
      <c r="L72" s="85"/>
      <c r="M72" s="84"/>
      <c r="N72" s="84"/>
      <c r="O72" s="84"/>
      <c r="P72" s="84"/>
      <c r="Q72" s="35"/>
      <c r="R72" s="82"/>
      <c r="S72" s="86"/>
      <c r="T72" s="87"/>
      <c r="U72" s="76"/>
      <c r="V72" s="86"/>
      <c r="W72" s="86"/>
      <c r="X72" s="86"/>
      <c r="Y72" s="86"/>
      <c r="Z72" s="86"/>
      <c r="AA72" s="86"/>
      <c r="AB72" s="86"/>
      <c r="AC72" s="86"/>
      <c r="AD72" s="35"/>
      <c r="AE72" s="40"/>
      <c r="AF72" s="32"/>
      <c r="AG72" s="32"/>
      <c r="AH72" s="41"/>
      <c r="AI72" s="35"/>
    </row>
    <row r="73" spans="1:35" s="29" customFormat="1" ht="19.5" customHeight="1">
      <c r="A73" s="344"/>
      <c r="B73" s="42" t="s">
        <v>34</v>
      </c>
      <c r="C73" s="43"/>
      <c r="D73" s="49"/>
      <c r="E73" s="77"/>
      <c r="F73" s="46"/>
      <c r="G73" s="46"/>
      <c r="H73" s="46"/>
      <c r="I73" s="46"/>
      <c r="J73" s="46"/>
      <c r="K73" s="46"/>
      <c r="L73" s="46"/>
      <c r="M73" s="46">
        <v>12.375</v>
      </c>
      <c r="N73" s="46">
        <v>90</v>
      </c>
      <c r="O73" s="46">
        <v>92.25</v>
      </c>
      <c r="P73" s="46">
        <v>135</v>
      </c>
      <c r="Q73" s="48">
        <f>SUM(E73:P73)</f>
        <v>329.625</v>
      </c>
      <c r="R73" s="302"/>
      <c r="S73" s="315"/>
      <c r="T73" s="315"/>
      <c r="U73" s="315"/>
      <c r="V73" s="315"/>
      <c r="W73" s="315"/>
      <c r="X73" s="50"/>
      <c r="Y73" s="50"/>
      <c r="Z73" s="50"/>
      <c r="AA73" s="50"/>
      <c r="AB73" s="50">
        <v>12.375</v>
      </c>
      <c r="AC73" s="50">
        <v>90</v>
      </c>
      <c r="AD73" s="48">
        <f>SUM(R73:AC73)</f>
        <v>102.375</v>
      </c>
      <c r="AE73" s="51">
        <v>4337.4245899008474</v>
      </c>
      <c r="AF73" s="79">
        <v>11355.524999999998</v>
      </c>
      <c r="AG73" s="79">
        <v>14036.200820198301</v>
      </c>
      <c r="AH73" s="45">
        <v>11355.524999999996</v>
      </c>
      <c r="AI73" s="52">
        <v>4337.4245899008574</v>
      </c>
    </row>
    <row r="74" spans="1:35" s="29" customFormat="1" ht="19.5" customHeight="1">
      <c r="A74" s="344"/>
      <c r="B74" s="30"/>
      <c r="C74" s="31"/>
      <c r="D74" s="61"/>
      <c r="E74" s="89"/>
      <c r="F74" s="90"/>
      <c r="G74" s="90"/>
      <c r="H74" s="90"/>
      <c r="I74" s="90"/>
      <c r="J74" s="90"/>
      <c r="K74" s="90"/>
      <c r="L74" s="91"/>
      <c r="M74" s="90"/>
      <c r="N74" s="90"/>
      <c r="O74" s="90"/>
      <c r="P74" s="90"/>
      <c r="Q74" s="57"/>
      <c r="R74" s="61"/>
      <c r="S74" s="92"/>
      <c r="T74" s="92"/>
      <c r="U74" s="92"/>
      <c r="V74" s="92"/>
      <c r="W74" s="92"/>
      <c r="X74" s="92"/>
      <c r="Y74" s="94"/>
      <c r="Z74" s="92"/>
      <c r="AA74" s="92"/>
      <c r="AB74" s="92"/>
      <c r="AC74" s="92"/>
      <c r="AD74" s="57"/>
      <c r="AE74" s="95"/>
      <c r="AF74" s="61"/>
      <c r="AG74" s="61"/>
      <c r="AH74" s="61"/>
      <c r="AI74" s="57"/>
    </row>
    <row r="75" spans="1:35" s="71" customFormat="1" ht="19.5" customHeight="1" thickBot="1">
      <c r="A75" s="345"/>
      <c r="B75" s="62" t="s">
        <v>38</v>
      </c>
      <c r="C75" s="93" t="s">
        <v>59</v>
      </c>
      <c r="D75" s="68" t="e">
        <v>#DIV/0!</v>
      </c>
      <c r="E75" s="65">
        <f>IFERROR(E73/E71,0)</f>
        <v>0</v>
      </c>
      <c r="F75" s="66">
        <f>IFERROR(F73/F71,0)</f>
        <v>0</v>
      </c>
      <c r="G75" s="66">
        <f t="shared" ref="G75:AD75" si="34">IFERROR(G73/G71,0)</f>
        <v>0</v>
      </c>
      <c r="H75" s="66">
        <f t="shared" si="34"/>
        <v>0</v>
      </c>
      <c r="I75" s="66">
        <f t="shared" si="34"/>
        <v>0</v>
      </c>
      <c r="J75" s="66">
        <f t="shared" si="34"/>
        <v>0</v>
      </c>
      <c r="K75" s="66">
        <f t="shared" si="34"/>
        <v>0</v>
      </c>
      <c r="L75" s="66">
        <f t="shared" si="34"/>
        <v>0</v>
      </c>
      <c r="M75" s="66">
        <f t="shared" si="34"/>
        <v>0.9</v>
      </c>
      <c r="N75" s="66">
        <f t="shared" si="34"/>
        <v>0.9</v>
      </c>
      <c r="O75" s="66">
        <f t="shared" si="34"/>
        <v>0.9</v>
      </c>
      <c r="P75" s="66">
        <f t="shared" si="34"/>
        <v>0.9</v>
      </c>
      <c r="Q75" s="67">
        <f t="shared" si="34"/>
        <v>0.9</v>
      </c>
      <c r="R75" s="68">
        <f t="shared" si="34"/>
        <v>0</v>
      </c>
      <c r="S75" s="69">
        <f t="shared" si="34"/>
        <v>0</v>
      </c>
      <c r="T75" s="69">
        <f t="shared" si="34"/>
        <v>0</v>
      </c>
      <c r="U75" s="69">
        <f t="shared" si="34"/>
        <v>0</v>
      </c>
      <c r="V75" s="69">
        <f t="shared" si="34"/>
        <v>0</v>
      </c>
      <c r="W75" s="69">
        <f t="shared" si="34"/>
        <v>0</v>
      </c>
      <c r="X75" s="69">
        <f t="shared" si="34"/>
        <v>0</v>
      </c>
      <c r="Y75" s="69">
        <f t="shared" si="34"/>
        <v>0</v>
      </c>
      <c r="Z75" s="69">
        <f t="shared" si="34"/>
        <v>0</v>
      </c>
      <c r="AA75" s="69">
        <f t="shared" si="34"/>
        <v>0</v>
      </c>
      <c r="AB75" s="69">
        <f t="shared" si="34"/>
        <v>0.9</v>
      </c>
      <c r="AC75" s="69">
        <f t="shared" si="34"/>
        <v>0.9</v>
      </c>
      <c r="AD75" s="67">
        <f t="shared" si="34"/>
        <v>0.9</v>
      </c>
      <c r="AE75" s="96">
        <f>AE73/AE71</f>
        <v>0.90000000000000013</v>
      </c>
      <c r="AF75" s="68">
        <f>AF73/AF71</f>
        <v>0.90000000000000013</v>
      </c>
      <c r="AG75" s="68">
        <f>AG73/AG71</f>
        <v>0.89999999999999991</v>
      </c>
      <c r="AH75" s="68">
        <f>AH73/AH71</f>
        <v>0.9</v>
      </c>
      <c r="AI75" s="67">
        <f>AI73/AI71</f>
        <v>0.9</v>
      </c>
    </row>
    <row r="76" spans="1:35" s="29" customFormat="1" ht="19.5" hidden="1" customHeight="1">
      <c r="A76" s="359" t="s">
        <v>62</v>
      </c>
      <c r="B76" s="20" t="s">
        <v>32</v>
      </c>
      <c r="C76" s="21"/>
      <c r="D76" s="22"/>
      <c r="E76" s="73"/>
      <c r="F76" s="74"/>
      <c r="G76" s="46"/>
      <c r="H76" s="46"/>
      <c r="I76" s="46"/>
      <c r="J76" s="46"/>
      <c r="K76" s="74"/>
      <c r="L76" s="74"/>
      <c r="M76" s="74"/>
      <c r="N76" s="74"/>
      <c r="O76" s="74"/>
      <c r="P76" s="74"/>
      <c r="Q76" s="25">
        <f>SUM(E76:P76)</f>
        <v>0</v>
      </c>
      <c r="R76" s="22"/>
      <c r="S76" s="26"/>
      <c r="T76" s="26"/>
      <c r="U76" s="26"/>
      <c r="V76" s="50"/>
      <c r="W76" s="50"/>
      <c r="X76" s="26"/>
      <c r="Y76" s="26"/>
      <c r="Z76" s="26"/>
      <c r="AA76" s="26"/>
      <c r="AB76" s="26"/>
      <c r="AC76" s="26"/>
      <c r="AD76" s="25">
        <f>SUM(R76:AC76)</f>
        <v>0</v>
      </c>
      <c r="AE76" s="27"/>
      <c r="AF76" s="75">
        <v>41674</v>
      </c>
      <c r="AG76" s="75">
        <v>13891</v>
      </c>
      <c r="AH76" s="23"/>
      <c r="AI76" s="28"/>
    </row>
    <row r="77" spans="1:35" s="29" customFormat="1" ht="19.5" hidden="1" customHeight="1">
      <c r="A77" s="344"/>
      <c r="B77" s="30"/>
      <c r="C77" s="31"/>
      <c r="D77" s="41"/>
      <c r="E77" s="83"/>
      <c r="F77" s="84"/>
      <c r="G77" s="84"/>
      <c r="H77" s="84"/>
      <c r="I77" s="84"/>
      <c r="J77" s="84"/>
      <c r="K77" s="84"/>
      <c r="L77" s="85"/>
      <c r="M77" s="84"/>
      <c r="N77" s="84"/>
      <c r="O77" s="84"/>
      <c r="P77" s="84"/>
      <c r="Q77" s="35"/>
      <c r="R77" s="82"/>
      <c r="S77" s="86"/>
      <c r="T77" s="87"/>
      <c r="U77" s="76"/>
      <c r="V77" s="86"/>
      <c r="W77" s="86"/>
      <c r="X77" s="86"/>
      <c r="Y77" s="86"/>
      <c r="Z77" s="86"/>
      <c r="AA77" s="86"/>
      <c r="AB77" s="86"/>
      <c r="AC77" s="86"/>
      <c r="AD77" s="35"/>
      <c r="AE77" s="40"/>
      <c r="AF77" s="32"/>
      <c r="AG77" s="32"/>
      <c r="AH77" s="41"/>
      <c r="AI77" s="35"/>
    </row>
    <row r="78" spans="1:35" s="29" customFormat="1" ht="19.5" hidden="1" customHeight="1">
      <c r="A78" s="344"/>
      <c r="B78" s="42" t="s">
        <v>34</v>
      </c>
      <c r="C78" s="43"/>
      <c r="D78" s="49"/>
      <c r="E78" s="77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8">
        <f>SUM(E78:P78)</f>
        <v>0</v>
      </c>
      <c r="R78" s="49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48">
        <f>SUM(R78:AC78)</f>
        <v>0</v>
      </c>
      <c r="AE78" s="51">
        <v>0</v>
      </c>
      <c r="AF78" s="79">
        <v>37506.6</v>
      </c>
      <c r="AG78" s="79">
        <v>12501.9</v>
      </c>
      <c r="AH78" s="45"/>
      <c r="AI78" s="52"/>
    </row>
    <row r="79" spans="1:35" s="29" customFormat="1" ht="19.5" hidden="1" customHeight="1">
      <c r="A79" s="344"/>
      <c r="B79" s="30"/>
      <c r="C79" s="31"/>
      <c r="D79" s="61"/>
      <c r="E79" s="89"/>
      <c r="F79" s="90"/>
      <c r="G79" s="90"/>
      <c r="H79" s="90"/>
      <c r="I79" s="90"/>
      <c r="J79" s="90"/>
      <c r="K79" s="90"/>
      <c r="L79" s="91"/>
      <c r="M79" s="90"/>
      <c r="N79" s="90"/>
      <c r="O79" s="90"/>
      <c r="P79" s="90"/>
      <c r="Q79" s="57"/>
      <c r="R79" s="61"/>
      <c r="S79" s="92"/>
      <c r="T79" s="92"/>
      <c r="U79" s="92"/>
      <c r="V79" s="92"/>
      <c r="W79" s="92"/>
      <c r="X79" s="92"/>
      <c r="Y79" s="94"/>
      <c r="Z79" s="92"/>
      <c r="AA79" s="92"/>
      <c r="AB79" s="92"/>
      <c r="AC79" s="92"/>
      <c r="AD79" s="57"/>
      <c r="AE79" s="95"/>
      <c r="AF79" s="61"/>
      <c r="AG79" s="61"/>
      <c r="AH79" s="61"/>
      <c r="AI79" s="57"/>
    </row>
    <row r="80" spans="1:35" s="71" customFormat="1" ht="19.5" hidden="1" customHeight="1">
      <c r="A80" s="345"/>
      <c r="B80" s="62" t="s">
        <v>38</v>
      </c>
      <c r="C80" s="93" t="s">
        <v>59</v>
      </c>
      <c r="D80" s="68" t="e">
        <v>#DIV/0!</v>
      </c>
      <c r="E80" s="65">
        <f>IFERROR(E78/E76,0)</f>
        <v>0</v>
      </c>
      <c r="F80" s="66">
        <f>IFERROR(F78/F76,0)</f>
        <v>0</v>
      </c>
      <c r="G80" s="66">
        <f t="shared" ref="G80:AD80" si="35">IFERROR(G78/G76,0)</f>
        <v>0</v>
      </c>
      <c r="H80" s="66">
        <f t="shared" si="35"/>
        <v>0</v>
      </c>
      <c r="I80" s="66">
        <f t="shared" si="35"/>
        <v>0</v>
      </c>
      <c r="J80" s="66">
        <f t="shared" si="35"/>
        <v>0</v>
      </c>
      <c r="K80" s="66">
        <f t="shared" si="35"/>
        <v>0</v>
      </c>
      <c r="L80" s="66">
        <f t="shared" si="35"/>
        <v>0</v>
      </c>
      <c r="M80" s="66">
        <f t="shared" si="35"/>
        <v>0</v>
      </c>
      <c r="N80" s="66">
        <f t="shared" si="35"/>
        <v>0</v>
      </c>
      <c r="O80" s="66">
        <f t="shared" si="35"/>
        <v>0</v>
      </c>
      <c r="P80" s="66">
        <f t="shared" si="35"/>
        <v>0</v>
      </c>
      <c r="Q80" s="67">
        <f t="shared" si="35"/>
        <v>0</v>
      </c>
      <c r="R80" s="68">
        <f t="shared" si="35"/>
        <v>0</v>
      </c>
      <c r="S80" s="69">
        <f t="shared" si="35"/>
        <v>0</v>
      </c>
      <c r="T80" s="69">
        <f t="shared" si="35"/>
        <v>0</v>
      </c>
      <c r="U80" s="69">
        <f t="shared" si="35"/>
        <v>0</v>
      </c>
      <c r="V80" s="69">
        <f t="shared" si="35"/>
        <v>0</v>
      </c>
      <c r="W80" s="69">
        <f t="shared" si="35"/>
        <v>0</v>
      </c>
      <c r="X80" s="69">
        <f t="shared" si="35"/>
        <v>0</v>
      </c>
      <c r="Y80" s="69">
        <f t="shared" si="35"/>
        <v>0</v>
      </c>
      <c r="Z80" s="69">
        <f t="shared" si="35"/>
        <v>0</v>
      </c>
      <c r="AA80" s="69">
        <f t="shared" si="35"/>
        <v>0</v>
      </c>
      <c r="AB80" s="69">
        <f t="shared" si="35"/>
        <v>0</v>
      </c>
      <c r="AC80" s="69">
        <f t="shared" si="35"/>
        <v>0</v>
      </c>
      <c r="AD80" s="67">
        <f t="shared" si="35"/>
        <v>0</v>
      </c>
      <c r="AE80" s="96" t="e">
        <f>AE78/AE76</f>
        <v>#DIV/0!</v>
      </c>
      <c r="AF80" s="68">
        <f>AF78/AF76</f>
        <v>0.89999999999999991</v>
      </c>
      <c r="AG80" s="68">
        <f>AG78/AG76</f>
        <v>0.9</v>
      </c>
      <c r="AH80" s="68" t="e">
        <f>AH78/AH76</f>
        <v>#DIV/0!</v>
      </c>
      <c r="AI80" s="67" t="e">
        <f>AI78/AI76</f>
        <v>#DIV/0!</v>
      </c>
    </row>
    <row r="81" spans="1:35" s="29" customFormat="1" ht="19.5" hidden="1" customHeight="1">
      <c r="A81" s="359" t="s">
        <v>63</v>
      </c>
      <c r="B81" s="20" t="s">
        <v>32</v>
      </c>
      <c r="C81" s="21"/>
      <c r="D81" s="22"/>
      <c r="E81" s="73"/>
      <c r="F81" s="74"/>
      <c r="G81" s="46"/>
      <c r="H81" s="46"/>
      <c r="I81" s="46"/>
      <c r="J81" s="46"/>
      <c r="K81" s="74"/>
      <c r="L81" s="74"/>
      <c r="M81" s="74"/>
      <c r="N81" s="74"/>
      <c r="O81" s="74"/>
      <c r="P81" s="74"/>
      <c r="Q81" s="25">
        <f>SUM(E81:P81)</f>
        <v>0</v>
      </c>
      <c r="R81" s="22"/>
      <c r="S81" s="26"/>
      <c r="T81" s="26"/>
      <c r="U81" s="26"/>
      <c r="V81" s="50"/>
      <c r="W81" s="50"/>
      <c r="X81" s="26"/>
      <c r="Y81" s="26"/>
      <c r="Z81" s="26"/>
      <c r="AA81" s="26"/>
      <c r="AB81" s="26"/>
      <c r="AC81" s="26"/>
      <c r="AD81" s="25">
        <f>SUM(R81:AC81)</f>
        <v>0</v>
      </c>
      <c r="AE81" s="27"/>
      <c r="AF81" s="75"/>
      <c r="AG81" s="75">
        <v>20904</v>
      </c>
      <c r="AH81" s="23">
        <v>62713</v>
      </c>
      <c r="AI81" s="28">
        <v>13685</v>
      </c>
    </row>
    <row r="82" spans="1:35" s="29" customFormat="1" ht="19.5" hidden="1" customHeight="1">
      <c r="A82" s="344"/>
      <c r="B82" s="30"/>
      <c r="C82" s="31"/>
      <c r="D82" s="41"/>
      <c r="E82" s="83"/>
      <c r="F82" s="84"/>
      <c r="G82" s="84"/>
      <c r="H82" s="84"/>
      <c r="I82" s="84"/>
      <c r="J82" s="84"/>
      <c r="K82" s="84"/>
      <c r="L82" s="85"/>
      <c r="M82" s="84"/>
      <c r="N82" s="84"/>
      <c r="O82" s="84"/>
      <c r="P82" s="84"/>
      <c r="Q82" s="35"/>
      <c r="R82" s="82"/>
      <c r="S82" s="86"/>
      <c r="T82" s="87"/>
      <c r="U82" s="76"/>
      <c r="V82" s="86"/>
      <c r="W82" s="86"/>
      <c r="X82" s="86"/>
      <c r="Y82" s="86"/>
      <c r="Z82" s="86"/>
      <c r="AA82" s="86"/>
      <c r="AB82" s="86"/>
      <c r="AC82" s="86"/>
      <c r="AD82" s="35"/>
      <c r="AE82" s="40"/>
      <c r="AF82" s="32"/>
      <c r="AG82" s="32"/>
      <c r="AH82" s="41"/>
      <c r="AI82" s="35"/>
    </row>
    <row r="83" spans="1:35" s="29" customFormat="1" ht="19.5" hidden="1" customHeight="1">
      <c r="A83" s="344"/>
      <c r="B83" s="42" t="s">
        <v>34</v>
      </c>
      <c r="C83" s="43"/>
      <c r="D83" s="49"/>
      <c r="E83" s="77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8">
        <f>SUM(E83:P83)</f>
        <v>0</v>
      </c>
      <c r="R83" s="49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48">
        <f>SUM(R83:AC83)</f>
        <v>0</v>
      </c>
      <c r="AE83" s="51"/>
      <c r="AF83" s="79"/>
      <c r="AG83" s="79">
        <v>18813.600000000002</v>
      </c>
      <c r="AH83" s="45">
        <v>56441.700000000004</v>
      </c>
      <c r="AI83" s="52">
        <v>12316.5</v>
      </c>
    </row>
    <row r="84" spans="1:35" s="29" customFormat="1" ht="19.5" hidden="1" customHeight="1">
      <c r="A84" s="344"/>
      <c r="B84" s="30"/>
      <c r="C84" s="31"/>
      <c r="D84" s="61"/>
      <c r="E84" s="89"/>
      <c r="F84" s="90"/>
      <c r="G84" s="90"/>
      <c r="H84" s="90"/>
      <c r="I84" s="90"/>
      <c r="J84" s="90"/>
      <c r="K84" s="90"/>
      <c r="L84" s="91"/>
      <c r="M84" s="90"/>
      <c r="N84" s="90"/>
      <c r="O84" s="90"/>
      <c r="P84" s="90"/>
      <c r="Q84" s="57"/>
      <c r="R84" s="61"/>
      <c r="S84" s="92"/>
      <c r="T84" s="92"/>
      <c r="U84" s="92"/>
      <c r="V84" s="92"/>
      <c r="W84" s="92"/>
      <c r="X84" s="92"/>
      <c r="Y84" s="94"/>
      <c r="Z84" s="92"/>
      <c r="AA84" s="92"/>
      <c r="AB84" s="92"/>
      <c r="AC84" s="92"/>
      <c r="AD84" s="57"/>
      <c r="AE84" s="95"/>
      <c r="AF84" s="61"/>
      <c r="AG84" s="61"/>
      <c r="AH84" s="61"/>
      <c r="AI84" s="57"/>
    </row>
    <row r="85" spans="1:35" s="71" customFormat="1" ht="19.5" hidden="1" customHeight="1">
      <c r="A85" s="345"/>
      <c r="B85" s="62" t="s">
        <v>38</v>
      </c>
      <c r="C85" s="93" t="s">
        <v>59</v>
      </c>
      <c r="D85" s="68" t="e">
        <v>#DIV/0!</v>
      </c>
      <c r="E85" s="65">
        <f>IFERROR(E83/E81,0)</f>
        <v>0</v>
      </c>
      <c r="F85" s="66">
        <f>IFERROR(F83/F81,0)</f>
        <v>0</v>
      </c>
      <c r="G85" s="66">
        <f t="shared" ref="G85:AD85" si="36">IFERROR(G83/G81,0)</f>
        <v>0</v>
      </c>
      <c r="H85" s="66">
        <f t="shared" si="36"/>
        <v>0</v>
      </c>
      <c r="I85" s="66">
        <f t="shared" si="36"/>
        <v>0</v>
      </c>
      <c r="J85" s="66">
        <f t="shared" si="36"/>
        <v>0</v>
      </c>
      <c r="K85" s="66">
        <f t="shared" si="36"/>
        <v>0</v>
      </c>
      <c r="L85" s="66">
        <f t="shared" si="36"/>
        <v>0</v>
      </c>
      <c r="M85" s="66">
        <f t="shared" si="36"/>
        <v>0</v>
      </c>
      <c r="N85" s="66">
        <f t="shared" si="36"/>
        <v>0</v>
      </c>
      <c r="O85" s="66">
        <f t="shared" si="36"/>
        <v>0</v>
      </c>
      <c r="P85" s="66">
        <f t="shared" si="36"/>
        <v>0</v>
      </c>
      <c r="Q85" s="67">
        <f t="shared" si="36"/>
        <v>0</v>
      </c>
      <c r="R85" s="68">
        <f t="shared" si="36"/>
        <v>0</v>
      </c>
      <c r="S85" s="69">
        <f t="shared" si="36"/>
        <v>0</v>
      </c>
      <c r="T85" s="69">
        <f t="shared" si="36"/>
        <v>0</v>
      </c>
      <c r="U85" s="69">
        <f t="shared" si="36"/>
        <v>0</v>
      </c>
      <c r="V85" s="69">
        <f t="shared" si="36"/>
        <v>0</v>
      </c>
      <c r="W85" s="69">
        <f t="shared" si="36"/>
        <v>0</v>
      </c>
      <c r="X85" s="69">
        <f t="shared" si="36"/>
        <v>0</v>
      </c>
      <c r="Y85" s="69">
        <f t="shared" si="36"/>
        <v>0</v>
      </c>
      <c r="Z85" s="69">
        <f t="shared" si="36"/>
        <v>0</v>
      </c>
      <c r="AA85" s="69">
        <f t="shared" si="36"/>
        <v>0</v>
      </c>
      <c r="AB85" s="69">
        <f t="shared" si="36"/>
        <v>0</v>
      </c>
      <c r="AC85" s="69">
        <f t="shared" si="36"/>
        <v>0</v>
      </c>
      <c r="AD85" s="67">
        <f t="shared" si="36"/>
        <v>0</v>
      </c>
      <c r="AE85" s="96" t="e">
        <f>AE83/AE81</f>
        <v>#DIV/0!</v>
      </c>
      <c r="AF85" s="68" t="e">
        <f>AF83/AF81</f>
        <v>#DIV/0!</v>
      </c>
      <c r="AG85" s="68">
        <f>AG83/AG81</f>
        <v>0.90000000000000013</v>
      </c>
      <c r="AH85" s="68">
        <f>AH83/AH81</f>
        <v>0.9</v>
      </c>
      <c r="AI85" s="67">
        <f>AI83/AI81</f>
        <v>0.9</v>
      </c>
    </row>
    <row r="86" spans="1:35" s="29" customFormat="1" ht="19.5" hidden="1" customHeight="1">
      <c r="A86" s="359" t="s">
        <v>64</v>
      </c>
      <c r="B86" s="20" t="s">
        <v>32</v>
      </c>
      <c r="C86" s="21"/>
      <c r="D86" s="22"/>
      <c r="E86" s="73"/>
      <c r="F86" s="74"/>
      <c r="G86" s="46"/>
      <c r="H86" s="46"/>
      <c r="I86" s="46"/>
      <c r="J86" s="46"/>
      <c r="K86" s="74"/>
      <c r="L86" s="74"/>
      <c r="M86" s="74"/>
      <c r="N86" s="74"/>
      <c r="O86" s="74"/>
      <c r="P86" s="74"/>
      <c r="Q86" s="25">
        <f>SUM(E86:P86)</f>
        <v>0</v>
      </c>
      <c r="R86" s="22"/>
      <c r="S86" s="26"/>
      <c r="T86" s="26"/>
      <c r="U86" s="26"/>
      <c r="V86" s="50"/>
      <c r="W86" s="50"/>
      <c r="X86" s="26"/>
      <c r="Y86" s="26"/>
      <c r="Z86" s="26"/>
      <c r="AA86" s="26"/>
      <c r="AB86" s="26"/>
      <c r="AC86" s="26"/>
      <c r="AD86" s="25">
        <f>SUM(R86:AC86)</f>
        <v>0</v>
      </c>
      <c r="AE86" s="27">
        <v>323.06300349912857</v>
      </c>
      <c r="AF86" s="75">
        <v>14824.585631209742</v>
      </c>
      <c r="AG86" s="75">
        <v>31564.571266849969</v>
      </c>
      <c r="AH86" s="23">
        <v>36247.963518871882</v>
      </c>
      <c r="AI86" s="28">
        <v>27085.865729650886</v>
      </c>
    </row>
    <row r="87" spans="1:35" s="29" customFormat="1" ht="19.5" hidden="1" customHeight="1">
      <c r="A87" s="344"/>
      <c r="B87" s="30"/>
      <c r="C87" s="31"/>
      <c r="D87" s="41"/>
      <c r="E87" s="83"/>
      <c r="F87" s="84"/>
      <c r="G87" s="84"/>
      <c r="H87" s="84"/>
      <c r="I87" s="84"/>
      <c r="J87" s="84"/>
      <c r="K87" s="84"/>
      <c r="L87" s="85"/>
      <c r="M87" s="84"/>
      <c r="N87" s="84"/>
      <c r="O87" s="84"/>
      <c r="P87" s="84"/>
      <c r="Q87" s="35"/>
      <c r="R87" s="82"/>
      <c r="S87" s="86"/>
      <c r="T87" s="87"/>
      <c r="U87" s="76"/>
      <c r="V87" s="86"/>
      <c r="W87" s="86"/>
      <c r="X87" s="86"/>
      <c r="Y87" s="86"/>
      <c r="Z87" s="86"/>
      <c r="AA87" s="86"/>
      <c r="AB87" s="86"/>
      <c r="AC87" s="86"/>
      <c r="AD87" s="35"/>
      <c r="AE87" s="40"/>
      <c r="AF87" s="32"/>
      <c r="AG87" s="32"/>
      <c r="AH87" s="41"/>
      <c r="AI87" s="35"/>
    </row>
    <row r="88" spans="1:35" s="29" customFormat="1" ht="19.5" hidden="1" customHeight="1">
      <c r="A88" s="344"/>
      <c r="B88" s="42" t="s">
        <v>34</v>
      </c>
      <c r="C88" s="43"/>
      <c r="D88" s="49"/>
      <c r="E88" s="77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8">
        <f>SUM(E88:P88)</f>
        <v>0</v>
      </c>
      <c r="R88" s="49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48">
        <f>SUM(R88:AC88)</f>
        <v>0</v>
      </c>
      <c r="AE88" s="51">
        <v>290.7567031492157</v>
      </c>
      <c r="AF88" s="79">
        <v>13342.127068088768</v>
      </c>
      <c r="AG88" s="79">
        <v>28408.114140164973</v>
      </c>
      <c r="AH88" s="45">
        <v>32623.167166984695</v>
      </c>
      <c r="AI88" s="52">
        <v>24377.2791566858</v>
      </c>
    </row>
    <row r="89" spans="1:35" s="29" customFormat="1" ht="19.5" hidden="1" customHeight="1">
      <c r="A89" s="344"/>
      <c r="B89" s="30"/>
      <c r="C89" s="31"/>
      <c r="D89" s="61"/>
      <c r="E89" s="89"/>
      <c r="F89" s="90"/>
      <c r="G89" s="90"/>
      <c r="H89" s="90"/>
      <c r="I89" s="90"/>
      <c r="J89" s="90"/>
      <c r="K89" s="90"/>
      <c r="L89" s="91"/>
      <c r="M89" s="90"/>
      <c r="N89" s="90"/>
      <c r="O89" s="90"/>
      <c r="P89" s="90"/>
      <c r="Q89" s="57"/>
      <c r="R89" s="61"/>
      <c r="S89" s="92"/>
      <c r="T89" s="92"/>
      <c r="U89" s="92"/>
      <c r="V89" s="92"/>
      <c r="W89" s="92"/>
      <c r="X89" s="92"/>
      <c r="Y89" s="94"/>
      <c r="Z89" s="92"/>
      <c r="AA89" s="92"/>
      <c r="AB89" s="92"/>
      <c r="AC89" s="92"/>
      <c r="AD89" s="57"/>
      <c r="AE89" s="95"/>
      <c r="AF89" s="61"/>
      <c r="AG89" s="61"/>
      <c r="AH89" s="61"/>
      <c r="AI89" s="57"/>
    </row>
    <row r="90" spans="1:35" s="71" customFormat="1" ht="19.5" hidden="1" customHeight="1">
      <c r="A90" s="345"/>
      <c r="B90" s="62" t="s">
        <v>38</v>
      </c>
      <c r="C90" s="93" t="s">
        <v>59</v>
      </c>
      <c r="D90" s="68" t="e">
        <v>#DIV/0!</v>
      </c>
      <c r="E90" s="65">
        <f>IFERROR(E88/E86,0)</f>
        <v>0</v>
      </c>
      <c r="F90" s="66">
        <f>IFERROR(F88/F86,0)</f>
        <v>0</v>
      </c>
      <c r="G90" s="66">
        <f t="shared" ref="G90:AD90" si="37">IFERROR(G88/G86,0)</f>
        <v>0</v>
      </c>
      <c r="H90" s="66">
        <f t="shared" si="37"/>
        <v>0</v>
      </c>
      <c r="I90" s="66">
        <f t="shared" si="37"/>
        <v>0</v>
      </c>
      <c r="J90" s="66">
        <f t="shared" si="37"/>
        <v>0</v>
      </c>
      <c r="K90" s="66">
        <f t="shared" si="37"/>
        <v>0</v>
      </c>
      <c r="L90" s="66">
        <f t="shared" si="37"/>
        <v>0</v>
      </c>
      <c r="M90" s="66">
        <f t="shared" si="37"/>
        <v>0</v>
      </c>
      <c r="N90" s="66">
        <f t="shared" si="37"/>
        <v>0</v>
      </c>
      <c r="O90" s="66">
        <f t="shared" si="37"/>
        <v>0</v>
      </c>
      <c r="P90" s="66">
        <f t="shared" si="37"/>
        <v>0</v>
      </c>
      <c r="Q90" s="67">
        <f t="shared" si="37"/>
        <v>0</v>
      </c>
      <c r="R90" s="68">
        <f t="shared" si="37"/>
        <v>0</v>
      </c>
      <c r="S90" s="69">
        <f t="shared" si="37"/>
        <v>0</v>
      </c>
      <c r="T90" s="69">
        <f t="shared" si="37"/>
        <v>0</v>
      </c>
      <c r="U90" s="69">
        <f t="shared" si="37"/>
        <v>0</v>
      </c>
      <c r="V90" s="69">
        <f t="shared" si="37"/>
        <v>0</v>
      </c>
      <c r="W90" s="69">
        <f t="shared" si="37"/>
        <v>0</v>
      </c>
      <c r="X90" s="69">
        <f t="shared" si="37"/>
        <v>0</v>
      </c>
      <c r="Y90" s="69">
        <f t="shared" si="37"/>
        <v>0</v>
      </c>
      <c r="Z90" s="69">
        <f t="shared" si="37"/>
        <v>0</v>
      </c>
      <c r="AA90" s="69">
        <f t="shared" si="37"/>
        <v>0</v>
      </c>
      <c r="AB90" s="69">
        <f t="shared" si="37"/>
        <v>0</v>
      </c>
      <c r="AC90" s="69">
        <f t="shared" si="37"/>
        <v>0</v>
      </c>
      <c r="AD90" s="67">
        <f t="shared" si="37"/>
        <v>0</v>
      </c>
      <c r="AE90" s="96">
        <f>AE88/AE86</f>
        <v>0.89999999999999991</v>
      </c>
      <c r="AF90" s="68">
        <f>AF88/AF86</f>
        <v>0.9</v>
      </c>
      <c r="AG90" s="68">
        <f>AG88/AG86</f>
        <v>0.9</v>
      </c>
      <c r="AH90" s="68">
        <f>AH88/AH86</f>
        <v>0.9</v>
      </c>
      <c r="AI90" s="67">
        <f>AI88/AI86</f>
        <v>0.9</v>
      </c>
    </row>
    <row r="91" spans="1:35" s="29" customFormat="1" ht="19.5" hidden="1" customHeight="1">
      <c r="A91" s="359" t="s">
        <v>65</v>
      </c>
      <c r="B91" s="20" t="s">
        <v>32</v>
      </c>
      <c r="C91" s="21"/>
      <c r="D91" s="22"/>
      <c r="E91" s="73"/>
      <c r="F91" s="74"/>
      <c r="G91" s="46"/>
      <c r="H91" s="46"/>
      <c r="I91" s="46"/>
      <c r="J91" s="46"/>
      <c r="K91" s="74"/>
      <c r="L91" s="74"/>
      <c r="M91" s="74"/>
      <c r="N91" s="74"/>
      <c r="O91" s="74"/>
      <c r="P91" s="74"/>
      <c r="Q91" s="25">
        <f>SUM(E91:P91)</f>
        <v>0</v>
      </c>
      <c r="R91" s="22"/>
      <c r="S91" s="26"/>
      <c r="T91" s="26"/>
      <c r="U91" s="26"/>
      <c r="V91" s="50"/>
      <c r="W91" s="50"/>
      <c r="X91" s="26"/>
      <c r="Y91" s="26"/>
      <c r="Z91" s="26"/>
      <c r="AA91" s="26"/>
      <c r="AB91" s="26"/>
      <c r="AC91" s="26"/>
      <c r="AD91" s="25">
        <f>SUM(R91:AC91)</f>
        <v>0</v>
      </c>
      <c r="AE91" s="27"/>
      <c r="AF91" s="75">
        <v>2020.7495090161769</v>
      </c>
      <c r="AG91" s="75">
        <v>57154.984668792982</v>
      </c>
      <c r="AH91" s="23">
        <v>7839.2658221908505</v>
      </c>
      <c r="AI91" s="28"/>
    </row>
    <row r="92" spans="1:35" s="29" customFormat="1" ht="19.5" hidden="1" customHeight="1">
      <c r="A92" s="344"/>
      <c r="B92" s="30"/>
      <c r="C92" s="31"/>
      <c r="D92" s="41"/>
      <c r="E92" s="83"/>
      <c r="F92" s="84"/>
      <c r="G92" s="84"/>
      <c r="H92" s="84"/>
      <c r="I92" s="84"/>
      <c r="J92" s="84"/>
      <c r="K92" s="84"/>
      <c r="L92" s="85"/>
      <c r="M92" s="84"/>
      <c r="N92" s="84"/>
      <c r="O92" s="84"/>
      <c r="P92" s="84"/>
      <c r="Q92" s="35"/>
      <c r="R92" s="82"/>
      <c r="S92" s="86"/>
      <c r="T92" s="87"/>
      <c r="U92" s="76"/>
      <c r="V92" s="86"/>
      <c r="W92" s="86"/>
      <c r="X92" s="86"/>
      <c r="Y92" s="86"/>
      <c r="Z92" s="86"/>
      <c r="AA92" s="86"/>
      <c r="AB92" s="86"/>
      <c r="AC92" s="86"/>
      <c r="AD92" s="35"/>
      <c r="AE92" s="40"/>
      <c r="AF92" s="32"/>
      <c r="AG92" s="32"/>
      <c r="AH92" s="41"/>
      <c r="AI92" s="35"/>
    </row>
    <row r="93" spans="1:35" s="29" customFormat="1" ht="19.5" hidden="1" customHeight="1">
      <c r="A93" s="344"/>
      <c r="B93" s="42" t="s">
        <v>34</v>
      </c>
      <c r="C93" s="43"/>
      <c r="D93" s="49"/>
      <c r="E93" s="77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8">
        <f>SUM(E93:P93)</f>
        <v>0</v>
      </c>
      <c r="R93" s="49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48">
        <f>SUM(R93:AC93)</f>
        <v>0</v>
      </c>
      <c r="AE93" s="51"/>
      <c r="AF93" s="79">
        <v>1818.6745581145592</v>
      </c>
      <c r="AG93" s="79">
        <v>51439.486201913685</v>
      </c>
      <c r="AH93" s="45">
        <v>7055.3392399717659</v>
      </c>
      <c r="AI93" s="52"/>
    </row>
    <row r="94" spans="1:35" s="29" customFormat="1" ht="19.5" hidden="1" customHeight="1">
      <c r="A94" s="344"/>
      <c r="B94" s="30"/>
      <c r="C94" s="31"/>
      <c r="D94" s="61"/>
      <c r="E94" s="89"/>
      <c r="F94" s="90"/>
      <c r="G94" s="90"/>
      <c r="H94" s="90"/>
      <c r="I94" s="90"/>
      <c r="J94" s="90"/>
      <c r="K94" s="90"/>
      <c r="L94" s="91"/>
      <c r="M94" s="90"/>
      <c r="N94" s="90"/>
      <c r="O94" s="90"/>
      <c r="P94" s="90"/>
      <c r="Q94" s="57"/>
      <c r="R94" s="61"/>
      <c r="S94" s="92"/>
      <c r="T94" s="92"/>
      <c r="U94" s="92"/>
      <c r="V94" s="92"/>
      <c r="W94" s="92"/>
      <c r="X94" s="92"/>
      <c r="Y94" s="94"/>
      <c r="Z94" s="92"/>
      <c r="AA94" s="92"/>
      <c r="AB94" s="92"/>
      <c r="AC94" s="92"/>
      <c r="AD94" s="57"/>
      <c r="AE94" s="95"/>
      <c r="AF94" s="61"/>
      <c r="AG94" s="61"/>
      <c r="AH94" s="61"/>
      <c r="AI94" s="57"/>
    </row>
    <row r="95" spans="1:35" s="71" customFormat="1" ht="19.5" hidden="1" customHeight="1">
      <c r="A95" s="345"/>
      <c r="B95" s="62" t="s">
        <v>38</v>
      </c>
      <c r="C95" s="93" t="s">
        <v>59</v>
      </c>
      <c r="D95" s="68" t="e">
        <v>#DIV/0!</v>
      </c>
      <c r="E95" s="65">
        <f>IFERROR(E93/E91,0)</f>
        <v>0</v>
      </c>
      <c r="F95" s="66">
        <f>IFERROR(F93/F91,0)</f>
        <v>0</v>
      </c>
      <c r="G95" s="66">
        <f t="shared" ref="G95:AD95" si="38">IFERROR(G93/G91,0)</f>
        <v>0</v>
      </c>
      <c r="H95" s="66">
        <f t="shared" si="38"/>
        <v>0</v>
      </c>
      <c r="I95" s="66">
        <f t="shared" si="38"/>
        <v>0</v>
      </c>
      <c r="J95" s="66">
        <f t="shared" si="38"/>
        <v>0</v>
      </c>
      <c r="K95" s="66">
        <f t="shared" si="38"/>
        <v>0</v>
      </c>
      <c r="L95" s="66">
        <f t="shared" si="38"/>
        <v>0</v>
      </c>
      <c r="M95" s="66">
        <f t="shared" si="38"/>
        <v>0</v>
      </c>
      <c r="N95" s="66">
        <f t="shared" si="38"/>
        <v>0</v>
      </c>
      <c r="O95" s="66">
        <f t="shared" si="38"/>
        <v>0</v>
      </c>
      <c r="P95" s="66">
        <f t="shared" si="38"/>
        <v>0</v>
      </c>
      <c r="Q95" s="67">
        <f t="shared" si="38"/>
        <v>0</v>
      </c>
      <c r="R95" s="68">
        <f t="shared" si="38"/>
        <v>0</v>
      </c>
      <c r="S95" s="69">
        <f t="shared" si="38"/>
        <v>0</v>
      </c>
      <c r="T95" s="69">
        <f t="shared" si="38"/>
        <v>0</v>
      </c>
      <c r="U95" s="69">
        <f t="shared" si="38"/>
        <v>0</v>
      </c>
      <c r="V95" s="69">
        <f t="shared" si="38"/>
        <v>0</v>
      </c>
      <c r="W95" s="69">
        <f t="shared" si="38"/>
        <v>0</v>
      </c>
      <c r="X95" s="69">
        <f t="shared" si="38"/>
        <v>0</v>
      </c>
      <c r="Y95" s="69">
        <f t="shared" si="38"/>
        <v>0</v>
      </c>
      <c r="Z95" s="69">
        <f t="shared" si="38"/>
        <v>0</v>
      </c>
      <c r="AA95" s="69">
        <f t="shared" si="38"/>
        <v>0</v>
      </c>
      <c r="AB95" s="69">
        <f t="shared" si="38"/>
        <v>0</v>
      </c>
      <c r="AC95" s="69">
        <f t="shared" si="38"/>
        <v>0</v>
      </c>
      <c r="AD95" s="67">
        <f t="shared" si="38"/>
        <v>0</v>
      </c>
      <c r="AE95" s="96" t="e">
        <f>AE93/AE91</f>
        <v>#DIV/0!</v>
      </c>
      <c r="AF95" s="68">
        <f>AF93/AF91</f>
        <v>0.9</v>
      </c>
      <c r="AG95" s="68">
        <f>AG93/AG91</f>
        <v>0.9</v>
      </c>
      <c r="AH95" s="68">
        <f>AH93/AH91</f>
        <v>0.9</v>
      </c>
      <c r="AI95" s="67" t="e">
        <f>AI93/AI91</f>
        <v>#DIV/0!</v>
      </c>
    </row>
    <row r="96" spans="1:35" s="29" customFormat="1" ht="19.5" hidden="1" customHeight="1">
      <c r="A96" s="359" t="s">
        <v>66</v>
      </c>
      <c r="B96" s="20" t="s">
        <v>32</v>
      </c>
      <c r="C96" s="21"/>
      <c r="D96" s="22"/>
      <c r="E96" s="73"/>
      <c r="F96" s="74"/>
      <c r="G96" s="46"/>
      <c r="H96" s="46"/>
      <c r="I96" s="46"/>
      <c r="J96" s="46"/>
      <c r="K96" s="74"/>
      <c r="L96" s="74"/>
      <c r="M96" s="74"/>
      <c r="N96" s="74"/>
      <c r="O96" s="74"/>
      <c r="P96" s="74"/>
      <c r="Q96" s="25">
        <f>SUM(E96:P96)</f>
        <v>0</v>
      </c>
      <c r="R96" s="22"/>
      <c r="S96" s="26"/>
      <c r="T96" s="26"/>
      <c r="U96" s="26"/>
      <c r="V96" s="50"/>
      <c r="W96" s="50"/>
      <c r="X96" s="26"/>
      <c r="Y96" s="26"/>
      <c r="Z96" s="26"/>
      <c r="AA96" s="26"/>
      <c r="AB96" s="26"/>
      <c r="AC96" s="26"/>
      <c r="AD96" s="25">
        <f>SUM(R96:AC96)</f>
        <v>0</v>
      </c>
      <c r="AE96" s="27"/>
      <c r="AF96" s="75"/>
      <c r="AG96" s="75"/>
      <c r="AH96" s="23">
        <v>7621.8407721183048</v>
      </c>
      <c r="AI96" s="28">
        <v>34728.002253903185</v>
      </c>
    </row>
    <row r="97" spans="1:35" s="29" customFormat="1" ht="19.5" hidden="1" customHeight="1">
      <c r="A97" s="344"/>
      <c r="B97" s="30"/>
      <c r="C97" s="31"/>
      <c r="D97" s="41"/>
      <c r="E97" s="83"/>
      <c r="F97" s="84"/>
      <c r="G97" s="84"/>
      <c r="H97" s="84"/>
      <c r="I97" s="84"/>
      <c r="J97" s="84"/>
      <c r="K97" s="84"/>
      <c r="L97" s="85"/>
      <c r="M97" s="84"/>
      <c r="N97" s="84"/>
      <c r="O97" s="84"/>
      <c r="P97" s="84"/>
      <c r="Q97" s="35"/>
      <c r="R97" s="82"/>
      <c r="S97" s="86"/>
      <c r="T97" s="87"/>
      <c r="U97" s="76"/>
      <c r="V97" s="86"/>
      <c r="W97" s="86"/>
      <c r="X97" s="86"/>
      <c r="Y97" s="86"/>
      <c r="Z97" s="86"/>
      <c r="AA97" s="86"/>
      <c r="AB97" s="86"/>
      <c r="AC97" s="86"/>
      <c r="AD97" s="35"/>
      <c r="AE97" s="40"/>
      <c r="AF97" s="32"/>
      <c r="AG97" s="32"/>
      <c r="AH97" s="41"/>
      <c r="AI97" s="35"/>
    </row>
    <row r="98" spans="1:35" s="29" customFormat="1" ht="19.5" hidden="1" customHeight="1">
      <c r="A98" s="344"/>
      <c r="B98" s="42" t="s">
        <v>34</v>
      </c>
      <c r="C98" s="43"/>
      <c r="D98" s="49"/>
      <c r="E98" s="77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8">
        <f>SUM(E98:P98)</f>
        <v>0</v>
      </c>
      <c r="R98" s="49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48">
        <f>SUM(R98:AC98)</f>
        <v>0</v>
      </c>
      <c r="AE98" s="51"/>
      <c r="AF98" s="79"/>
      <c r="AG98" s="79"/>
      <c r="AH98" s="45">
        <v>6859.6566949064745</v>
      </c>
      <c r="AI98" s="52">
        <v>31255.202028512867</v>
      </c>
    </row>
    <row r="99" spans="1:35" s="29" customFormat="1" ht="19.5" hidden="1" customHeight="1">
      <c r="A99" s="344"/>
      <c r="B99" s="30"/>
      <c r="C99" s="31"/>
      <c r="D99" s="61"/>
      <c r="E99" s="89"/>
      <c r="F99" s="90"/>
      <c r="G99" s="90"/>
      <c r="H99" s="90"/>
      <c r="I99" s="90"/>
      <c r="J99" s="90"/>
      <c r="K99" s="90"/>
      <c r="L99" s="91"/>
      <c r="M99" s="90"/>
      <c r="N99" s="90"/>
      <c r="O99" s="90"/>
      <c r="P99" s="90"/>
      <c r="Q99" s="57"/>
      <c r="R99" s="61"/>
      <c r="S99" s="92"/>
      <c r="T99" s="92"/>
      <c r="U99" s="92"/>
      <c r="V99" s="92"/>
      <c r="W99" s="92"/>
      <c r="X99" s="92"/>
      <c r="Y99" s="94"/>
      <c r="Z99" s="92"/>
      <c r="AA99" s="92"/>
      <c r="AB99" s="92"/>
      <c r="AC99" s="92"/>
      <c r="AD99" s="57"/>
      <c r="AE99" s="95"/>
      <c r="AF99" s="61"/>
      <c r="AG99" s="61"/>
      <c r="AH99" s="61"/>
      <c r="AI99" s="57"/>
    </row>
    <row r="100" spans="1:35" s="71" customFormat="1" ht="19.5" hidden="1" customHeight="1">
      <c r="A100" s="345"/>
      <c r="B100" s="62" t="s">
        <v>38</v>
      </c>
      <c r="C100" s="93" t="s">
        <v>59</v>
      </c>
      <c r="D100" s="68" t="e">
        <v>#DIV/0!</v>
      </c>
      <c r="E100" s="65">
        <f>IFERROR(E98/E96,0)</f>
        <v>0</v>
      </c>
      <c r="F100" s="66">
        <f>IFERROR(F98/F96,0)</f>
        <v>0</v>
      </c>
      <c r="G100" s="66">
        <f t="shared" ref="G100:AD100" si="39">IFERROR(G98/G96,0)</f>
        <v>0</v>
      </c>
      <c r="H100" s="66">
        <f t="shared" si="39"/>
        <v>0</v>
      </c>
      <c r="I100" s="66">
        <f t="shared" si="39"/>
        <v>0</v>
      </c>
      <c r="J100" s="66">
        <f t="shared" si="39"/>
        <v>0</v>
      </c>
      <c r="K100" s="66">
        <f t="shared" si="39"/>
        <v>0</v>
      </c>
      <c r="L100" s="66">
        <f t="shared" si="39"/>
        <v>0</v>
      </c>
      <c r="M100" s="66">
        <f t="shared" si="39"/>
        <v>0</v>
      </c>
      <c r="N100" s="66">
        <f t="shared" si="39"/>
        <v>0</v>
      </c>
      <c r="O100" s="66">
        <f t="shared" si="39"/>
        <v>0</v>
      </c>
      <c r="P100" s="66">
        <f t="shared" si="39"/>
        <v>0</v>
      </c>
      <c r="Q100" s="67">
        <f t="shared" si="39"/>
        <v>0</v>
      </c>
      <c r="R100" s="68">
        <f t="shared" si="39"/>
        <v>0</v>
      </c>
      <c r="S100" s="69">
        <f t="shared" si="39"/>
        <v>0</v>
      </c>
      <c r="T100" s="69">
        <f t="shared" si="39"/>
        <v>0</v>
      </c>
      <c r="U100" s="69">
        <f t="shared" si="39"/>
        <v>0</v>
      </c>
      <c r="V100" s="69">
        <f t="shared" si="39"/>
        <v>0</v>
      </c>
      <c r="W100" s="69">
        <f t="shared" si="39"/>
        <v>0</v>
      </c>
      <c r="X100" s="69">
        <f t="shared" si="39"/>
        <v>0</v>
      </c>
      <c r="Y100" s="69">
        <f t="shared" si="39"/>
        <v>0</v>
      </c>
      <c r="Z100" s="69">
        <f t="shared" si="39"/>
        <v>0</v>
      </c>
      <c r="AA100" s="69">
        <f t="shared" si="39"/>
        <v>0</v>
      </c>
      <c r="AB100" s="69">
        <f t="shared" si="39"/>
        <v>0</v>
      </c>
      <c r="AC100" s="69">
        <f t="shared" si="39"/>
        <v>0</v>
      </c>
      <c r="AD100" s="67">
        <f t="shared" si="39"/>
        <v>0</v>
      </c>
      <c r="AE100" s="96" t="e">
        <f>AE98/AE96</f>
        <v>#DIV/0!</v>
      </c>
      <c r="AF100" s="68" t="e">
        <f>AF98/AF96</f>
        <v>#DIV/0!</v>
      </c>
      <c r="AG100" s="68" t="e">
        <f>AG98/AG96</f>
        <v>#DIV/0!</v>
      </c>
      <c r="AH100" s="68">
        <f>AH98/AH96</f>
        <v>0.9</v>
      </c>
      <c r="AI100" s="67">
        <f>AI98/AI96</f>
        <v>0.9</v>
      </c>
    </row>
    <row r="101" spans="1:35" s="29" customFormat="1" ht="19.5" customHeight="1">
      <c r="A101" s="358" t="s">
        <v>163</v>
      </c>
      <c r="B101" s="20" t="s">
        <v>32</v>
      </c>
      <c r="C101" s="21"/>
      <c r="D101" s="22"/>
      <c r="E101" s="73"/>
      <c r="F101" s="74"/>
      <c r="G101" s="46"/>
      <c r="H101" s="46"/>
      <c r="I101" s="46"/>
      <c r="J101" s="46"/>
      <c r="K101" s="74"/>
      <c r="L101" s="74"/>
      <c r="M101" s="74"/>
      <c r="N101" s="74"/>
      <c r="O101" s="74"/>
      <c r="P101" s="74"/>
      <c r="Q101" s="25">
        <f>SUM(E101:P101)</f>
        <v>0</v>
      </c>
      <c r="R101" s="303"/>
      <c r="S101" s="314"/>
      <c r="T101" s="314"/>
      <c r="U101" s="314"/>
      <c r="V101" s="315"/>
      <c r="W101" s="315"/>
      <c r="X101" s="26"/>
      <c r="Y101" s="26"/>
      <c r="Z101" s="26"/>
      <c r="AA101" s="26"/>
      <c r="AB101" s="26"/>
      <c r="AC101" s="26">
        <v>400</v>
      </c>
      <c r="AD101" s="25">
        <f>SUM(R101:AC101)</f>
        <v>400</v>
      </c>
      <c r="AE101" s="27"/>
      <c r="AF101" s="75"/>
      <c r="AG101" s="75"/>
      <c r="AH101" s="23"/>
      <c r="AI101" s="28"/>
    </row>
    <row r="102" spans="1:35" s="29" customFormat="1" ht="19.5" customHeight="1">
      <c r="A102" s="356"/>
      <c r="B102" s="30"/>
      <c r="C102" s="31"/>
      <c r="D102" s="41"/>
      <c r="E102" s="83"/>
      <c r="F102" s="84"/>
      <c r="G102" s="84"/>
      <c r="H102" s="84"/>
      <c r="I102" s="84"/>
      <c r="J102" s="84"/>
      <c r="K102" s="84"/>
      <c r="L102" s="85"/>
      <c r="M102" s="84"/>
      <c r="N102" s="84"/>
      <c r="O102" s="84"/>
      <c r="P102" s="84"/>
      <c r="Q102" s="35"/>
      <c r="R102" s="82"/>
      <c r="S102" s="86"/>
      <c r="T102" s="86"/>
      <c r="U102" s="86"/>
      <c r="V102" s="86"/>
      <c r="W102" s="86"/>
      <c r="X102" s="86"/>
      <c r="Y102" s="88"/>
      <c r="Z102" s="88"/>
      <c r="AA102" s="88"/>
      <c r="AB102" s="88"/>
      <c r="AC102" s="88"/>
      <c r="AD102" s="97"/>
      <c r="AE102" s="40"/>
      <c r="AF102" s="32"/>
      <c r="AG102" s="32"/>
      <c r="AH102" s="41"/>
      <c r="AI102" s="35"/>
    </row>
    <row r="103" spans="1:35" s="29" customFormat="1" ht="19.5" customHeight="1">
      <c r="A103" s="356"/>
      <c r="B103" s="42" t="s">
        <v>34</v>
      </c>
      <c r="C103" s="43"/>
      <c r="D103" s="49"/>
      <c r="E103" s="77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8">
        <f>SUM(E103:P103)</f>
        <v>0</v>
      </c>
      <c r="R103" s="302"/>
      <c r="S103" s="315"/>
      <c r="T103" s="315"/>
      <c r="U103" s="315"/>
      <c r="V103" s="315"/>
      <c r="W103" s="315"/>
      <c r="X103" s="50"/>
      <c r="Y103" s="50"/>
      <c r="Z103" s="50"/>
      <c r="AA103" s="50"/>
      <c r="AB103" s="50"/>
      <c r="AC103" s="50">
        <v>340</v>
      </c>
      <c r="AD103" s="48">
        <f>SUM(R103:AC103)</f>
        <v>340</v>
      </c>
      <c r="AE103" s="51"/>
      <c r="AF103" s="79"/>
      <c r="AG103" s="79"/>
      <c r="AH103" s="45"/>
      <c r="AI103" s="52"/>
    </row>
    <row r="104" spans="1:35" s="29" customFormat="1" ht="19.5" customHeight="1">
      <c r="A104" s="356"/>
      <c r="B104" s="30"/>
      <c r="C104" s="31"/>
      <c r="D104" s="61"/>
      <c r="E104" s="89"/>
      <c r="F104" s="90"/>
      <c r="G104" s="90"/>
      <c r="H104" s="90"/>
      <c r="I104" s="90"/>
      <c r="J104" s="90"/>
      <c r="K104" s="90"/>
      <c r="L104" s="91"/>
      <c r="M104" s="90"/>
      <c r="N104" s="90"/>
      <c r="O104" s="90"/>
      <c r="P104" s="90"/>
      <c r="Q104" s="57"/>
      <c r="R104" s="61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8"/>
      <c r="AE104" s="60"/>
      <c r="AF104" s="55"/>
      <c r="AG104" s="55"/>
      <c r="AH104" s="61"/>
      <c r="AI104" s="57"/>
    </row>
    <row r="105" spans="1:35" s="71" customFormat="1" ht="19.5" customHeight="1" thickBot="1">
      <c r="A105" s="357"/>
      <c r="B105" s="62" t="s">
        <v>38</v>
      </c>
      <c r="C105" s="93" t="s">
        <v>67</v>
      </c>
      <c r="D105" s="68"/>
      <c r="E105" s="65">
        <f>IFERROR(E103/E101,0)</f>
        <v>0</v>
      </c>
      <c r="F105" s="66">
        <f>IFERROR(F103/F101,0)</f>
        <v>0</v>
      </c>
      <c r="G105" s="66">
        <f t="shared" ref="G105:P105" si="40">IFERROR(G103/G101,0)</f>
        <v>0</v>
      </c>
      <c r="H105" s="66">
        <f t="shared" si="40"/>
        <v>0</v>
      </c>
      <c r="I105" s="66">
        <f t="shared" si="40"/>
        <v>0</v>
      </c>
      <c r="J105" s="66">
        <f t="shared" si="40"/>
        <v>0</v>
      </c>
      <c r="K105" s="66">
        <f t="shared" si="40"/>
        <v>0</v>
      </c>
      <c r="L105" s="66">
        <f t="shared" si="40"/>
        <v>0</v>
      </c>
      <c r="M105" s="66">
        <f t="shared" si="40"/>
        <v>0</v>
      </c>
      <c r="N105" s="66">
        <f t="shared" si="40"/>
        <v>0</v>
      </c>
      <c r="O105" s="66">
        <f t="shared" si="40"/>
        <v>0</v>
      </c>
      <c r="P105" s="66">
        <f t="shared" si="40"/>
        <v>0</v>
      </c>
      <c r="Q105" s="67">
        <f>IFERROR(Q103/Q101,0)</f>
        <v>0</v>
      </c>
      <c r="R105" s="68">
        <f>IFERROR(R103/R101,0)</f>
        <v>0</v>
      </c>
      <c r="S105" s="69">
        <f>IFERROR(S103/S101,0)</f>
        <v>0</v>
      </c>
      <c r="T105" s="69">
        <f t="shared" ref="T105:AC105" si="41">IFERROR(T103/T101,0)</f>
        <v>0</v>
      </c>
      <c r="U105" s="69">
        <f t="shared" si="41"/>
        <v>0</v>
      </c>
      <c r="V105" s="69">
        <f t="shared" si="41"/>
        <v>0</v>
      </c>
      <c r="W105" s="69">
        <f t="shared" si="41"/>
        <v>0</v>
      </c>
      <c r="X105" s="69">
        <f t="shared" si="41"/>
        <v>0</v>
      </c>
      <c r="Y105" s="69">
        <f t="shared" si="41"/>
        <v>0</v>
      </c>
      <c r="Z105" s="69">
        <f t="shared" si="41"/>
        <v>0</v>
      </c>
      <c r="AA105" s="69">
        <f t="shared" si="41"/>
        <v>0</v>
      </c>
      <c r="AB105" s="69">
        <f t="shared" si="41"/>
        <v>0</v>
      </c>
      <c r="AC105" s="69">
        <f t="shared" si="41"/>
        <v>0.85</v>
      </c>
      <c r="AD105" s="67">
        <f>IFERROR(AD103/AD101,0)</f>
        <v>0.85</v>
      </c>
      <c r="AE105" s="70" t="e">
        <f>AE103/AE101</f>
        <v>#DIV/0!</v>
      </c>
      <c r="AF105" s="64" t="e">
        <f>AF103/AF101</f>
        <v>#DIV/0!</v>
      </c>
      <c r="AG105" s="64" t="e">
        <f>AG103/AG101</f>
        <v>#DIV/0!</v>
      </c>
      <c r="AH105" s="68" t="e">
        <f>AH103/AH101</f>
        <v>#DIV/0!</v>
      </c>
      <c r="AI105" s="67" t="e">
        <f>AI103/AI101</f>
        <v>#DIV/0!</v>
      </c>
    </row>
    <row r="106" spans="1:35" s="29" customFormat="1" ht="19.5" hidden="1" customHeight="1">
      <c r="A106" s="343" t="s">
        <v>68</v>
      </c>
      <c r="B106" s="20" t="s">
        <v>32</v>
      </c>
      <c r="C106" s="21"/>
      <c r="D106" s="22">
        <v>412.43134989958025</v>
      </c>
      <c r="E106" s="73"/>
      <c r="F106" s="74"/>
      <c r="G106" s="46"/>
      <c r="H106" s="46"/>
      <c r="I106" s="46"/>
      <c r="J106" s="46"/>
      <c r="K106" s="74"/>
      <c r="L106" s="74"/>
      <c r="M106" s="74"/>
      <c r="N106" s="74"/>
      <c r="O106" s="74"/>
      <c r="P106" s="74"/>
      <c r="Q106" s="25">
        <f>SUM(E106:P106)</f>
        <v>0</v>
      </c>
      <c r="R106" s="22"/>
      <c r="S106" s="26"/>
      <c r="T106" s="26"/>
      <c r="U106" s="26"/>
      <c r="V106" s="50"/>
      <c r="W106" s="50"/>
      <c r="X106" s="26"/>
      <c r="Y106" s="26"/>
      <c r="Z106" s="26"/>
      <c r="AA106" s="99"/>
      <c r="AB106" s="26"/>
      <c r="AC106" s="26"/>
      <c r="AD106" s="25">
        <f>SUM(R106:AC106)</f>
        <v>0</v>
      </c>
      <c r="AE106" s="27"/>
      <c r="AF106" s="75"/>
      <c r="AG106" s="75"/>
      <c r="AH106" s="23"/>
      <c r="AI106" s="28"/>
    </row>
    <row r="107" spans="1:35" s="29" customFormat="1" ht="19.5" hidden="1" customHeight="1">
      <c r="A107" s="344"/>
      <c r="B107" s="30"/>
      <c r="C107" s="31"/>
      <c r="D107" s="82"/>
      <c r="E107" s="83"/>
      <c r="F107" s="84"/>
      <c r="G107" s="84"/>
      <c r="H107" s="84"/>
      <c r="I107" s="84"/>
      <c r="J107" s="84"/>
      <c r="K107" s="84"/>
      <c r="L107" s="85"/>
      <c r="M107" s="84"/>
      <c r="N107" s="84"/>
      <c r="O107" s="84"/>
      <c r="P107" s="84"/>
      <c r="Q107" s="35"/>
      <c r="R107" s="82"/>
      <c r="S107" s="86"/>
      <c r="T107" s="87"/>
      <c r="U107" s="76"/>
      <c r="V107" s="86"/>
      <c r="W107" s="86"/>
      <c r="X107" s="86"/>
      <c r="Y107" s="88"/>
      <c r="Z107" s="86"/>
      <c r="AA107" s="86"/>
      <c r="AB107" s="86"/>
      <c r="AC107" s="86"/>
      <c r="AD107" s="35"/>
      <c r="AE107" s="40"/>
      <c r="AF107" s="32"/>
      <c r="AG107" s="32"/>
      <c r="AH107" s="41"/>
      <c r="AI107" s="35"/>
    </row>
    <row r="108" spans="1:35" s="29" customFormat="1" ht="19.5" hidden="1" customHeight="1">
      <c r="A108" s="344"/>
      <c r="B108" s="42" t="s">
        <v>34</v>
      </c>
      <c r="C108" s="43"/>
      <c r="D108" s="44">
        <v>316.09183839223579</v>
      </c>
      <c r="E108" s="77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8">
        <f>SUM(E108:P108)</f>
        <v>0</v>
      </c>
      <c r="R108" s="49"/>
      <c r="S108" s="50"/>
      <c r="T108" s="50"/>
      <c r="U108" s="50"/>
      <c r="V108" s="50"/>
      <c r="W108" s="50"/>
      <c r="X108" s="50"/>
      <c r="Y108" s="50"/>
      <c r="Z108" s="50"/>
      <c r="AA108" s="100"/>
      <c r="AB108" s="50"/>
      <c r="AC108" s="50"/>
      <c r="AD108" s="48">
        <f>SUM(R108:AC108)</f>
        <v>0</v>
      </c>
      <c r="AE108" s="51"/>
      <c r="AF108" s="79"/>
      <c r="AG108" s="79"/>
      <c r="AH108" s="45"/>
      <c r="AI108" s="52"/>
    </row>
    <row r="109" spans="1:35" s="29" customFormat="1" ht="19.5" hidden="1" customHeight="1">
      <c r="A109" s="344"/>
      <c r="B109" s="30"/>
      <c r="C109" s="31"/>
      <c r="D109" s="61"/>
      <c r="E109" s="89"/>
      <c r="F109" s="90"/>
      <c r="G109" s="90"/>
      <c r="H109" s="90"/>
      <c r="I109" s="90"/>
      <c r="J109" s="90"/>
      <c r="K109" s="90"/>
      <c r="L109" s="91"/>
      <c r="M109" s="90"/>
      <c r="N109" s="90"/>
      <c r="O109" s="90"/>
      <c r="P109" s="90"/>
      <c r="Q109" s="57"/>
      <c r="R109" s="61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57"/>
      <c r="AE109" s="60"/>
      <c r="AF109" s="55"/>
      <c r="AG109" s="55"/>
      <c r="AH109" s="61"/>
      <c r="AI109" s="57"/>
    </row>
    <row r="110" spans="1:35" s="71" customFormat="1" ht="19.5" hidden="1" customHeight="1">
      <c r="A110" s="345"/>
      <c r="B110" s="62" t="s">
        <v>38</v>
      </c>
      <c r="C110" s="93" t="s">
        <v>69</v>
      </c>
      <c r="D110" s="68">
        <v>0.76641079410961011</v>
      </c>
      <c r="E110" s="65">
        <f>IFERROR(E108/E106,0)</f>
        <v>0</v>
      </c>
      <c r="F110" s="66">
        <f>IFERROR(F108/F106,0)</f>
        <v>0</v>
      </c>
      <c r="G110" s="66">
        <f t="shared" ref="G110:P110" si="42">IFERROR(G108/G106,0)</f>
        <v>0</v>
      </c>
      <c r="H110" s="66">
        <f t="shared" si="42"/>
        <v>0</v>
      </c>
      <c r="I110" s="66">
        <f t="shared" si="42"/>
        <v>0</v>
      </c>
      <c r="J110" s="66">
        <f t="shared" si="42"/>
        <v>0</v>
      </c>
      <c r="K110" s="66">
        <f t="shared" si="42"/>
        <v>0</v>
      </c>
      <c r="L110" s="66">
        <f t="shared" si="42"/>
        <v>0</v>
      </c>
      <c r="M110" s="66">
        <f t="shared" si="42"/>
        <v>0</v>
      </c>
      <c r="N110" s="66">
        <f t="shared" si="42"/>
        <v>0</v>
      </c>
      <c r="O110" s="66">
        <f t="shared" si="42"/>
        <v>0</v>
      </c>
      <c r="P110" s="66">
        <f t="shared" si="42"/>
        <v>0</v>
      </c>
      <c r="Q110" s="67">
        <f>IFERROR(Q108/Q106,0)</f>
        <v>0</v>
      </c>
      <c r="R110" s="68">
        <f>IFERROR(R108/R106,0)</f>
        <v>0</v>
      </c>
      <c r="S110" s="69">
        <f>IFERROR(S108/S106,0)</f>
        <v>0</v>
      </c>
      <c r="T110" s="69">
        <f t="shared" ref="T110:AC110" si="43">IFERROR(T108/T106,0)</f>
        <v>0</v>
      </c>
      <c r="U110" s="69">
        <f t="shared" si="43"/>
        <v>0</v>
      </c>
      <c r="V110" s="69">
        <f t="shared" si="43"/>
        <v>0</v>
      </c>
      <c r="W110" s="69">
        <f t="shared" si="43"/>
        <v>0</v>
      </c>
      <c r="X110" s="69">
        <f t="shared" si="43"/>
        <v>0</v>
      </c>
      <c r="Y110" s="69">
        <f t="shared" si="43"/>
        <v>0</v>
      </c>
      <c r="Z110" s="69">
        <f t="shared" si="43"/>
        <v>0</v>
      </c>
      <c r="AA110" s="69">
        <f t="shared" si="43"/>
        <v>0</v>
      </c>
      <c r="AB110" s="69">
        <f t="shared" si="43"/>
        <v>0</v>
      </c>
      <c r="AC110" s="69">
        <f t="shared" si="43"/>
        <v>0</v>
      </c>
      <c r="AD110" s="67">
        <f>IFERROR(AD108/AD106,0)</f>
        <v>0</v>
      </c>
      <c r="AE110" s="70" t="e">
        <f>AE108/AE106</f>
        <v>#DIV/0!</v>
      </c>
      <c r="AF110" s="64" t="e">
        <f>AF108/AF106</f>
        <v>#DIV/0!</v>
      </c>
      <c r="AG110" s="64" t="e">
        <f>AG108/AG106</f>
        <v>#DIV/0!</v>
      </c>
      <c r="AH110" s="68" t="e">
        <f>AH108/AH106</f>
        <v>#DIV/0!</v>
      </c>
      <c r="AI110" s="67" t="e">
        <f>AI108/AI106</f>
        <v>#DIV/0!</v>
      </c>
    </row>
    <row r="111" spans="1:35" s="29" customFormat="1" ht="19.5" hidden="1" customHeight="1">
      <c r="A111" s="355" t="s">
        <v>70</v>
      </c>
      <c r="B111" s="20" t="s">
        <v>32</v>
      </c>
      <c r="C111" s="21"/>
      <c r="D111" s="22"/>
      <c r="E111" s="73"/>
      <c r="F111" s="74"/>
      <c r="G111" s="46"/>
      <c r="H111" s="46"/>
      <c r="I111" s="46"/>
      <c r="J111" s="46"/>
      <c r="K111" s="74"/>
      <c r="L111" s="74"/>
      <c r="M111" s="74"/>
      <c r="N111" s="74"/>
      <c r="O111" s="74"/>
      <c r="P111" s="74"/>
      <c r="Q111" s="25">
        <f>SUM(E111:P111)</f>
        <v>0</v>
      </c>
      <c r="R111" s="22"/>
      <c r="S111" s="26"/>
      <c r="T111" s="26"/>
      <c r="U111" s="26"/>
      <c r="V111" s="50"/>
      <c r="W111" s="50"/>
      <c r="X111" s="26"/>
      <c r="Y111" s="26"/>
      <c r="Z111" s="26"/>
      <c r="AA111" s="26"/>
      <c r="AB111" s="26"/>
      <c r="AC111" s="26"/>
      <c r="AD111" s="25">
        <f>SUM(R111:AC111)</f>
        <v>0</v>
      </c>
      <c r="AE111" s="27"/>
      <c r="AF111" s="75"/>
      <c r="AG111" s="75"/>
      <c r="AH111" s="23"/>
      <c r="AI111" s="28"/>
    </row>
    <row r="112" spans="1:35" s="29" customFormat="1" ht="19.5" hidden="1" customHeight="1">
      <c r="A112" s="356"/>
      <c r="B112" s="30"/>
      <c r="C112" s="31"/>
      <c r="D112" s="41"/>
      <c r="E112" s="83"/>
      <c r="F112" s="84"/>
      <c r="G112" s="84"/>
      <c r="H112" s="84"/>
      <c r="I112" s="84"/>
      <c r="J112" s="84"/>
      <c r="K112" s="84"/>
      <c r="L112" s="85"/>
      <c r="M112" s="84"/>
      <c r="N112" s="84"/>
      <c r="O112" s="84"/>
      <c r="P112" s="84"/>
      <c r="Q112" s="35"/>
      <c r="R112" s="82"/>
      <c r="S112" s="86"/>
      <c r="T112" s="87"/>
      <c r="U112" s="76"/>
      <c r="V112" s="86"/>
      <c r="W112" s="86"/>
      <c r="X112" s="86"/>
      <c r="Y112" s="88"/>
      <c r="Z112" s="86"/>
      <c r="AA112" s="86"/>
      <c r="AB112" s="86"/>
      <c r="AC112" s="86"/>
      <c r="AD112" s="97"/>
      <c r="AE112" s="40"/>
      <c r="AF112" s="32"/>
      <c r="AG112" s="32"/>
      <c r="AH112" s="41"/>
      <c r="AI112" s="35"/>
    </row>
    <row r="113" spans="1:35" s="29" customFormat="1" ht="19.5" hidden="1" customHeight="1">
      <c r="A113" s="356"/>
      <c r="B113" s="42" t="s">
        <v>34</v>
      </c>
      <c r="C113" s="43"/>
      <c r="D113" s="49"/>
      <c r="E113" s="77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8">
        <f>SUM(E113:P113)</f>
        <v>0</v>
      </c>
      <c r="R113" s="49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48">
        <f>SUM(R113:AC113)</f>
        <v>0</v>
      </c>
      <c r="AE113" s="51"/>
      <c r="AF113" s="79"/>
      <c r="AG113" s="79"/>
      <c r="AH113" s="45"/>
      <c r="AI113" s="52"/>
    </row>
    <row r="114" spans="1:35" s="29" customFormat="1" ht="19.5" hidden="1" customHeight="1">
      <c r="A114" s="356"/>
      <c r="B114" s="30"/>
      <c r="C114" s="31"/>
      <c r="D114" s="61"/>
      <c r="E114" s="89"/>
      <c r="F114" s="90"/>
      <c r="G114" s="90"/>
      <c r="H114" s="90"/>
      <c r="I114" s="90"/>
      <c r="J114" s="90"/>
      <c r="K114" s="90"/>
      <c r="L114" s="91"/>
      <c r="M114" s="90"/>
      <c r="N114" s="90"/>
      <c r="O114" s="90"/>
      <c r="P114" s="90"/>
      <c r="Q114" s="57"/>
      <c r="R114" s="61"/>
      <c r="S114" s="92"/>
      <c r="T114" s="92"/>
      <c r="U114" s="92"/>
      <c r="V114" s="92"/>
      <c r="W114" s="92"/>
      <c r="X114" s="92"/>
      <c r="Y114" s="94"/>
      <c r="Z114" s="92"/>
      <c r="AA114" s="92"/>
      <c r="AB114" s="92"/>
      <c r="AC114" s="92"/>
      <c r="AD114" s="98"/>
      <c r="AE114" s="60"/>
      <c r="AF114" s="55"/>
      <c r="AG114" s="55"/>
      <c r="AH114" s="61"/>
      <c r="AI114" s="57"/>
    </row>
    <row r="115" spans="1:35" s="71" customFormat="1" ht="19.5" hidden="1" customHeight="1" thickBot="1">
      <c r="A115" s="357"/>
      <c r="B115" s="62" t="s">
        <v>38</v>
      </c>
      <c r="C115" s="93" t="s">
        <v>71</v>
      </c>
      <c r="D115" s="68"/>
      <c r="E115" s="65">
        <f>IFERROR(E113/E111,0)</f>
        <v>0</v>
      </c>
      <c r="F115" s="66">
        <f>IFERROR(F113/F111,0)</f>
        <v>0</v>
      </c>
      <c r="G115" s="66">
        <f t="shared" ref="G115:P115" si="44">IFERROR(G113/G111,0)</f>
        <v>0</v>
      </c>
      <c r="H115" s="66">
        <f t="shared" si="44"/>
        <v>0</v>
      </c>
      <c r="I115" s="66">
        <f t="shared" si="44"/>
        <v>0</v>
      </c>
      <c r="J115" s="66">
        <f t="shared" si="44"/>
        <v>0</v>
      </c>
      <c r="K115" s="66">
        <f t="shared" si="44"/>
        <v>0</v>
      </c>
      <c r="L115" s="66">
        <f t="shared" si="44"/>
        <v>0</v>
      </c>
      <c r="M115" s="66">
        <f t="shared" si="44"/>
        <v>0</v>
      </c>
      <c r="N115" s="66">
        <f t="shared" si="44"/>
        <v>0</v>
      </c>
      <c r="O115" s="66">
        <f t="shared" si="44"/>
        <v>0</v>
      </c>
      <c r="P115" s="66">
        <f t="shared" si="44"/>
        <v>0</v>
      </c>
      <c r="Q115" s="67">
        <f>IFERROR(Q113/Q111,0)</f>
        <v>0</v>
      </c>
      <c r="R115" s="68">
        <f>IFERROR(R113/R111,0)</f>
        <v>0</v>
      </c>
      <c r="S115" s="69">
        <f>IFERROR(S113/S111,0)</f>
        <v>0</v>
      </c>
      <c r="T115" s="69">
        <f t="shared" ref="T115:AC115" si="45">IFERROR(T113/T111,0)</f>
        <v>0</v>
      </c>
      <c r="U115" s="69">
        <f t="shared" si="45"/>
        <v>0</v>
      </c>
      <c r="V115" s="69">
        <f t="shared" si="45"/>
        <v>0</v>
      </c>
      <c r="W115" s="69">
        <f t="shared" si="45"/>
        <v>0</v>
      </c>
      <c r="X115" s="69">
        <f t="shared" si="45"/>
        <v>0</v>
      </c>
      <c r="Y115" s="69">
        <f t="shared" si="45"/>
        <v>0</v>
      </c>
      <c r="Z115" s="69">
        <f t="shared" si="45"/>
        <v>0</v>
      </c>
      <c r="AA115" s="69">
        <f t="shared" si="45"/>
        <v>0</v>
      </c>
      <c r="AB115" s="69">
        <f t="shared" si="45"/>
        <v>0</v>
      </c>
      <c r="AC115" s="69">
        <f t="shared" si="45"/>
        <v>0</v>
      </c>
      <c r="AD115" s="67">
        <f>IFERROR(AD113/AD111,0)</f>
        <v>0</v>
      </c>
      <c r="AE115" s="70" t="e">
        <f>AE113/AE111</f>
        <v>#DIV/0!</v>
      </c>
      <c r="AF115" s="64" t="e">
        <f>AF113/AF111</f>
        <v>#DIV/0!</v>
      </c>
      <c r="AG115" s="64" t="e">
        <f>AG113/AG111</f>
        <v>#DIV/0!</v>
      </c>
      <c r="AH115" s="68" t="e">
        <f>AH113/AH111</f>
        <v>#DIV/0!</v>
      </c>
      <c r="AI115" s="67" t="e">
        <f>AI113/AI111</f>
        <v>#DIV/0!</v>
      </c>
    </row>
    <row r="116" spans="1:35" s="29" customFormat="1" ht="19.5" customHeight="1">
      <c r="A116" s="355" t="s">
        <v>164</v>
      </c>
      <c r="B116" s="20" t="s">
        <v>32</v>
      </c>
      <c r="C116" s="21"/>
      <c r="D116" s="22"/>
      <c r="E116" s="73"/>
      <c r="F116" s="74"/>
      <c r="G116" s="46"/>
      <c r="H116" s="46"/>
      <c r="I116" s="46"/>
      <c r="J116" s="46"/>
      <c r="K116" s="74"/>
      <c r="L116" s="74"/>
      <c r="M116" s="74"/>
      <c r="N116" s="74"/>
      <c r="O116" s="74"/>
      <c r="P116" s="74"/>
      <c r="Q116" s="25">
        <f>SUM(E116:P116)</f>
        <v>0</v>
      </c>
      <c r="R116" s="303"/>
      <c r="S116" s="314"/>
      <c r="T116" s="314"/>
      <c r="U116" s="314"/>
      <c r="V116" s="315"/>
      <c r="W116" s="315"/>
      <c r="X116" s="50"/>
      <c r="Y116" s="26"/>
      <c r="Z116" s="26">
        <v>380</v>
      </c>
      <c r="AA116" s="26"/>
      <c r="AB116" s="26"/>
      <c r="AC116" s="26"/>
      <c r="AD116" s="25">
        <f>SUM(R116:AC116)</f>
        <v>380</v>
      </c>
      <c r="AE116" s="27"/>
      <c r="AF116" s="75"/>
      <c r="AG116" s="75"/>
      <c r="AH116" s="23"/>
      <c r="AI116" s="28"/>
    </row>
    <row r="117" spans="1:35" s="29" customFormat="1" ht="19.5" customHeight="1">
      <c r="A117" s="356"/>
      <c r="B117" s="30"/>
      <c r="C117" s="31"/>
      <c r="D117" s="41"/>
      <c r="E117" s="83"/>
      <c r="F117" s="84"/>
      <c r="G117" s="84"/>
      <c r="H117" s="84"/>
      <c r="I117" s="84"/>
      <c r="J117" s="84"/>
      <c r="K117" s="84"/>
      <c r="L117" s="85"/>
      <c r="M117" s="84"/>
      <c r="N117" s="84"/>
      <c r="O117" s="84"/>
      <c r="P117" s="84"/>
      <c r="Q117" s="35"/>
      <c r="R117" s="82"/>
      <c r="S117" s="86"/>
      <c r="T117" s="86"/>
      <c r="U117" s="86"/>
      <c r="V117" s="86"/>
      <c r="W117" s="86"/>
      <c r="X117" s="86"/>
      <c r="Y117" s="88"/>
      <c r="Z117" s="86"/>
      <c r="AA117" s="86"/>
      <c r="AB117" s="86"/>
      <c r="AC117" s="86"/>
      <c r="AD117" s="97"/>
      <c r="AE117" s="40"/>
      <c r="AF117" s="32"/>
      <c r="AG117" s="32"/>
      <c r="AH117" s="41"/>
      <c r="AI117" s="35"/>
    </row>
    <row r="118" spans="1:35" s="29" customFormat="1" ht="19.5" customHeight="1">
      <c r="A118" s="356"/>
      <c r="B118" s="42" t="s">
        <v>34</v>
      </c>
      <c r="C118" s="43"/>
      <c r="D118" s="49"/>
      <c r="E118" s="77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8">
        <f>SUM(E118:P118)</f>
        <v>0</v>
      </c>
      <c r="R118" s="302"/>
      <c r="S118" s="315"/>
      <c r="T118" s="315"/>
      <c r="U118" s="315"/>
      <c r="V118" s="315"/>
      <c r="W118" s="315"/>
      <c r="X118" s="50"/>
      <c r="Y118" s="50"/>
      <c r="Z118" s="50">
        <v>323</v>
      </c>
      <c r="AA118" s="50"/>
      <c r="AB118" s="50"/>
      <c r="AC118" s="50"/>
      <c r="AD118" s="48">
        <f>SUM(R118:AC118)</f>
        <v>323</v>
      </c>
      <c r="AE118" s="51"/>
      <c r="AF118" s="79"/>
      <c r="AG118" s="79"/>
      <c r="AH118" s="45"/>
      <c r="AI118" s="52"/>
    </row>
    <row r="119" spans="1:35" s="29" customFormat="1" ht="19.5" customHeight="1">
      <c r="A119" s="356"/>
      <c r="B119" s="30"/>
      <c r="C119" s="31"/>
      <c r="D119" s="61"/>
      <c r="E119" s="89"/>
      <c r="F119" s="90"/>
      <c r="G119" s="90"/>
      <c r="H119" s="90"/>
      <c r="I119" s="90"/>
      <c r="J119" s="90"/>
      <c r="K119" s="90"/>
      <c r="L119" s="91"/>
      <c r="M119" s="90"/>
      <c r="N119" s="90"/>
      <c r="O119" s="90"/>
      <c r="P119" s="90"/>
      <c r="Q119" s="57"/>
      <c r="R119" s="61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8"/>
      <c r="AE119" s="95"/>
      <c r="AF119" s="61"/>
      <c r="AG119" s="61"/>
      <c r="AH119" s="61"/>
      <c r="AI119" s="57"/>
    </row>
    <row r="120" spans="1:35" s="71" customFormat="1" ht="19.5" customHeight="1" thickBot="1">
      <c r="A120" s="357"/>
      <c r="B120" s="62" t="s">
        <v>38</v>
      </c>
      <c r="C120" s="93" t="s">
        <v>72</v>
      </c>
      <c r="D120" s="68"/>
      <c r="E120" s="65">
        <f>IFERROR(E118/E116,0)</f>
        <v>0</v>
      </c>
      <c r="F120" s="66">
        <f>IFERROR(F118/F116,0)</f>
        <v>0</v>
      </c>
      <c r="G120" s="66">
        <f t="shared" ref="G120:P120" si="46">IFERROR(G118/G116,0)</f>
        <v>0</v>
      </c>
      <c r="H120" s="66">
        <f t="shared" si="46"/>
        <v>0</v>
      </c>
      <c r="I120" s="66">
        <f t="shared" si="46"/>
        <v>0</v>
      </c>
      <c r="J120" s="66">
        <f t="shared" si="46"/>
        <v>0</v>
      </c>
      <c r="K120" s="66">
        <f t="shared" si="46"/>
        <v>0</v>
      </c>
      <c r="L120" s="66">
        <f t="shared" si="46"/>
        <v>0</v>
      </c>
      <c r="M120" s="66">
        <f t="shared" si="46"/>
        <v>0</v>
      </c>
      <c r="N120" s="66">
        <f t="shared" si="46"/>
        <v>0</v>
      </c>
      <c r="O120" s="66">
        <f t="shared" si="46"/>
        <v>0</v>
      </c>
      <c r="P120" s="66">
        <f t="shared" si="46"/>
        <v>0</v>
      </c>
      <c r="Q120" s="67">
        <f>IFERROR(Q118/Q116,0)</f>
        <v>0</v>
      </c>
      <c r="R120" s="68">
        <f>IFERROR(R118/R116,0)</f>
        <v>0</v>
      </c>
      <c r="S120" s="69">
        <f>IFERROR(S118/S116,0)</f>
        <v>0</v>
      </c>
      <c r="T120" s="69">
        <f t="shared" ref="T120:AC120" si="47">IFERROR(T118/T116,0)</f>
        <v>0</v>
      </c>
      <c r="U120" s="69">
        <f t="shared" si="47"/>
        <v>0</v>
      </c>
      <c r="V120" s="69">
        <f t="shared" si="47"/>
        <v>0</v>
      </c>
      <c r="W120" s="69">
        <f t="shared" si="47"/>
        <v>0</v>
      </c>
      <c r="X120" s="69">
        <f t="shared" si="47"/>
        <v>0</v>
      </c>
      <c r="Y120" s="69">
        <f t="shared" si="47"/>
        <v>0</v>
      </c>
      <c r="Z120" s="69">
        <f t="shared" si="47"/>
        <v>0.85</v>
      </c>
      <c r="AA120" s="69">
        <f t="shared" si="47"/>
        <v>0</v>
      </c>
      <c r="AB120" s="69">
        <f t="shared" si="47"/>
        <v>0</v>
      </c>
      <c r="AC120" s="69">
        <f t="shared" si="47"/>
        <v>0</v>
      </c>
      <c r="AD120" s="67">
        <f>IFERROR(AD118/AD116,0)</f>
        <v>0.85</v>
      </c>
      <c r="AE120" s="96" t="e">
        <f>AE118/AE116</f>
        <v>#DIV/0!</v>
      </c>
      <c r="AF120" s="68" t="e">
        <f>AF118/AF116</f>
        <v>#DIV/0!</v>
      </c>
      <c r="AG120" s="68" t="e">
        <f>AG118/AG116</f>
        <v>#DIV/0!</v>
      </c>
      <c r="AH120" s="68" t="e">
        <f>AH118/AH116</f>
        <v>#DIV/0!</v>
      </c>
      <c r="AI120" s="67" t="e">
        <f>AI118/AI116</f>
        <v>#DIV/0!</v>
      </c>
    </row>
    <row r="121" spans="1:35" s="29" customFormat="1" ht="19.5" customHeight="1">
      <c r="A121" s="358" t="s">
        <v>165</v>
      </c>
      <c r="B121" s="20" t="s">
        <v>32</v>
      </c>
      <c r="C121" s="21"/>
      <c r="D121" s="22">
        <v>383.23</v>
      </c>
      <c r="E121" s="73"/>
      <c r="F121" s="74"/>
      <c r="G121" s="46"/>
      <c r="H121" s="46"/>
      <c r="I121" s="46"/>
      <c r="J121" s="46"/>
      <c r="K121" s="74"/>
      <c r="L121" s="74"/>
      <c r="M121" s="74"/>
      <c r="N121" s="74">
        <v>600</v>
      </c>
      <c r="O121" s="74"/>
      <c r="P121" s="74"/>
      <c r="Q121" s="25">
        <f>SUM(E121:P121)</f>
        <v>600</v>
      </c>
      <c r="R121" s="303"/>
      <c r="S121" s="314"/>
      <c r="T121" s="314"/>
      <c r="U121" s="314"/>
      <c r="V121" s="315"/>
      <c r="W121" s="315"/>
      <c r="X121" s="26"/>
      <c r="Y121" s="26"/>
      <c r="Z121" s="26"/>
      <c r="AA121" s="26"/>
      <c r="AB121" s="26"/>
      <c r="AC121" s="101"/>
      <c r="AD121" s="25">
        <f>SUM(R121:AC121)</f>
        <v>0</v>
      </c>
      <c r="AE121" s="27">
        <v>1000</v>
      </c>
      <c r="AF121" s="75"/>
      <c r="AG121" s="75"/>
      <c r="AH121" s="23"/>
      <c r="AI121" s="28"/>
    </row>
    <row r="122" spans="1:35" s="29" customFormat="1" ht="19.5" customHeight="1">
      <c r="A122" s="356"/>
      <c r="B122" s="30"/>
      <c r="C122" s="31"/>
      <c r="D122" s="41"/>
      <c r="E122" s="83"/>
      <c r="F122" s="84"/>
      <c r="G122" s="84"/>
      <c r="H122" s="84"/>
      <c r="I122" s="84"/>
      <c r="J122" s="84"/>
      <c r="K122" s="84"/>
      <c r="L122" s="85"/>
      <c r="M122" s="84"/>
      <c r="N122" s="84"/>
      <c r="O122" s="84"/>
      <c r="P122" s="84"/>
      <c r="Q122" s="35"/>
      <c r="R122" s="82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102"/>
      <c r="AD122" s="97"/>
      <c r="AE122" s="40"/>
      <c r="AF122" s="32"/>
      <c r="AG122" s="32"/>
      <c r="AH122" s="41"/>
      <c r="AI122" s="35"/>
    </row>
    <row r="123" spans="1:35" s="29" customFormat="1" ht="19.5" customHeight="1">
      <c r="A123" s="356"/>
      <c r="B123" s="42" t="s">
        <v>34</v>
      </c>
      <c r="C123" s="43"/>
      <c r="D123" s="49">
        <v>21.75</v>
      </c>
      <c r="E123" s="77"/>
      <c r="F123" s="46"/>
      <c r="G123" s="46"/>
      <c r="H123" s="46"/>
      <c r="I123" s="46"/>
      <c r="J123" s="46"/>
      <c r="K123" s="46"/>
      <c r="L123" s="46"/>
      <c r="M123" s="46"/>
      <c r="N123" s="46">
        <v>510</v>
      </c>
      <c r="O123" s="46"/>
      <c r="P123" s="46"/>
      <c r="Q123" s="48">
        <f>SUM(E123:P123)</f>
        <v>510</v>
      </c>
      <c r="R123" s="302"/>
      <c r="S123" s="315"/>
      <c r="T123" s="315"/>
      <c r="U123" s="315"/>
      <c r="V123" s="315"/>
      <c r="W123" s="315"/>
      <c r="X123" s="50"/>
      <c r="Y123" s="50"/>
      <c r="Z123" s="50"/>
      <c r="AA123" s="50"/>
      <c r="AB123" s="50"/>
      <c r="AC123" s="103"/>
      <c r="AD123" s="48">
        <f>SUM(R123:AC123)</f>
        <v>0</v>
      </c>
      <c r="AE123" s="51">
        <v>850</v>
      </c>
      <c r="AF123" s="79"/>
      <c r="AG123" s="79"/>
      <c r="AH123" s="45"/>
      <c r="AI123" s="52"/>
    </row>
    <row r="124" spans="1:35" s="29" customFormat="1" ht="19.5" customHeight="1">
      <c r="A124" s="356"/>
      <c r="B124" s="30"/>
      <c r="C124" s="31"/>
      <c r="D124" s="61"/>
      <c r="E124" s="89"/>
      <c r="F124" s="90"/>
      <c r="G124" s="90"/>
      <c r="H124" s="90"/>
      <c r="I124" s="90"/>
      <c r="J124" s="90"/>
      <c r="K124" s="90"/>
      <c r="L124" s="91"/>
      <c r="M124" s="90"/>
      <c r="N124" s="90"/>
      <c r="O124" s="90"/>
      <c r="P124" s="90"/>
      <c r="Q124" s="57"/>
      <c r="R124" s="104"/>
      <c r="S124" s="94"/>
      <c r="T124" s="94"/>
      <c r="U124" s="94"/>
      <c r="V124" s="92"/>
      <c r="W124" s="92"/>
      <c r="X124" s="92"/>
      <c r="Y124" s="94"/>
      <c r="Z124" s="92"/>
      <c r="AA124" s="92"/>
      <c r="AB124" s="92"/>
      <c r="AC124" s="92"/>
      <c r="AD124" s="98"/>
      <c r="AE124" s="60"/>
      <c r="AF124" s="55"/>
      <c r="AG124" s="55"/>
      <c r="AH124" s="61"/>
      <c r="AI124" s="57"/>
    </row>
    <row r="125" spans="1:35" s="71" customFormat="1" ht="19.5" customHeight="1" thickBot="1">
      <c r="A125" s="357"/>
      <c r="B125" s="62" t="s">
        <v>38</v>
      </c>
      <c r="C125" s="105"/>
      <c r="D125" s="68">
        <v>5.6754429454896532E-2</v>
      </c>
      <c r="E125" s="65">
        <f>IFERROR(E123/E121,0)</f>
        <v>0</v>
      </c>
      <c r="F125" s="66">
        <f>IFERROR(F123/F121,0)</f>
        <v>0</v>
      </c>
      <c r="G125" s="66">
        <f t="shared" ref="G125:P125" si="48">IFERROR(G123/G121,0)</f>
        <v>0</v>
      </c>
      <c r="H125" s="66">
        <f t="shared" si="48"/>
        <v>0</v>
      </c>
      <c r="I125" s="66">
        <f t="shared" si="48"/>
        <v>0</v>
      </c>
      <c r="J125" s="66">
        <f t="shared" si="48"/>
        <v>0</v>
      </c>
      <c r="K125" s="66">
        <f t="shared" si="48"/>
        <v>0</v>
      </c>
      <c r="L125" s="66">
        <f t="shared" si="48"/>
        <v>0</v>
      </c>
      <c r="M125" s="66">
        <f t="shared" si="48"/>
        <v>0</v>
      </c>
      <c r="N125" s="66">
        <f t="shared" si="48"/>
        <v>0.85</v>
      </c>
      <c r="O125" s="66">
        <f t="shared" si="48"/>
        <v>0</v>
      </c>
      <c r="P125" s="66">
        <f t="shared" si="48"/>
        <v>0</v>
      </c>
      <c r="Q125" s="67">
        <f>IFERROR(Q123/Q121,0)</f>
        <v>0.85</v>
      </c>
      <c r="R125" s="68">
        <f>IFERROR(R123/R121,0)</f>
        <v>0</v>
      </c>
      <c r="S125" s="69">
        <f>IFERROR(S123/S121,0)</f>
        <v>0</v>
      </c>
      <c r="T125" s="69">
        <f t="shared" ref="T125:AC125" si="49">IFERROR(T123/T121,0)</f>
        <v>0</v>
      </c>
      <c r="U125" s="69">
        <f t="shared" si="49"/>
        <v>0</v>
      </c>
      <c r="V125" s="69">
        <f t="shared" si="49"/>
        <v>0</v>
      </c>
      <c r="W125" s="69">
        <f t="shared" si="49"/>
        <v>0</v>
      </c>
      <c r="X125" s="69">
        <f t="shared" si="49"/>
        <v>0</v>
      </c>
      <c r="Y125" s="69">
        <f t="shared" si="49"/>
        <v>0</v>
      </c>
      <c r="Z125" s="69">
        <f t="shared" si="49"/>
        <v>0</v>
      </c>
      <c r="AA125" s="69">
        <f t="shared" si="49"/>
        <v>0</v>
      </c>
      <c r="AB125" s="69">
        <f t="shared" si="49"/>
        <v>0</v>
      </c>
      <c r="AC125" s="69">
        <f t="shared" si="49"/>
        <v>0</v>
      </c>
      <c r="AD125" s="67">
        <f>IFERROR(AD123/AD121,0)</f>
        <v>0</v>
      </c>
      <c r="AE125" s="70">
        <f>AE123/AE121</f>
        <v>0.85</v>
      </c>
      <c r="AF125" s="64" t="e">
        <f>AF123/AF121</f>
        <v>#DIV/0!</v>
      </c>
      <c r="AG125" s="64" t="e">
        <f>AG123/AG121</f>
        <v>#DIV/0!</v>
      </c>
      <c r="AH125" s="68" t="e">
        <f>AH123/AH121</f>
        <v>#DIV/0!</v>
      </c>
      <c r="AI125" s="67" t="e">
        <f>AI123/AI121</f>
        <v>#DIV/0!</v>
      </c>
    </row>
    <row r="126" spans="1:35" s="29" customFormat="1" ht="19.5" customHeight="1">
      <c r="A126" s="358" t="s">
        <v>73</v>
      </c>
      <c r="B126" s="20" t="s">
        <v>32</v>
      </c>
      <c r="C126" s="21"/>
      <c r="D126" s="22"/>
      <c r="E126" s="73"/>
      <c r="F126" s="74"/>
      <c r="G126" s="46"/>
      <c r="H126" s="46"/>
      <c r="I126" s="46"/>
      <c r="J126" s="46"/>
      <c r="K126" s="74"/>
      <c r="L126" s="74"/>
      <c r="M126" s="74"/>
      <c r="N126" s="74"/>
      <c r="O126" s="74"/>
      <c r="P126" s="74"/>
      <c r="Q126" s="25">
        <f>SUM(E126:P126)</f>
        <v>0</v>
      </c>
      <c r="R126" s="303"/>
      <c r="S126" s="314"/>
      <c r="T126" s="314"/>
      <c r="U126" s="314"/>
      <c r="V126" s="315"/>
      <c r="W126" s="315"/>
      <c r="X126" s="26"/>
      <c r="Y126" s="26"/>
      <c r="Z126" s="26"/>
      <c r="AA126" s="26"/>
      <c r="AB126" s="26"/>
      <c r="AC126" s="26"/>
      <c r="AD126" s="25">
        <f>SUM(R126:AC126)</f>
        <v>0</v>
      </c>
      <c r="AE126" s="27"/>
      <c r="AF126" s="75"/>
      <c r="AG126" s="75"/>
      <c r="AH126" s="23"/>
      <c r="AI126" s="28"/>
    </row>
    <row r="127" spans="1:35" s="29" customFormat="1" ht="19.5" customHeight="1">
      <c r="A127" s="356"/>
      <c r="B127" s="30"/>
      <c r="C127" s="31"/>
      <c r="D127" s="41"/>
      <c r="E127" s="83"/>
      <c r="F127" s="84"/>
      <c r="G127" s="84"/>
      <c r="H127" s="84"/>
      <c r="I127" s="84"/>
      <c r="J127" s="84"/>
      <c r="K127" s="84"/>
      <c r="L127" s="85"/>
      <c r="M127" s="84"/>
      <c r="N127" s="84"/>
      <c r="O127" s="84"/>
      <c r="P127" s="84"/>
      <c r="Q127" s="35"/>
      <c r="R127" s="82"/>
      <c r="S127" s="86"/>
      <c r="T127" s="86"/>
      <c r="U127" s="86"/>
      <c r="V127" s="86"/>
      <c r="W127" s="86"/>
      <c r="X127" s="86"/>
      <c r="Y127" s="88"/>
      <c r="Z127" s="86"/>
      <c r="AA127" s="88"/>
      <c r="AB127" s="86"/>
      <c r="AC127" s="86"/>
      <c r="AD127" s="97"/>
      <c r="AE127" s="40"/>
      <c r="AF127" s="32"/>
      <c r="AG127" s="32"/>
      <c r="AH127" s="41"/>
      <c r="AI127" s="35"/>
    </row>
    <row r="128" spans="1:35" s="29" customFormat="1" ht="19.5" customHeight="1">
      <c r="A128" s="356"/>
      <c r="B128" s="42" t="s">
        <v>34</v>
      </c>
      <c r="C128" s="43"/>
      <c r="D128" s="49"/>
      <c r="E128" s="77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8">
        <f>SUM(E128:P128)</f>
        <v>0</v>
      </c>
      <c r="R128" s="302"/>
      <c r="S128" s="315"/>
      <c r="T128" s="315"/>
      <c r="U128" s="315"/>
      <c r="V128" s="315"/>
      <c r="W128" s="315"/>
      <c r="X128" s="50"/>
      <c r="Y128" s="50"/>
      <c r="Z128" s="50"/>
      <c r="AA128" s="50"/>
      <c r="AB128" s="50"/>
      <c r="AC128" s="50"/>
      <c r="AD128" s="48">
        <f>SUM(R128:AC128)</f>
        <v>0</v>
      </c>
      <c r="AE128" s="51"/>
      <c r="AF128" s="79"/>
      <c r="AG128" s="79"/>
      <c r="AH128" s="45"/>
      <c r="AI128" s="52"/>
    </row>
    <row r="129" spans="1:35" s="29" customFormat="1" ht="19.5" customHeight="1">
      <c r="A129" s="356"/>
      <c r="B129" s="30"/>
      <c r="C129" s="31"/>
      <c r="D129" s="61"/>
      <c r="E129" s="89"/>
      <c r="F129" s="90"/>
      <c r="G129" s="90"/>
      <c r="H129" s="90"/>
      <c r="I129" s="90"/>
      <c r="J129" s="90"/>
      <c r="K129" s="90"/>
      <c r="L129" s="91"/>
      <c r="M129" s="90"/>
      <c r="N129" s="90"/>
      <c r="O129" s="90"/>
      <c r="P129" s="90"/>
      <c r="Q129" s="57"/>
      <c r="R129" s="104"/>
      <c r="S129" s="94"/>
      <c r="T129" s="94"/>
      <c r="U129" s="94"/>
      <c r="V129" s="92"/>
      <c r="W129" s="92"/>
      <c r="X129" s="92"/>
      <c r="Y129" s="94"/>
      <c r="Z129" s="92"/>
      <c r="AA129" s="92"/>
      <c r="AB129" s="92"/>
      <c r="AC129" s="92"/>
      <c r="AD129" s="98">
        <f>AD128-M128</f>
        <v>0</v>
      </c>
      <c r="AE129" s="60"/>
      <c r="AF129" s="55"/>
      <c r="AG129" s="55"/>
      <c r="AH129" s="61"/>
      <c r="AI129" s="57"/>
    </row>
    <row r="130" spans="1:35" s="71" customFormat="1" ht="19.5" customHeight="1" thickBot="1">
      <c r="A130" s="357"/>
      <c r="B130" s="62" t="s">
        <v>38</v>
      </c>
      <c r="C130" s="105"/>
      <c r="D130" s="68"/>
      <c r="E130" s="65">
        <f>IFERROR(E128/E126,0)</f>
        <v>0</v>
      </c>
      <c r="F130" s="66">
        <f>IFERROR(F128/F126,0)</f>
        <v>0</v>
      </c>
      <c r="G130" s="66">
        <f t="shared" ref="G130:P130" si="50">IFERROR(G128/G126,0)</f>
        <v>0</v>
      </c>
      <c r="H130" s="66">
        <f t="shared" si="50"/>
        <v>0</v>
      </c>
      <c r="I130" s="66">
        <f t="shared" si="50"/>
        <v>0</v>
      </c>
      <c r="J130" s="66">
        <f t="shared" si="50"/>
        <v>0</v>
      </c>
      <c r="K130" s="66">
        <f t="shared" si="50"/>
        <v>0</v>
      </c>
      <c r="L130" s="66">
        <f t="shared" si="50"/>
        <v>0</v>
      </c>
      <c r="M130" s="66">
        <f t="shared" si="50"/>
        <v>0</v>
      </c>
      <c r="N130" s="66">
        <f t="shared" si="50"/>
        <v>0</v>
      </c>
      <c r="O130" s="66">
        <f t="shared" si="50"/>
        <v>0</v>
      </c>
      <c r="P130" s="66">
        <f t="shared" si="50"/>
        <v>0</v>
      </c>
      <c r="Q130" s="67">
        <f>IFERROR(Q128/Q126,0)</f>
        <v>0</v>
      </c>
      <c r="R130" s="68">
        <f>IFERROR(R128/R126,0)</f>
        <v>0</v>
      </c>
      <c r="S130" s="69">
        <f>IFERROR(S128/S126,0)</f>
        <v>0</v>
      </c>
      <c r="T130" s="69">
        <f t="shared" ref="T130:AC130" si="51">IFERROR(T128/T126,0)</f>
        <v>0</v>
      </c>
      <c r="U130" s="69">
        <f t="shared" si="51"/>
        <v>0</v>
      </c>
      <c r="V130" s="69">
        <f t="shared" si="51"/>
        <v>0</v>
      </c>
      <c r="W130" s="69">
        <f t="shared" si="51"/>
        <v>0</v>
      </c>
      <c r="X130" s="69">
        <f t="shared" si="51"/>
        <v>0</v>
      </c>
      <c r="Y130" s="69">
        <f t="shared" si="51"/>
        <v>0</v>
      </c>
      <c r="Z130" s="69">
        <f t="shared" si="51"/>
        <v>0</v>
      </c>
      <c r="AA130" s="69">
        <f t="shared" si="51"/>
        <v>0</v>
      </c>
      <c r="AB130" s="69">
        <f t="shared" si="51"/>
        <v>0</v>
      </c>
      <c r="AC130" s="69">
        <f t="shared" si="51"/>
        <v>0</v>
      </c>
      <c r="AD130" s="67">
        <f>IFERROR(AD128/AD126,0)</f>
        <v>0</v>
      </c>
      <c r="AE130" s="70" t="e">
        <f>AE128/AE126</f>
        <v>#DIV/0!</v>
      </c>
      <c r="AF130" s="64" t="e">
        <f>AF128/AF126</f>
        <v>#DIV/0!</v>
      </c>
      <c r="AG130" s="64" t="e">
        <f>AG128/AG126</f>
        <v>#DIV/0!</v>
      </c>
      <c r="AH130" s="68" t="e">
        <f>AH128/AH126</f>
        <v>#DIV/0!</v>
      </c>
      <c r="AI130" s="67" t="e">
        <f>AI128/AI126</f>
        <v>#DIV/0!</v>
      </c>
    </row>
    <row r="131" spans="1:35" s="29" customFormat="1" ht="19.5" customHeight="1">
      <c r="A131" s="358" t="s">
        <v>168</v>
      </c>
      <c r="B131" s="20" t="s">
        <v>32</v>
      </c>
      <c r="C131" s="21"/>
      <c r="D131" s="22"/>
      <c r="E131" s="73"/>
      <c r="F131" s="74"/>
      <c r="G131" s="46"/>
      <c r="H131" s="46"/>
      <c r="I131" s="46"/>
      <c r="J131" s="46"/>
      <c r="K131" s="74"/>
      <c r="L131" s="74"/>
      <c r="M131" s="74"/>
      <c r="N131" s="74"/>
      <c r="O131" s="74"/>
      <c r="P131" s="74"/>
      <c r="Q131" s="25">
        <f>SUM(E131:P131)</f>
        <v>0</v>
      </c>
      <c r="R131" s="303"/>
      <c r="S131" s="314"/>
      <c r="T131" s="314"/>
      <c r="U131" s="314">
        <v>61.023142000834632</v>
      </c>
      <c r="V131" s="315"/>
      <c r="W131" s="315"/>
      <c r="X131" s="26"/>
      <c r="Y131" s="26"/>
      <c r="Z131" s="26"/>
      <c r="AA131" s="26"/>
      <c r="AB131" s="26"/>
      <c r="AC131" s="101"/>
      <c r="AD131" s="25">
        <f>SUM(R131:AC131)</f>
        <v>61.023142000834632</v>
      </c>
      <c r="AE131" s="27"/>
      <c r="AF131" s="75"/>
      <c r="AG131" s="75"/>
      <c r="AH131" s="23"/>
      <c r="AI131" s="28"/>
    </row>
    <row r="132" spans="1:35" s="29" customFormat="1" ht="19.5" customHeight="1">
      <c r="A132" s="356"/>
      <c r="B132" s="30"/>
      <c r="C132" s="31"/>
      <c r="D132" s="41"/>
      <c r="E132" s="83"/>
      <c r="F132" s="84"/>
      <c r="G132" s="84"/>
      <c r="H132" s="84"/>
      <c r="I132" s="84"/>
      <c r="J132" s="84"/>
      <c r="K132" s="84"/>
      <c r="L132" s="85"/>
      <c r="M132" s="84"/>
      <c r="N132" s="84"/>
      <c r="O132" s="84"/>
      <c r="P132" s="84"/>
      <c r="Q132" s="35"/>
      <c r="R132" s="82"/>
      <c r="S132" s="86"/>
      <c r="T132" s="86"/>
      <c r="U132" s="86"/>
      <c r="V132" s="86"/>
      <c r="W132" s="86"/>
      <c r="X132" s="86"/>
      <c r="Y132" s="88"/>
      <c r="Z132" s="86"/>
      <c r="AA132" s="88"/>
      <c r="AB132" s="86"/>
      <c r="AC132" s="102"/>
      <c r="AD132" s="97"/>
      <c r="AE132" s="40"/>
      <c r="AF132" s="32"/>
      <c r="AG132" s="32"/>
      <c r="AH132" s="41"/>
      <c r="AI132" s="35"/>
    </row>
    <row r="133" spans="1:35" s="29" customFormat="1" ht="19.5" customHeight="1">
      <c r="A133" s="356"/>
      <c r="B133" s="42" t="s">
        <v>34</v>
      </c>
      <c r="C133" s="43"/>
      <c r="D133" s="49"/>
      <c r="E133" s="77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8">
        <f>SUM(E133:P133)</f>
        <v>0</v>
      </c>
      <c r="R133" s="302"/>
      <c r="S133" s="315"/>
      <c r="T133" s="315"/>
      <c r="U133" s="315">
        <v>128.21006980537956</v>
      </c>
      <c r="V133" s="315"/>
      <c r="W133" s="315"/>
      <c r="X133" s="50"/>
      <c r="Y133" s="50"/>
      <c r="Z133" s="50"/>
      <c r="AA133" s="50"/>
      <c r="AB133" s="50"/>
      <c r="AC133" s="103"/>
      <c r="AD133" s="48">
        <f>SUM(R133:AC133)</f>
        <v>128.21006980537956</v>
      </c>
      <c r="AE133" s="51"/>
      <c r="AF133" s="79"/>
      <c r="AG133" s="79"/>
      <c r="AH133" s="45"/>
      <c r="AI133" s="52"/>
    </row>
    <row r="134" spans="1:35" s="29" customFormat="1" ht="19.5" customHeight="1">
      <c r="A134" s="356"/>
      <c r="B134" s="30"/>
      <c r="C134" s="31"/>
      <c r="D134" s="61"/>
      <c r="E134" s="89"/>
      <c r="F134" s="90"/>
      <c r="G134" s="90"/>
      <c r="H134" s="90"/>
      <c r="I134" s="90"/>
      <c r="J134" s="90"/>
      <c r="K134" s="90"/>
      <c r="L134" s="91"/>
      <c r="M134" s="90"/>
      <c r="N134" s="90"/>
      <c r="O134" s="90"/>
      <c r="P134" s="90"/>
      <c r="Q134" s="57"/>
      <c r="R134" s="104"/>
      <c r="S134" s="94"/>
      <c r="T134" s="94"/>
      <c r="U134" s="94"/>
      <c r="V134" s="92"/>
      <c r="W134" s="92"/>
      <c r="X134" s="92"/>
      <c r="Y134" s="94"/>
      <c r="Z134" s="92"/>
      <c r="AA134" s="92"/>
      <c r="AB134" s="92"/>
      <c r="AC134" s="92"/>
      <c r="AD134" s="98"/>
      <c r="AE134" s="60"/>
      <c r="AF134" s="55"/>
      <c r="AG134" s="55"/>
      <c r="AH134" s="61"/>
      <c r="AI134" s="57"/>
    </row>
    <row r="135" spans="1:35" s="71" customFormat="1" ht="19.5" customHeight="1" thickBot="1">
      <c r="A135" s="357"/>
      <c r="B135" s="62" t="s">
        <v>38</v>
      </c>
      <c r="C135" s="105"/>
      <c r="D135" s="68"/>
      <c r="E135" s="65">
        <f>IFERROR(E133/E131,0)</f>
        <v>0</v>
      </c>
      <c r="F135" s="66">
        <f>IFERROR(F133/F131,0)</f>
        <v>0</v>
      </c>
      <c r="G135" s="66">
        <f t="shared" ref="G135:P135" si="52">IFERROR(G133/G131,0)</f>
        <v>0</v>
      </c>
      <c r="H135" s="66">
        <f t="shared" si="52"/>
        <v>0</v>
      </c>
      <c r="I135" s="66">
        <f t="shared" si="52"/>
        <v>0</v>
      </c>
      <c r="J135" s="66">
        <f t="shared" si="52"/>
        <v>0</v>
      </c>
      <c r="K135" s="66">
        <f t="shared" si="52"/>
        <v>0</v>
      </c>
      <c r="L135" s="66">
        <f t="shared" si="52"/>
        <v>0</v>
      </c>
      <c r="M135" s="66">
        <f t="shared" si="52"/>
        <v>0</v>
      </c>
      <c r="N135" s="66">
        <f t="shared" si="52"/>
        <v>0</v>
      </c>
      <c r="O135" s="66">
        <f t="shared" si="52"/>
        <v>0</v>
      </c>
      <c r="P135" s="66">
        <f t="shared" si="52"/>
        <v>0</v>
      </c>
      <c r="Q135" s="67">
        <f>IFERROR(Q133/Q131,0)</f>
        <v>0</v>
      </c>
      <c r="R135" s="68">
        <f>IFERROR(R133/R131,0)</f>
        <v>0</v>
      </c>
      <c r="S135" s="69">
        <f>IFERROR(S133/S131,0)</f>
        <v>0</v>
      </c>
      <c r="T135" s="69">
        <f t="shared" ref="T135:AC135" si="53">IFERROR(T133/T131,0)</f>
        <v>0</v>
      </c>
      <c r="U135" s="69">
        <f t="shared" si="53"/>
        <v>2.1010073490418764</v>
      </c>
      <c r="V135" s="69">
        <f t="shared" si="53"/>
        <v>0</v>
      </c>
      <c r="W135" s="69">
        <f t="shared" si="53"/>
        <v>0</v>
      </c>
      <c r="X135" s="69">
        <f t="shared" si="53"/>
        <v>0</v>
      </c>
      <c r="Y135" s="69">
        <f t="shared" si="53"/>
        <v>0</v>
      </c>
      <c r="Z135" s="69">
        <f t="shared" si="53"/>
        <v>0</v>
      </c>
      <c r="AA135" s="69">
        <f t="shared" si="53"/>
        <v>0</v>
      </c>
      <c r="AB135" s="69">
        <f t="shared" si="53"/>
        <v>0</v>
      </c>
      <c r="AC135" s="69">
        <f t="shared" si="53"/>
        <v>0</v>
      </c>
      <c r="AD135" s="67">
        <f>IFERROR(AD133/AD131,0)</f>
        <v>2.1010073490418764</v>
      </c>
      <c r="AE135" s="70" t="e">
        <f>AE133/AE131</f>
        <v>#DIV/0!</v>
      </c>
      <c r="AF135" s="64" t="e">
        <f>AF133/AF131</f>
        <v>#DIV/0!</v>
      </c>
      <c r="AG135" s="64" t="e">
        <f>AG133/AG131</f>
        <v>#DIV/0!</v>
      </c>
      <c r="AH135" s="68" t="e">
        <f>AH133/AH131</f>
        <v>#DIV/0!</v>
      </c>
      <c r="AI135" s="67" t="e">
        <f>AI133/AI131</f>
        <v>#DIV/0!</v>
      </c>
    </row>
    <row r="136" spans="1:35" s="29" customFormat="1" ht="19.5" customHeight="1">
      <c r="A136" s="358" t="s">
        <v>169</v>
      </c>
      <c r="B136" s="20" t="s">
        <v>32</v>
      </c>
      <c r="C136" s="21"/>
      <c r="D136" s="22">
        <v>285.77999999999997</v>
      </c>
      <c r="E136" s="73"/>
      <c r="F136" s="74"/>
      <c r="G136" s="46"/>
      <c r="H136" s="46"/>
      <c r="I136" s="46"/>
      <c r="J136" s="46"/>
      <c r="K136" s="74"/>
      <c r="L136" s="74"/>
      <c r="M136" s="74"/>
      <c r="N136" s="74"/>
      <c r="O136" s="74"/>
      <c r="P136" s="74"/>
      <c r="Q136" s="25">
        <f>SUM(E136:P136)</f>
        <v>0</v>
      </c>
      <c r="R136" s="303"/>
      <c r="S136" s="314">
        <v>71.966078957454968</v>
      </c>
      <c r="T136" s="314">
        <v>244.02776302814232</v>
      </c>
      <c r="U136" s="314"/>
      <c r="V136" s="315"/>
      <c r="W136" s="315"/>
      <c r="X136" s="26"/>
      <c r="Y136" s="26"/>
      <c r="Z136" s="26"/>
      <c r="AA136" s="26"/>
      <c r="AB136" s="26"/>
      <c r="AC136" s="26"/>
      <c r="AD136" s="25">
        <f>SUM(R136:AC136)</f>
        <v>315.99384198559727</v>
      </c>
      <c r="AE136" s="27"/>
      <c r="AF136" s="75"/>
      <c r="AG136" s="75"/>
      <c r="AH136" s="23"/>
      <c r="AI136" s="28"/>
    </row>
    <row r="137" spans="1:35" s="29" customFormat="1" ht="19.5" customHeight="1">
      <c r="A137" s="356"/>
      <c r="B137" s="30"/>
      <c r="C137" s="31"/>
      <c r="D137" s="41"/>
      <c r="E137" s="83"/>
      <c r="F137" s="84"/>
      <c r="G137" s="84"/>
      <c r="H137" s="84"/>
      <c r="I137" s="84"/>
      <c r="J137" s="84"/>
      <c r="K137" s="84"/>
      <c r="L137" s="85"/>
      <c r="M137" s="84"/>
      <c r="N137" s="84"/>
      <c r="O137" s="84"/>
      <c r="P137" s="84"/>
      <c r="Q137" s="35"/>
      <c r="R137" s="82"/>
      <c r="S137" s="86"/>
      <c r="T137" s="86"/>
      <c r="U137" s="86"/>
      <c r="V137" s="86"/>
      <c r="W137" s="86"/>
      <c r="X137" s="86"/>
      <c r="Y137" s="88"/>
      <c r="Z137" s="86"/>
      <c r="AA137" s="88"/>
      <c r="AB137" s="86"/>
      <c r="AC137" s="86"/>
      <c r="AD137" s="97"/>
      <c r="AE137" s="40"/>
      <c r="AF137" s="32"/>
      <c r="AG137" s="32"/>
      <c r="AH137" s="41"/>
      <c r="AI137" s="35"/>
    </row>
    <row r="138" spans="1:35" s="29" customFormat="1" ht="19.5" customHeight="1">
      <c r="A138" s="356"/>
      <c r="B138" s="42" t="s">
        <v>34</v>
      </c>
      <c r="C138" s="43"/>
      <c r="D138" s="49">
        <v>91.89</v>
      </c>
      <c r="E138" s="77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8">
        <f>SUM(E138:P138)</f>
        <v>0</v>
      </c>
      <c r="R138" s="302"/>
      <c r="S138" s="315">
        <v>134.91504108853968</v>
      </c>
      <c r="T138" s="315">
        <v>90.976038458620948</v>
      </c>
      <c r="U138" s="315"/>
      <c r="V138" s="315"/>
      <c r="W138" s="315"/>
      <c r="X138" s="50"/>
      <c r="Y138" s="50"/>
      <c r="Z138" s="50"/>
      <c r="AA138" s="50"/>
      <c r="AB138" s="50"/>
      <c r="AC138" s="50"/>
      <c r="AD138" s="48">
        <f>SUM(R138:AC138)</f>
        <v>225.89107954716064</v>
      </c>
      <c r="AE138" s="51"/>
      <c r="AF138" s="79"/>
      <c r="AG138" s="79"/>
      <c r="AH138" s="45"/>
      <c r="AI138" s="52"/>
    </row>
    <row r="139" spans="1:35" s="29" customFormat="1" ht="19.5" customHeight="1">
      <c r="A139" s="356"/>
      <c r="B139" s="30"/>
      <c r="C139" s="31"/>
      <c r="D139" s="61"/>
      <c r="E139" s="89"/>
      <c r="F139" s="90"/>
      <c r="G139" s="90"/>
      <c r="H139" s="90"/>
      <c r="I139" s="90"/>
      <c r="J139" s="90"/>
      <c r="K139" s="90"/>
      <c r="L139" s="91"/>
      <c r="M139" s="90"/>
      <c r="N139" s="90"/>
      <c r="O139" s="90"/>
      <c r="P139" s="90"/>
      <c r="Q139" s="57"/>
      <c r="R139" s="104"/>
      <c r="S139" s="94"/>
      <c r="T139" s="94"/>
      <c r="U139" s="94"/>
      <c r="V139" s="92"/>
      <c r="W139" s="92"/>
      <c r="X139" s="92"/>
      <c r="Y139" s="94"/>
      <c r="Z139" s="92"/>
      <c r="AA139" s="92"/>
      <c r="AB139" s="92"/>
      <c r="AC139" s="92"/>
      <c r="AD139" s="98"/>
      <c r="AE139" s="60"/>
      <c r="AF139" s="55"/>
      <c r="AG139" s="55"/>
      <c r="AH139" s="61"/>
      <c r="AI139" s="57"/>
    </row>
    <row r="140" spans="1:35" s="71" customFormat="1" ht="19.5" customHeight="1" thickBot="1">
      <c r="A140" s="357"/>
      <c r="B140" s="62" t="s">
        <v>38</v>
      </c>
      <c r="C140" s="105"/>
      <c r="D140" s="68">
        <v>0.32154104555952134</v>
      </c>
      <c r="E140" s="65">
        <f>IFERROR(E138/E136,0)</f>
        <v>0</v>
      </c>
      <c r="F140" s="66">
        <f>IFERROR(F138/F136,0)</f>
        <v>0</v>
      </c>
      <c r="G140" s="66">
        <f t="shared" ref="G140:P140" si="54">IFERROR(G138/G136,0)</f>
        <v>0</v>
      </c>
      <c r="H140" s="66">
        <f t="shared" si="54"/>
        <v>0</v>
      </c>
      <c r="I140" s="66">
        <f t="shared" si="54"/>
        <v>0</v>
      </c>
      <c r="J140" s="66">
        <f t="shared" si="54"/>
        <v>0</v>
      </c>
      <c r="K140" s="66">
        <f t="shared" si="54"/>
        <v>0</v>
      </c>
      <c r="L140" s="66">
        <f t="shared" si="54"/>
        <v>0</v>
      </c>
      <c r="M140" s="66">
        <f t="shared" si="54"/>
        <v>0</v>
      </c>
      <c r="N140" s="66">
        <f t="shared" si="54"/>
        <v>0</v>
      </c>
      <c r="O140" s="66">
        <f t="shared" si="54"/>
        <v>0</v>
      </c>
      <c r="P140" s="66">
        <f t="shared" si="54"/>
        <v>0</v>
      </c>
      <c r="Q140" s="67">
        <f>IFERROR(Q138/Q136,0)</f>
        <v>0</v>
      </c>
      <c r="R140" s="68">
        <f>IFERROR(R138/R136,0)</f>
        <v>0</v>
      </c>
      <c r="S140" s="69">
        <f>IFERROR(S138/S136,0)</f>
        <v>1.8747032357883355</v>
      </c>
      <c r="T140" s="69">
        <f t="shared" ref="T140:AC140" si="55">IFERROR(T138/T136,0)</f>
        <v>0.37281019720747594</v>
      </c>
      <c r="U140" s="69">
        <f t="shared" si="55"/>
        <v>0</v>
      </c>
      <c r="V140" s="69">
        <f t="shared" si="55"/>
        <v>0</v>
      </c>
      <c r="W140" s="69">
        <f t="shared" si="55"/>
        <v>0</v>
      </c>
      <c r="X140" s="69">
        <f t="shared" si="55"/>
        <v>0</v>
      </c>
      <c r="Y140" s="69">
        <f t="shared" si="55"/>
        <v>0</v>
      </c>
      <c r="Z140" s="69">
        <f t="shared" si="55"/>
        <v>0</v>
      </c>
      <c r="AA140" s="69">
        <f t="shared" si="55"/>
        <v>0</v>
      </c>
      <c r="AB140" s="69">
        <f t="shared" si="55"/>
        <v>0</v>
      </c>
      <c r="AC140" s="69">
        <f t="shared" si="55"/>
        <v>0</v>
      </c>
      <c r="AD140" s="67">
        <f>IFERROR(AD138/AD136,0)</f>
        <v>0.71485911917693812</v>
      </c>
      <c r="AE140" s="70" t="e">
        <f>AE138/AE136</f>
        <v>#DIV/0!</v>
      </c>
      <c r="AF140" s="64" t="e">
        <f>AF138/AF136</f>
        <v>#DIV/0!</v>
      </c>
      <c r="AG140" s="64" t="e">
        <f>AG138/AG136</f>
        <v>#DIV/0!</v>
      </c>
      <c r="AH140" s="68" t="e">
        <f>AH138/AH136</f>
        <v>#DIV/0!</v>
      </c>
      <c r="AI140" s="67" t="e">
        <f>AI138/AI136</f>
        <v>#DIV/0!</v>
      </c>
    </row>
    <row r="141" spans="1:35" s="29" customFormat="1" ht="19.5" customHeight="1">
      <c r="A141" s="358" t="s">
        <v>172</v>
      </c>
      <c r="B141" s="20" t="s">
        <v>32</v>
      </c>
      <c r="C141" s="21"/>
      <c r="D141" s="22"/>
      <c r="E141" s="73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25">
        <f>SUM(E141:P141)</f>
        <v>0</v>
      </c>
      <c r="R141" s="303"/>
      <c r="S141" s="314"/>
      <c r="T141" s="314"/>
      <c r="U141" s="314"/>
      <c r="V141" s="315"/>
      <c r="W141" s="315"/>
      <c r="X141" s="26"/>
      <c r="Y141" s="26"/>
      <c r="Z141" s="26"/>
      <c r="AA141" s="26"/>
      <c r="AB141" s="26"/>
      <c r="AC141" s="26"/>
      <c r="AD141" s="25">
        <f>SUM(R141:AC141)</f>
        <v>0</v>
      </c>
      <c r="AE141" s="27"/>
      <c r="AF141" s="75"/>
      <c r="AG141" s="75"/>
      <c r="AH141" s="23"/>
      <c r="AI141" s="28"/>
    </row>
    <row r="142" spans="1:35" s="29" customFormat="1" ht="19.5" customHeight="1">
      <c r="A142" s="356"/>
      <c r="B142" s="30"/>
      <c r="C142" s="31"/>
      <c r="D142" s="41"/>
      <c r="E142" s="83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35"/>
      <c r="R142" s="82"/>
      <c r="S142" s="86"/>
      <c r="T142" s="86"/>
      <c r="U142" s="86"/>
      <c r="V142" s="86"/>
      <c r="W142" s="86"/>
      <c r="X142" s="86"/>
      <c r="Y142" s="88"/>
      <c r="Z142" s="86"/>
      <c r="AA142" s="86"/>
      <c r="AB142" s="86"/>
      <c r="AC142" s="86"/>
      <c r="AD142" s="97"/>
      <c r="AE142" s="40"/>
      <c r="AF142" s="32"/>
      <c r="AG142" s="32"/>
      <c r="AH142" s="41"/>
      <c r="AI142" s="35"/>
    </row>
    <row r="143" spans="1:35" s="29" customFormat="1" ht="19.5" customHeight="1">
      <c r="A143" s="356"/>
      <c r="B143" s="42" t="s">
        <v>34</v>
      </c>
      <c r="C143" s="43"/>
      <c r="D143" s="49"/>
      <c r="E143" s="77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8">
        <f>SUM(E143:P143)</f>
        <v>0</v>
      </c>
      <c r="R143" s="302"/>
      <c r="S143" s="315"/>
      <c r="T143" s="315"/>
      <c r="U143" s="315"/>
      <c r="V143" s="315"/>
      <c r="W143" s="315"/>
      <c r="X143" s="50"/>
      <c r="Y143" s="50"/>
      <c r="Z143" s="50"/>
      <c r="AA143" s="50"/>
      <c r="AB143" s="50"/>
      <c r="AC143" s="50"/>
      <c r="AD143" s="48">
        <f>SUM(R143:AC143)</f>
        <v>0</v>
      </c>
      <c r="AE143" s="51"/>
      <c r="AF143" s="79"/>
      <c r="AG143" s="79"/>
      <c r="AH143" s="45"/>
      <c r="AI143" s="52"/>
    </row>
    <row r="144" spans="1:35" s="29" customFormat="1" ht="19.5" customHeight="1">
      <c r="A144" s="356"/>
      <c r="B144" s="30"/>
      <c r="C144" s="31"/>
      <c r="D144" s="61"/>
      <c r="E144" s="89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57"/>
      <c r="R144" s="61"/>
      <c r="S144" s="92"/>
      <c r="T144" s="92"/>
      <c r="U144" s="92"/>
      <c r="V144" s="92"/>
      <c r="W144" s="92"/>
      <c r="X144" s="92"/>
      <c r="Y144" s="94"/>
      <c r="Z144" s="92"/>
      <c r="AA144" s="92"/>
      <c r="AB144" s="92"/>
      <c r="AC144" s="92"/>
      <c r="AD144" s="98"/>
      <c r="AE144" s="95"/>
      <c r="AF144" s="61"/>
      <c r="AG144" s="61"/>
      <c r="AH144" s="61"/>
      <c r="AI144" s="57"/>
    </row>
    <row r="145" spans="1:35" s="71" customFormat="1" ht="19.5" customHeight="1" thickBot="1">
      <c r="A145" s="357"/>
      <c r="B145" s="62" t="s">
        <v>38</v>
      </c>
      <c r="C145" s="93" t="s">
        <v>74</v>
      </c>
      <c r="D145" s="68"/>
      <c r="E145" s="65">
        <f>IFERROR(E143/E141,0)</f>
        <v>0</v>
      </c>
      <c r="F145" s="66">
        <f>IFERROR(F143/F141,0)</f>
        <v>0</v>
      </c>
      <c r="G145" s="66">
        <f t="shared" ref="G145:P145" si="56">IFERROR(G143/G141,0)</f>
        <v>0</v>
      </c>
      <c r="H145" s="66">
        <f t="shared" si="56"/>
        <v>0</v>
      </c>
      <c r="I145" s="66">
        <f t="shared" si="56"/>
        <v>0</v>
      </c>
      <c r="J145" s="66">
        <f t="shared" si="56"/>
        <v>0</v>
      </c>
      <c r="K145" s="66">
        <f t="shared" si="56"/>
        <v>0</v>
      </c>
      <c r="L145" s="66">
        <f t="shared" si="56"/>
        <v>0</v>
      </c>
      <c r="M145" s="66">
        <f t="shared" si="56"/>
        <v>0</v>
      </c>
      <c r="N145" s="66">
        <f t="shared" si="56"/>
        <v>0</v>
      </c>
      <c r="O145" s="66">
        <f t="shared" si="56"/>
        <v>0</v>
      </c>
      <c r="P145" s="66">
        <f t="shared" si="56"/>
        <v>0</v>
      </c>
      <c r="Q145" s="67">
        <f>IFERROR(Q143/Q141,0)</f>
        <v>0</v>
      </c>
      <c r="R145" s="68">
        <f>IFERROR(R143/R141,0)</f>
        <v>0</v>
      </c>
      <c r="S145" s="69">
        <f>IFERROR(S143/S141,0)</f>
        <v>0</v>
      </c>
      <c r="T145" s="69">
        <f t="shared" ref="T145:AC145" si="57">IFERROR(T143/T141,0)</f>
        <v>0</v>
      </c>
      <c r="U145" s="69">
        <f t="shared" si="57"/>
        <v>0</v>
      </c>
      <c r="V145" s="69">
        <f t="shared" si="57"/>
        <v>0</v>
      </c>
      <c r="W145" s="69">
        <f t="shared" si="57"/>
        <v>0</v>
      </c>
      <c r="X145" s="69">
        <f t="shared" si="57"/>
        <v>0</v>
      </c>
      <c r="Y145" s="69">
        <f t="shared" si="57"/>
        <v>0</v>
      </c>
      <c r="Z145" s="69">
        <f t="shared" si="57"/>
        <v>0</v>
      </c>
      <c r="AA145" s="69">
        <f t="shared" si="57"/>
        <v>0</v>
      </c>
      <c r="AB145" s="69">
        <f t="shared" si="57"/>
        <v>0</v>
      </c>
      <c r="AC145" s="69">
        <f t="shared" si="57"/>
        <v>0</v>
      </c>
      <c r="AD145" s="67">
        <f>IFERROR(AD143/AD141,0)</f>
        <v>0</v>
      </c>
      <c r="AE145" s="96" t="e">
        <f>AE143/AE141</f>
        <v>#DIV/0!</v>
      </c>
      <c r="AF145" s="68" t="e">
        <f>AF143/AF141</f>
        <v>#DIV/0!</v>
      </c>
      <c r="AG145" s="68" t="e">
        <f>AG143/AG141</f>
        <v>#DIV/0!</v>
      </c>
      <c r="AH145" s="68" t="e">
        <f>AH143/AH141</f>
        <v>#DIV/0!</v>
      </c>
      <c r="AI145" s="67" t="e">
        <f>AI143/AI141</f>
        <v>#DIV/0!</v>
      </c>
    </row>
    <row r="146" spans="1:35" s="29" customFormat="1" ht="19.5" customHeight="1">
      <c r="A146" s="358" t="s">
        <v>170</v>
      </c>
      <c r="B146" s="20" t="s">
        <v>32</v>
      </c>
      <c r="C146" s="21"/>
      <c r="D146" s="22">
        <v>546.81999999999994</v>
      </c>
      <c r="E146" s="73"/>
      <c r="F146" s="74"/>
      <c r="G146" s="46">
        <v>200</v>
      </c>
      <c r="H146" s="46"/>
      <c r="I146" s="46"/>
      <c r="J146" s="46"/>
      <c r="K146" s="74"/>
      <c r="L146" s="74"/>
      <c r="M146" s="74"/>
      <c r="N146" s="74"/>
      <c r="O146" s="74"/>
      <c r="P146" s="74"/>
      <c r="Q146" s="25">
        <f>SUM(E146:P146)</f>
        <v>200</v>
      </c>
      <c r="R146" s="303">
        <v>183.66483283961065</v>
      </c>
      <c r="S146" s="314"/>
      <c r="T146" s="314"/>
      <c r="U146" s="314"/>
      <c r="V146" s="315"/>
      <c r="W146" s="315"/>
      <c r="X146" s="26"/>
      <c r="Y146" s="50"/>
      <c r="Z146" s="26"/>
      <c r="AA146" s="26"/>
      <c r="AB146" s="26"/>
      <c r="AC146" s="26"/>
      <c r="AD146" s="25">
        <f>SUM(R146:AC146)</f>
        <v>183.66483283961065</v>
      </c>
      <c r="AE146" s="27">
        <v>200</v>
      </c>
      <c r="AF146" s="75"/>
      <c r="AG146" s="75"/>
      <c r="AH146" s="23">
        <v>100</v>
      </c>
      <c r="AI146" s="28"/>
    </row>
    <row r="147" spans="1:35" s="29" customFormat="1" ht="19.5" customHeight="1">
      <c r="A147" s="356"/>
      <c r="B147" s="30"/>
      <c r="C147" s="31"/>
      <c r="D147" s="41"/>
      <c r="E147" s="83"/>
      <c r="F147" s="84"/>
      <c r="G147" s="84"/>
      <c r="H147" s="84"/>
      <c r="I147" s="84"/>
      <c r="J147" s="84"/>
      <c r="K147" s="84"/>
      <c r="L147" s="85"/>
      <c r="M147" s="84"/>
      <c r="N147" s="84"/>
      <c r="O147" s="84"/>
      <c r="P147" s="84"/>
      <c r="Q147" s="35"/>
      <c r="R147" s="82"/>
      <c r="S147" s="86"/>
      <c r="T147" s="86"/>
      <c r="U147" s="86"/>
      <c r="V147" s="86"/>
      <c r="W147" s="86"/>
      <c r="X147" s="86"/>
      <c r="Y147" s="86"/>
      <c r="Z147" s="88"/>
      <c r="AA147" s="86"/>
      <c r="AB147" s="86"/>
      <c r="AC147" s="86"/>
      <c r="AD147" s="97"/>
      <c r="AE147" s="40"/>
      <c r="AF147" s="32"/>
      <c r="AG147" s="32"/>
      <c r="AH147" s="41"/>
      <c r="AI147" s="35"/>
    </row>
    <row r="148" spans="1:35" s="29" customFormat="1" ht="19.5" customHeight="1">
      <c r="A148" s="356"/>
      <c r="B148" s="42" t="s">
        <v>34</v>
      </c>
      <c r="C148" s="43"/>
      <c r="D148" s="49">
        <v>186.67</v>
      </c>
      <c r="E148" s="77"/>
      <c r="F148" s="46"/>
      <c r="G148" s="46">
        <v>170</v>
      </c>
      <c r="H148" s="46"/>
      <c r="I148" s="46"/>
      <c r="J148" s="46"/>
      <c r="K148" s="46"/>
      <c r="L148" s="46"/>
      <c r="M148" s="46"/>
      <c r="N148" s="46"/>
      <c r="O148" s="46"/>
      <c r="P148" s="46"/>
      <c r="Q148" s="48">
        <f>SUM(E148:P148)</f>
        <v>170</v>
      </c>
      <c r="R148" s="302">
        <v>67.797692340245447</v>
      </c>
      <c r="S148" s="315"/>
      <c r="T148" s="315"/>
      <c r="U148" s="315"/>
      <c r="V148" s="315"/>
      <c r="W148" s="315"/>
      <c r="X148" s="50"/>
      <c r="Y148" s="50"/>
      <c r="Z148" s="50"/>
      <c r="AA148" s="50"/>
      <c r="AB148" s="50"/>
      <c r="AC148" s="50"/>
      <c r="AD148" s="48">
        <f>SUM(R148:AC148)</f>
        <v>67.797692340245447</v>
      </c>
      <c r="AE148" s="51">
        <v>170</v>
      </c>
      <c r="AF148" s="79"/>
      <c r="AG148" s="79"/>
      <c r="AH148" s="45">
        <v>85</v>
      </c>
      <c r="AI148" s="52"/>
    </row>
    <row r="149" spans="1:35" s="29" customFormat="1" ht="19.5" customHeight="1">
      <c r="A149" s="356"/>
      <c r="B149" s="30"/>
      <c r="C149" s="31"/>
      <c r="D149" s="61"/>
      <c r="E149" s="89"/>
      <c r="F149" s="90"/>
      <c r="G149" s="90"/>
      <c r="H149" s="90"/>
      <c r="I149" s="90"/>
      <c r="J149" s="90"/>
      <c r="K149" s="90"/>
      <c r="L149" s="91"/>
      <c r="M149" s="90"/>
      <c r="N149" s="90"/>
      <c r="O149" s="90"/>
      <c r="P149" s="90"/>
      <c r="Q149" s="57"/>
      <c r="R149" s="61"/>
      <c r="S149" s="92"/>
      <c r="T149" s="92"/>
      <c r="U149" s="92"/>
      <c r="V149" s="92"/>
      <c r="W149" s="92"/>
      <c r="X149" s="92"/>
      <c r="Y149" s="94"/>
      <c r="Z149" s="92"/>
      <c r="AA149" s="92"/>
      <c r="AB149" s="92"/>
      <c r="AC149" s="92"/>
      <c r="AD149" s="98"/>
      <c r="AE149" s="60"/>
      <c r="AF149" s="55"/>
      <c r="AG149" s="55"/>
      <c r="AH149" s="61"/>
      <c r="AI149" s="57"/>
    </row>
    <row r="150" spans="1:35" s="71" customFormat="1" ht="19.5" customHeight="1" thickBot="1">
      <c r="A150" s="357"/>
      <c r="B150" s="62" t="s">
        <v>38</v>
      </c>
      <c r="C150" s="93"/>
      <c r="D150" s="68">
        <v>0.34137376101825101</v>
      </c>
      <c r="E150" s="65">
        <f>IFERROR(E148/E146,0)</f>
        <v>0</v>
      </c>
      <c r="F150" s="66">
        <f>IFERROR(F148/F146,0)</f>
        <v>0</v>
      </c>
      <c r="G150" s="66">
        <f t="shared" ref="G150:P150" si="58">IFERROR(G148/G146,0)</f>
        <v>0.85</v>
      </c>
      <c r="H150" s="66">
        <f t="shared" si="58"/>
        <v>0</v>
      </c>
      <c r="I150" s="66">
        <f t="shared" si="58"/>
        <v>0</v>
      </c>
      <c r="J150" s="66">
        <f t="shared" si="58"/>
        <v>0</v>
      </c>
      <c r="K150" s="66">
        <f t="shared" si="58"/>
        <v>0</v>
      </c>
      <c r="L150" s="66">
        <f t="shared" si="58"/>
        <v>0</v>
      </c>
      <c r="M150" s="66">
        <f t="shared" si="58"/>
        <v>0</v>
      </c>
      <c r="N150" s="66">
        <f t="shared" si="58"/>
        <v>0</v>
      </c>
      <c r="O150" s="66">
        <f t="shared" si="58"/>
        <v>0</v>
      </c>
      <c r="P150" s="66">
        <f t="shared" si="58"/>
        <v>0</v>
      </c>
      <c r="Q150" s="67">
        <f>IFERROR(Q148/Q146,0)</f>
        <v>0.85</v>
      </c>
      <c r="R150" s="68">
        <f>IFERROR(R148/R146,0)</f>
        <v>0.36913812672811058</v>
      </c>
      <c r="S150" s="69">
        <f>IFERROR(S148/S146,0)</f>
        <v>0</v>
      </c>
      <c r="T150" s="69">
        <f t="shared" ref="T150:AC150" si="59">IFERROR(T148/T146,0)</f>
        <v>0</v>
      </c>
      <c r="U150" s="69">
        <f t="shared" si="59"/>
        <v>0</v>
      </c>
      <c r="V150" s="69">
        <f t="shared" si="59"/>
        <v>0</v>
      </c>
      <c r="W150" s="69">
        <f t="shared" si="59"/>
        <v>0</v>
      </c>
      <c r="X150" s="69">
        <f t="shared" si="59"/>
        <v>0</v>
      </c>
      <c r="Y150" s="69">
        <f t="shared" si="59"/>
        <v>0</v>
      </c>
      <c r="Z150" s="69">
        <f t="shared" si="59"/>
        <v>0</v>
      </c>
      <c r="AA150" s="69">
        <f t="shared" si="59"/>
        <v>0</v>
      </c>
      <c r="AB150" s="69">
        <f t="shared" si="59"/>
        <v>0</v>
      </c>
      <c r="AC150" s="69">
        <f t="shared" si="59"/>
        <v>0</v>
      </c>
      <c r="AD150" s="67">
        <f>IFERROR(AD148/AD146,0)</f>
        <v>0.36913812672811058</v>
      </c>
      <c r="AE150" s="70">
        <f>AE148/AE146</f>
        <v>0.85</v>
      </c>
      <c r="AF150" s="64" t="e">
        <f>AF148/AF146</f>
        <v>#DIV/0!</v>
      </c>
      <c r="AG150" s="64" t="e">
        <f>AG148/AG146</f>
        <v>#DIV/0!</v>
      </c>
      <c r="AH150" s="68">
        <f>AH148/AH146</f>
        <v>0.85</v>
      </c>
      <c r="AI150" s="67" t="e">
        <f>AI148/AI146</f>
        <v>#DIV/0!</v>
      </c>
    </row>
    <row r="151" spans="1:35" s="29" customFormat="1" ht="19.5" customHeight="1">
      <c r="A151" s="358" t="s">
        <v>158</v>
      </c>
      <c r="B151" s="20" t="s">
        <v>32</v>
      </c>
      <c r="C151" s="21"/>
      <c r="D151" s="22"/>
      <c r="E151" s="73"/>
      <c r="F151" s="74"/>
      <c r="G151" s="46">
        <v>400</v>
      </c>
      <c r="H151" s="46"/>
      <c r="I151" s="46"/>
      <c r="J151" s="46"/>
      <c r="K151" s="74"/>
      <c r="L151" s="74"/>
      <c r="M151" s="74"/>
      <c r="N151" s="74"/>
      <c r="O151" s="74"/>
      <c r="P151" s="74"/>
      <c r="Q151" s="25">
        <f>SUM(E151:P151)</f>
        <v>400</v>
      </c>
      <c r="R151" s="303">
        <v>715.75620359327513</v>
      </c>
      <c r="S151" s="314"/>
      <c r="T151" s="314">
        <v>352.8151786391565</v>
      </c>
      <c r="U151" s="314"/>
      <c r="V151" s="315"/>
      <c r="W151" s="315"/>
      <c r="X151" s="26"/>
      <c r="Y151" s="26"/>
      <c r="Z151" s="26"/>
      <c r="AA151" s="26"/>
      <c r="AB151" s="26"/>
      <c r="AC151" s="26"/>
      <c r="AD151" s="25">
        <f>SUM(R151:AC151)</f>
        <v>1068.5713822324317</v>
      </c>
      <c r="AE151" s="27">
        <v>1000</v>
      </c>
      <c r="AF151" s="75"/>
      <c r="AG151" s="75">
        <v>200</v>
      </c>
      <c r="AH151" s="23"/>
      <c r="AI151" s="28"/>
    </row>
    <row r="152" spans="1:35" s="29" customFormat="1" ht="19.5" customHeight="1">
      <c r="A152" s="356"/>
      <c r="B152" s="30"/>
      <c r="C152" s="31"/>
      <c r="D152" s="41"/>
      <c r="E152" s="83"/>
      <c r="F152" s="84"/>
      <c r="G152" s="84"/>
      <c r="H152" s="84"/>
      <c r="I152" s="84"/>
      <c r="J152" s="84"/>
      <c r="K152" s="84"/>
      <c r="L152" s="85"/>
      <c r="M152" s="84"/>
      <c r="N152" s="84"/>
      <c r="O152" s="84"/>
      <c r="P152" s="84"/>
      <c r="Q152" s="35"/>
      <c r="R152" s="82"/>
      <c r="S152" s="86"/>
      <c r="T152" s="86"/>
      <c r="U152" s="86"/>
      <c r="V152" s="86"/>
      <c r="W152" s="86"/>
      <c r="X152" s="86"/>
      <c r="Y152" s="88"/>
      <c r="Z152" s="86"/>
      <c r="AA152" s="86"/>
      <c r="AB152" s="86"/>
      <c r="AC152" s="86"/>
      <c r="AD152" s="35"/>
      <c r="AE152" s="40"/>
      <c r="AF152" s="32"/>
      <c r="AG152" s="32"/>
      <c r="AH152" s="41"/>
      <c r="AI152" s="35"/>
    </row>
    <row r="153" spans="1:35" s="29" customFormat="1" ht="19.5" customHeight="1">
      <c r="A153" s="356"/>
      <c r="B153" s="42" t="s">
        <v>34</v>
      </c>
      <c r="C153" s="43"/>
      <c r="D153" s="49">
        <v>0</v>
      </c>
      <c r="E153" s="77"/>
      <c r="F153" s="46"/>
      <c r="G153" s="46">
        <v>340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8">
        <f>SUM(E153:P153)</f>
        <v>340</v>
      </c>
      <c r="R153" s="302">
        <v>562.1554278074866</v>
      </c>
      <c r="S153" s="315"/>
      <c r="T153" s="315">
        <v>12.844795607979973</v>
      </c>
      <c r="U153" s="315"/>
      <c r="V153" s="315"/>
      <c r="W153" s="315"/>
      <c r="X153" s="50"/>
      <c r="Y153" s="50"/>
      <c r="Z153" s="50"/>
      <c r="AA153" s="50"/>
      <c r="AB153" s="50"/>
      <c r="AC153" s="50"/>
      <c r="AD153" s="48">
        <f>SUM(R153:AC153)</f>
        <v>575.00022341546662</v>
      </c>
      <c r="AE153" s="51">
        <v>850</v>
      </c>
      <c r="AF153" s="79"/>
      <c r="AG153" s="79">
        <v>170</v>
      </c>
      <c r="AH153" s="45"/>
      <c r="AI153" s="52"/>
    </row>
    <row r="154" spans="1:35" s="29" customFormat="1" ht="19.5" customHeight="1">
      <c r="A154" s="356"/>
      <c r="B154" s="30"/>
      <c r="C154" s="31"/>
      <c r="D154" s="61"/>
      <c r="E154" s="89"/>
      <c r="F154" s="90"/>
      <c r="G154" s="90"/>
      <c r="H154" s="90"/>
      <c r="I154" s="90"/>
      <c r="J154" s="90"/>
      <c r="K154" s="90"/>
      <c r="L154" s="91"/>
      <c r="M154" s="90"/>
      <c r="N154" s="90"/>
      <c r="O154" s="90"/>
      <c r="P154" s="90"/>
      <c r="Q154" s="57"/>
      <c r="R154" s="61"/>
      <c r="S154" s="92"/>
      <c r="T154" s="92"/>
      <c r="U154" s="92"/>
      <c r="V154" s="92"/>
      <c r="W154" s="92"/>
      <c r="X154" s="92"/>
      <c r="Y154" s="94"/>
      <c r="Z154" s="92"/>
      <c r="AA154" s="92"/>
      <c r="AB154" s="92"/>
      <c r="AC154" s="92"/>
      <c r="AD154" s="57"/>
      <c r="AE154" s="95"/>
      <c r="AF154" s="61"/>
      <c r="AG154" s="61"/>
      <c r="AH154" s="61"/>
      <c r="AI154" s="57"/>
    </row>
    <row r="155" spans="1:35" s="71" customFormat="1" ht="19.5" customHeight="1" thickBot="1">
      <c r="A155" s="357"/>
      <c r="B155" s="62" t="s">
        <v>38</v>
      </c>
      <c r="C155" s="105"/>
      <c r="D155" s="68"/>
      <c r="E155" s="65">
        <f>IFERROR(E153/E151,0)</f>
        <v>0</v>
      </c>
      <c r="F155" s="66">
        <f>IFERROR(F153/F151,0)</f>
        <v>0</v>
      </c>
      <c r="G155" s="66">
        <f t="shared" ref="G155:P155" si="60">IFERROR(G153/G151,0)</f>
        <v>0.85</v>
      </c>
      <c r="H155" s="66">
        <f t="shared" si="60"/>
        <v>0</v>
      </c>
      <c r="I155" s="66">
        <f t="shared" si="60"/>
        <v>0</v>
      </c>
      <c r="J155" s="66">
        <f t="shared" si="60"/>
        <v>0</v>
      </c>
      <c r="K155" s="66">
        <f t="shared" si="60"/>
        <v>0</v>
      </c>
      <c r="L155" s="66">
        <f t="shared" si="60"/>
        <v>0</v>
      </c>
      <c r="M155" s="66">
        <f t="shared" si="60"/>
        <v>0</v>
      </c>
      <c r="N155" s="66">
        <f t="shared" si="60"/>
        <v>0</v>
      </c>
      <c r="O155" s="66">
        <f t="shared" si="60"/>
        <v>0</v>
      </c>
      <c r="P155" s="66">
        <f t="shared" si="60"/>
        <v>0</v>
      </c>
      <c r="Q155" s="67">
        <f>IFERROR(Q153/Q151,0)</f>
        <v>0.85</v>
      </c>
      <c r="R155" s="68">
        <f>IFERROR(R153/R151,0)</f>
        <v>0.78540070625350611</v>
      </c>
      <c r="S155" s="69">
        <f>IFERROR(S153/S151,0)</f>
        <v>0</v>
      </c>
      <c r="T155" s="69">
        <f t="shared" ref="T155:AC155" si="61">IFERROR(T153/T151,0)</f>
        <v>3.6406584482911529E-2</v>
      </c>
      <c r="U155" s="69">
        <f t="shared" si="61"/>
        <v>0</v>
      </c>
      <c r="V155" s="69">
        <f t="shared" si="61"/>
        <v>0</v>
      </c>
      <c r="W155" s="69">
        <f t="shared" si="61"/>
        <v>0</v>
      </c>
      <c r="X155" s="69">
        <f t="shared" si="61"/>
        <v>0</v>
      </c>
      <c r="Y155" s="69">
        <f t="shared" si="61"/>
        <v>0</v>
      </c>
      <c r="Z155" s="69">
        <f t="shared" si="61"/>
        <v>0</v>
      </c>
      <c r="AA155" s="69">
        <f t="shared" si="61"/>
        <v>0</v>
      </c>
      <c r="AB155" s="69">
        <f t="shared" si="61"/>
        <v>0</v>
      </c>
      <c r="AC155" s="69">
        <f t="shared" si="61"/>
        <v>0</v>
      </c>
      <c r="AD155" s="67">
        <f>IFERROR(AD153/AD151,0)</f>
        <v>0.53810183669170608</v>
      </c>
      <c r="AE155" s="96">
        <f>AE153/AE151</f>
        <v>0.85</v>
      </c>
      <c r="AF155" s="68" t="e">
        <f>AF153/AF151</f>
        <v>#DIV/0!</v>
      </c>
      <c r="AG155" s="68">
        <f>AG153/AG151</f>
        <v>0.85</v>
      </c>
      <c r="AH155" s="68" t="e">
        <f>AH153/AH151</f>
        <v>#DIV/0!</v>
      </c>
      <c r="AI155" s="67" t="e">
        <f>AI153/AI151</f>
        <v>#DIV/0!</v>
      </c>
    </row>
    <row r="156" spans="1:35" s="29" customFormat="1" ht="19.5" hidden="1" customHeight="1">
      <c r="A156" s="358" t="s">
        <v>75</v>
      </c>
      <c r="B156" s="20" t="s">
        <v>32</v>
      </c>
      <c r="C156" s="21"/>
      <c r="D156" s="22"/>
      <c r="E156" s="73"/>
      <c r="F156" s="74"/>
      <c r="G156" s="46"/>
      <c r="H156" s="46"/>
      <c r="I156" s="46"/>
      <c r="J156" s="46"/>
      <c r="K156" s="74"/>
      <c r="L156" s="74"/>
      <c r="M156" s="74"/>
      <c r="N156" s="74"/>
      <c r="O156" s="74"/>
      <c r="P156" s="74"/>
      <c r="Q156" s="25">
        <f>SUM(E156:P156)</f>
        <v>0</v>
      </c>
      <c r="R156" s="22"/>
      <c r="S156" s="26"/>
      <c r="T156" s="26"/>
      <c r="U156" s="26"/>
      <c r="V156" s="50"/>
      <c r="W156" s="50"/>
      <c r="X156" s="26"/>
      <c r="Y156" s="26"/>
      <c r="Z156" s="26"/>
      <c r="AA156" s="26"/>
      <c r="AB156" s="26"/>
      <c r="AC156" s="26"/>
      <c r="AD156" s="25">
        <f>SUM(R156:AC156)</f>
        <v>0</v>
      </c>
      <c r="AE156" s="27"/>
      <c r="AF156" s="75"/>
      <c r="AG156" s="75"/>
      <c r="AH156" s="23"/>
      <c r="AI156" s="28"/>
    </row>
    <row r="157" spans="1:35" s="29" customFormat="1" ht="19.5" hidden="1" customHeight="1">
      <c r="A157" s="356"/>
      <c r="B157" s="30"/>
      <c r="C157" s="31"/>
      <c r="D157" s="41"/>
      <c r="E157" s="83"/>
      <c r="F157" s="84"/>
      <c r="G157" s="84"/>
      <c r="H157" s="84"/>
      <c r="I157" s="84"/>
      <c r="J157" s="84"/>
      <c r="K157" s="84"/>
      <c r="L157" s="85"/>
      <c r="M157" s="84"/>
      <c r="N157" s="84"/>
      <c r="O157" s="84"/>
      <c r="P157" s="84"/>
      <c r="Q157" s="35"/>
      <c r="R157" s="82"/>
      <c r="S157" s="86"/>
      <c r="T157" s="86"/>
      <c r="U157" s="86"/>
      <c r="V157" s="86"/>
      <c r="W157" s="86"/>
      <c r="X157" s="86"/>
      <c r="Y157" s="88"/>
      <c r="Z157" s="86"/>
      <c r="AA157" s="86"/>
      <c r="AB157" s="86"/>
      <c r="AC157" s="86"/>
      <c r="AD157" s="97"/>
      <c r="AE157" s="40"/>
      <c r="AF157" s="32"/>
      <c r="AG157" s="32"/>
      <c r="AH157" s="41"/>
      <c r="AI157" s="35"/>
    </row>
    <row r="158" spans="1:35" s="29" customFormat="1" ht="19.5" hidden="1" customHeight="1">
      <c r="A158" s="356"/>
      <c r="B158" s="42" t="s">
        <v>34</v>
      </c>
      <c r="C158" s="43"/>
      <c r="D158" s="49"/>
      <c r="E158" s="77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8">
        <f>SUM(E158:P158)</f>
        <v>0</v>
      </c>
      <c r="R158" s="49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48">
        <f>SUM(R158:AC158)</f>
        <v>0</v>
      </c>
      <c r="AE158" s="51"/>
      <c r="AF158" s="79"/>
      <c r="AG158" s="79"/>
      <c r="AH158" s="45"/>
      <c r="AI158" s="52"/>
    </row>
    <row r="159" spans="1:35" s="29" customFormat="1" ht="19.5" hidden="1" customHeight="1">
      <c r="A159" s="356"/>
      <c r="B159" s="30"/>
      <c r="C159" s="31"/>
      <c r="D159" s="61"/>
      <c r="E159" s="89"/>
      <c r="F159" s="90"/>
      <c r="G159" s="90"/>
      <c r="H159" s="90"/>
      <c r="I159" s="90"/>
      <c r="J159" s="90"/>
      <c r="K159" s="90"/>
      <c r="L159" s="91"/>
      <c r="M159" s="90"/>
      <c r="N159" s="90"/>
      <c r="O159" s="90"/>
      <c r="P159" s="90"/>
      <c r="Q159" s="57"/>
      <c r="R159" s="61"/>
      <c r="S159" s="92"/>
      <c r="T159" s="92"/>
      <c r="U159" s="92"/>
      <c r="V159" s="92"/>
      <c r="W159" s="92"/>
      <c r="X159" s="92"/>
      <c r="Y159" s="94"/>
      <c r="Z159" s="92"/>
      <c r="AA159" s="92"/>
      <c r="AB159" s="92"/>
      <c r="AC159" s="92"/>
      <c r="AD159" s="98"/>
      <c r="AE159" s="60"/>
      <c r="AF159" s="55"/>
      <c r="AG159" s="55"/>
      <c r="AH159" s="61"/>
      <c r="AI159" s="57"/>
    </row>
    <row r="160" spans="1:35" s="71" customFormat="1" ht="19.5" hidden="1" customHeight="1" thickBot="1">
      <c r="A160" s="357"/>
      <c r="B160" s="62" t="s">
        <v>38</v>
      </c>
      <c r="C160" s="93" t="s">
        <v>69</v>
      </c>
      <c r="D160" s="68"/>
      <c r="E160" s="65">
        <f>IFERROR(E158/E156,0)</f>
        <v>0</v>
      </c>
      <c r="F160" s="66">
        <f>IFERROR(F158/F156,0)</f>
        <v>0</v>
      </c>
      <c r="G160" s="66">
        <f t="shared" ref="G160:P160" si="62">IFERROR(G158/G156,0)</f>
        <v>0</v>
      </c>
      <c r="H160" s="66">
        <f t="shared" si="62"/>
        <v>0</v>
      </c>
      <c r="I160" s="66">
        <f t="shared" si="62"/>
        <v>0</v>
      </c>
      <c r="J160" s="66">
        <f t="shared" si="62"/>
        <v>0</v>
      </c>
      <c r="K160" s="66">
        <f t="shared" si="62"/>
        <v>0</v>
      </c>
      <c r="L160" s="66">
        <f t="shared" si="62"/>
        <v>0</v>
      </c>
      <c r="M160" s="66">
        <f t="shared" si="62"/>
        <v>0</v>
      </c>
      <c r="N160" s="66">
        <f t="shared" si="62"/>
        <v>0</v>
      </c>
      <c r="O160" s="66">
        <f t="shared" si="62"/>
        <v>0</v>
      </c>
      <c r="P160" s="66">
        <f t="shared" si="62"/>
        <v>0</v>
      </c>
      <c r="Q160" s="67">
        <f>IFERROR(Q158/Q156,0)</f>
        <v>0</v>
      </c>
      <c r="R160" s="68">
        <f>IFERROR(R158/R156,0)</f>
        <v>0</v>
      </c>
      <c r="S160" s="69">
        <f>IFERROR(S158/S156,0)</f>
        <v>0</v>
      </c>
      <c r="T160" s="69">
        <f t="shared" ref="T160:AC160" si="63">IFERROR(T158/T156,0)</f>
        <v>0</v>
      </c>
      <c r="U160" s="69">
        <f t="shared" si="63"/>
        <v>0</v>
      </c>
      <c r="V160" s="69">
        <f t="shared" si="63"/>
        <v>0</v>
      </c>
      <c r="W160" s="69">
        <f t="shared" si="63"/>
        <v>0</v>
      </c>
      <c r="X160" s="69">
        <f t="shared" si="63"/>
        <v>0</v>
      </c>
      <c r="Y160" s="69">
        <f t="shared" si="63"/>
        <v>0</v>
      </c>
      <c r="Z160" s="69">
        <f t="shared" si="63"/>
        <v>0</v>
      </c>
      <c r="AA160" s="69">
        <f t="shared" si="63"/>
        <v>0</v>
      </c>
      <c r="AB160" s="69">
        <f t="shared" si="63"/>
        <v>0</v>
      </c>
      <c r="AC160" s="69">
        <f t="shared" si="63"/>
        <v>0</v>
      </c>
      <c r="AD160" s="67">
        <f>IFERROR(AD158/AD156,0)</f>
        <v>0</v>
      </c>
      <c r="AE160" s="70" t="e">
        <f>AE158/AE156</f>
        <v>#DIV/0!</v>
      </c>
      <c r="AF160" s="64" t="e">
        <f>AF158/AF156</f>
        <v>#DIV/0!</v>
      </c>
      <c r="AG160" s="64" t="e">
        <f>AG158/AG156</f>
        <v>#DIV/0!</v>
      </c>
      <c r="AH160" s="68" t="e">
        <f>AH158/AH156</f>
        <v>#DIV/0!</v>
      </c>
      <c r="AI160" s="67" t="e">
        <f>AI158/AI156</f>
        <v>#DIV/0!</v>
      </c>
    </row>
    <row r="161" spans="1:35" s="29" customFormat="1" ht="19.5" hidden="1" customHeight="1">
      <c r="A161" s="358" t="s">
        <v>76</v>
      </c>
      <c r="B161" s="20" t="s">
        <v>32</v>
      </c>
      <c r="C161" s="21"/>
      <c r="D161" s="22">
        <v>40.821448490160144</v>
      </c>
      <c r="E161" s="73"/>
      <c r="F161" s="74"/>
      <c r="G161" s="46"/>
      <c r="H161" s="46"/>
      <c r="I161" s="46"/>
      <c r="J161" s="46"/>
      <c r="K161" s="74"/>
      <c r="L161" s="74"/>
      <c r="M161" s="74"/>
      <c r="N161" s="74"/>
      <c r="O161" s="74"/>
      <c r="P161" s="74"/>
      <c r="Q161" s="25">
        <f>SUM(E161:P161)</f>
        <v>0</v>
      </c>
      <c r="R161" s="22"/>
      <c r="S161" s="26"/>
      <c r="T161" s="26"/>
      <c r="U161" s="26"/>
      <c r="V161" s="50"/>
      <c r="W161" s="50"/>
      <c r="X161" s="26"/>
      <c r="Y161" s="26"/>
      <c r="Z161" s="26"/>
      <c r="AA161" s="26"/>
      <c r="AB161" s="26"/>
      <c r="AC161" s="26"/>
      <c r="AD161" s="25">
        <f>SUM(R161:AC161)</f>
        <v>0</v>
      </c>
      <c r="AE161" s="27"/>
      <c r="AF161" s="75"/>
      <c r="AG161" s="75"/>
      <c r="AH161" s="23"/>
      <c r="AI161" s="28"/>
    </row>
    <row r="162" spans="1:35" s="29" customFormat="1" ht="19.5" hidden="1" customHeight="1">
      <c r="A162" s="356"/>
      <c r="B162" s="30"/>
      <c r="C162" s="31"/>
      <c r="D162" s="41"/>
      <c r="E162" s="83"/>
      <c r="F162" s="84"/>
      <c r="G162" s="84"/>
      <c r="H162" s="84"/>
      <c r="I162" s="84"/>
      <c r="J162" s="84"/>
      <c r="K162" s="84"/>
      <c r="L162" s="85"/>
      <c r="M162" s="84"/>
      <c r="N162" s="84"/>
      <c r="O162" s="84"/>
      <c r="P162" s="84"/>
      <c r="Q162" s="35"/>
      <c r="R162" s="82"/>
      <c r="S162" s="86"/>
      <c r="T162" s="86"/>
      <c r="U162" s="86"/>
      <c r="V162" s="86"/>
      <c r="W162" s="86"/>
      <c r="X162" s="86"/>
      <c r="Y162" s="88"/>
      <c r="Z162" s="86"/>
      <c r="AA162" s="86"/>
      <c r="AB162" s="86"/>
      <c r="AC162" s="86"/>
      <c r="AD162" s="97"/>
      <c r="AE162" s="40"/>
      <c r="AF162" s="32"/>
      <c r="AG162" s="32"/>
      <c r="AH162" s="41"/>
      <c r="AI162" s="35"/>
    </row>
    <row r="163" spans="1:35" s="29" customFormat="1" ht="19.5" hidden="1" customHeight="1">
      <c r="A163" s="356"/>
      <c r="B163" s="42" t="s">
        <v>34</v>
      </c>
      <c r="C163" s="43"/>
      <c r="D163" s="49">
        <v>16.347491116245717</v>
      </c>
      <c r="E163" s="77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8">
        <f>SUM(E163:P163)</f>
        <v>0</v>
      </c>
      <c r="R163" s="49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48">
        <f>SUM(R163:AC163)</f>
        <v>0</v>
      </c>
      <c r="AE163" s="51"/>
      <c r="AF163" s="79"/>
      <c r="AG163" s="79"/>
      <c r="AH163" s="45"/>
      <c r="AI163" s="52"/>
    </row>
    <row r="164" spans="1:35" s="29" customFormat="1" ht="19.5" hidden="1" customHeight="1">
      <c r="A164" s="356"/>
      <c r="B164" s="30"/>
      <c r="C164" s="31"/>
      <c r="D164" s="61"/>
      <c r="E164" s="89"/>
      <c r="F164" s="90"/>
      <c r="G164" s="90"/>
      <c r="H164" s="90"/>
      <c r="I164" s="90"/>
      <c r="J164" s="90"/>
      <c r="K164" s="90"/>
      <c r="L164" s="91"/>
      <c r="M164" s="90"/>
      <c r="N164" s="90"/>
      <c r="O164" s="90"/>
      <c r="P164" s="90"/>
      <c r="Q164" s="57"/>
      <c r="R164" s="61"/>
      <c r="S164" s="92"/>
      <c r="T164" s="92"/>
      <c r="U164" s="92"/>
      <c r="V164" s="92"/>
      <c r="W164" s="92"/>
      <c r="X164" s="92"/>
      <c r="Y164" s="94"/>
      <c r="Z164" s="92"/>
      <c r="AA164" s="92"/>
      <c r="AB164" s="92"/>
      <c r="AC164" s="92"/>
      <c r="AD164" s="98"/>
      <c r="AE164" s="60"/>
      <c r="AF164" s="55"/>
      <c r="AG164" s="55"/>
      <c r="AH164" s="61"/>
      <c r="AI164" s="57"/>
    </row>
    <row r="165" spans="1:35" s="71" customFormat="1" ht="19.5" hidden="1" customHeight="1" thickBot="1">
      <c r="A165" s="357"/>
      <c r="B165" s="62" t="s">
        <v>38</v>
      </c>
      <c r="C165" s="93" t="s">
        <v>77</v>
      </c>
      <c r="D165" s="68">
        <v>0.40046327900849032</v>
      </c>
      <c r="E165" s="65">
        <f>IFERROR(E163/E161,0)</f>
        <v>0</v>
      </c>
      <c r="F165" s="66">
        <f>IFERROR(F163/F161,0)</f>
        <v>0</v>
      </c>
      <c r="G165" s="66">
        <f t="shared" ref="G165:P165" si="64">IFERROR(G163/G161,0)</f>
        <v>0</v>
      </c>
      <c r="H165" s="66">
        <f t="shared" si="64"/>
        <v>0</v>
      </c>
      <c r="I165" s="66">
        <f t="shared" si="64"/>
        <v>0</v>
      </c>
      <c r="J165" s="66">
        <f t="shared" si="64"/>
        <v>0</v>
      </c>
      <c r="K165" s="66">
        <f t="shared" si="64"/>
        <v>0</v>
      </c>
      <c r="L165" s="66">
        <f t="shared" si="64"/>
        <v>0</v>
      </c>
      <c r="M165" s="66">
        <f t="shared" si="64"/>
        <v>0</v>
      </c>
      <c r="N165" s="66">
        <f t="shared" si="64"/>
        <v>0</v>
      </c>
      <c r="O165" s="66">
        <f t="shared" si="64"/>
        <v>0</v>
      </c>
      <c r="P165" s="66">
        <f t="shared" si="64"/>
        <v>0</v>
      </c>
      <c r="Q165" s="67">
        <f>IFERROR(Q163/Q161,0)</f>
        <v>0</v>
      </c>
      <c r="R165" s="68">
        <f>IFERROR(R163/R161,0)</f>
        <v>0</v>
      </c>
      <c r="S165" s="69">
        <f>IFERROR(S163/S161,0)</f>
        <v>0</v>
      </c>
      <c r="T165" s="69">
        <f t="shared" ref="T165:AC165" si="65">IFERROR(T163/T161,0)</f>
        <v>0</v>
      </c>
      <c r="U165" s="69">
        <f t="shared" si="65"/>
        <v>0</v>
      </c>
      <c r="V165" s="69">
        <f t="shared" si="65"/>
        <v>0</v>
      </c>
      <c r="W165" s="69">
        <f t="shared" si="65"/>
        <v>0</v>
      </c>
      <c r="X165" s="69">
        <f t="shared" si="65"/>
        <v>0</v>
      </c>
      <c r="Y165" s="69">
        <f t="shared" si="65"/>
        <v>0</v>
      </c>
      <c r="Z165" s="69">
        <f t="shared" si="65"/>
        <v>0</v>
      </c>
      <c r="AA165" s="69">
        <f t="shared" si="65"/>
        <v>0</v>
      </c>
      <c r="AB165" s="69">
        <f t="shared" si="65"/>
        <v>0</v>
      </c>
      <c r="AC165" s="69">
        <f t="shared" si="65"/>
        <v>0</v>
      </c>
      <c r="AD165" s="67">
        <f>IFERROR(AD163/AD161,0)</f>
        <v>0</v>
      </c>
      <c r="AE165" s="70" t="e">
        <f>AE163/AE161</f>
        <v>#DIV/0!</v>
      </c>
      <c r="AF165" s="64" t="e">
        <f>AF163/AF161</f>
        <v>#DIV/0!</v>
      </c>
      <c r="AG165" s="64" t="e">
        <f>AG163/AG161</f>
        <v>#DIV/0!</v>
      </c>
      <c r="AH165" s="68" t="e">
        <f>AH163/AH161</f>
        <v>#DIV/0!</v>
      </c>
      <c r="AI165" s="67" t="e">
        <f>AI163/AI161</f>
        <v>#DIV/0!</v>
      </c>
    </row>
    <row r="166" spans="1:35" s="29" customFormat="1" ht="19.5" hidden="1" customHeight="1">
      <c r="A166" s="358" t="s">
        <v>78</v>
      </c>
      <c r="B166" s="20" t="s">
        <v>32</v>
      </c>
      <c r="C166" s="21"/>
      <c r="D166" s="22">
        <v>115.12880290623919</v>
      </c>
      <c r="E166" s="73"/>
      <c r="F166" s="74"/>
      <c r="G166" s="46"/>
      <c r="H166" s="46"/>
      <c r="I166" s="46"/>
      <c r="J166" s="46"/>
      <c r="K166" s="74"/>
      <c r="L166" s="74"/>
      <c r="M166" s="74"/>
      <c r="N166" s="74"/>
      <c r="O166" s="74"/>
      <c r="P166" s="74"/>
      <c r="Q166" s="25">
        <f>SUM(E166:P166)</f>
        <v>0</v>
      </c>
      <c r="R166" s="22"/>
      <c r="S166" s="26"/>
      <c r="T166" s="26"/>
      <c r="U166" s="26"/>
      <c r="V166" s="50"/>
      <c r="W166" s="50"/>
      <c r="X166" s="26"/>
      <c r="Y166" s="26"/>
      <c r="Z166" s="26"/>
      <c r="AA166" s="26"/>
      <c r="AB166" s="26"/>
      <c r="AC166" s="26"/>
      <c r="AD166" s="25">
        <f>SUM(R166:AC166)</f>
        <v>0</v>
      </c>
      <c r="AE166" s="27"/>
      <c r="AF166" s="75"/>
      <c r="AG166" s="75"/>
      <c r="AH166" s="23"/>
      <c r="AI166" s="28"/>
    </row>
    <row r="167" spans="1:35" s="29" customFormat="1" ht="19.5" hidden="1" customHeight="1">
      <c r="A167" s="356"/>
      <c r="B167" s="30"/>
      <c r="C167" s="31"/>
      <c r="D167" s="41"/>
      <c r="E167" s="83"/>
      <c r="F167" s="84"/>
      <c r="G167" s="84"/>
      <c r="H167" s="84"/>
      <c r="I167" s="84"/>
      <c r="J167" s="84"/>
      <c r="K167" s="84"/>
      <c r="L167" s="85"/>
      <c r="M167" s="84"/>
      <c r="N167" s="84"/>
      <c r="O167" s="84"/>
      <c r="P167" s="84"/>
      <c r="Q167" s="35"/>
      <c r="R167" s="82"/>
      <c r="S167" s="86"/>
      <c r="T167" s="86"/>
      <c r="U167" s="86"/>
      <c r="V167" s="86"/>
      <c r="W167" s="86"/>
      <c r="X167" s="86"/>
      <c r="Y167" s="88"/>
      <c r="Z167" s="86"/>
      <c r="AA167" s="86"/>
      <c r="AB167" s="86"/>
      <c r="AC167" s="86"/>
      <c r="AD167" s="35"/>
      <c r="AE167" s="40"/>
      <c r="AF167" s="32"/>
      <c r="AG167" s="32"/>
      <c r="AH167" s="41"/>
      <c r="AI167" s="35"/>
    </row>
    <row r="168" spans="1:35" s="29" customFormat="1" ht="19.5" hidden="1" customHeight="1">
      <c r="A168" s="356"/>
      <c r="B168" s="42" t="s">
        <v>34</v>
      </c>
      <c r="C168" s="43"/>
      <c r="D168" s="49">
        <v>78.368048283550522</v>
      </c>
      <c r="E168" s="77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8">
        <f>SUM(E168:P168)</f>
        <v>0</v>
      </c>
      <c r="R168" s="49"/>
      <c r="S168" s="50"/>
      <c r="T168" s="50"/>
      <c r="U168" s="50"/>
      <c r="V168" s="50"/>
      <c r="W168" s="50"/>
      <c r="X168" s="50"/>
      <c r="Y168" s="50"/>
      <c r="Z168" s="50"/>
      <c r="AA168" s="100"/>
      <c r="AB168" s="50"/>
      <c r="AC168" s="50"/>
      <c r="AD168" s="48">
        <f>SUM(R168:AC168)</f>
        <v>0</v>
      </c>
      <c r="AE168" s="51"/>
      <c r="AF168" s="79"/>
      <c r="AG168" s="79"/>
      <c r="AH168" s="45"/>
      <c r="AI168" s="52"/>
    </row>
    <row r="169" spans="1:35" s="29" customFormat="1" ht="19.5" hidden="1" customHeight="1">
      <c r="A169" s="356"/>
      <c r="B169" s="30"/>
      <c r="C169" s="31"/>
      <c r="D169" s="61"/>
      <c r="E169" s="89"/>
      <c r="F169" s="90"/>
      <c r="G169" s="90"/>
      <c r="H169" s="90"/>
      <c r="I169" s="90"/>
      <c r="J169" s="90"/>
      <c r="K169" s="90"/>
      <c r="L169" s="91"/>
      <c r="M169" s="90"/>
      <c r="N169" s="90"/>
      <c r="O169" s="90"/>
      <c r="P169" s="90"/>
      <c r="Q169" s="57"/>
      <c r="R169" s="61"/>
      <c r="S169" s="92"/>
      <c r="T169" s="92"/>
      <c r="U169" s="92"/>
      <c r="V169" s="92"/>
      <c r="W169" s="92"/>
      <c r="X169" s="92"/>
      <c r="Y169" s="94"/>
      <c r="Z169" s="92"/>
      <c r="AA169" s="92"/>
      <c r="AB169" s="92"/>
      <c r="AC169" s="92"/>
      <c r="AD169" s="57"/>
      <c r="AE169" s="95"/>
      <c r="AF169" s="61"/>
      <c r="AG169" s="61"/>
      <c r="AH169" s="61"/>
      <c r="AI169" s="57"/>
    </row>
    <row r="170" spans="1:35" s="71" customFormat="1" ht="19.5" hidden="1" customHeight="1" thickBot="1">
      <c r="A170" s="357"/>
      <c r="B170" s="62" t="s">
        <v>38</v>
      </c>
      <c r="C170" s="93" t="s">
        <v>77</v>
      </c>
      <c r="D170" s="68">
        <v>0.68069888946359847</v>
      </c>
      <c r="E170" s="65">
        <f>IFERROR(E168/E166,0)</f>
        <v>0</v>
      </c>
      <c r="F170" s="66">
        <f>IFERROR(F168/F166,0)</f>
        <v>0</v>
      </c>
      <c r="G170" s="66">
        <f t="shared" ref="G170:Q170" si="66">IFERROR(G168/G166,0)</f>
        <v>0</v>
      </c>
      <c r="H170" s="66">
        <f t="shared" si="66"/>
        <v>0</v>
      </c>
      <c r="I170" s="66">
        <f t="shared" si="66"/>
        <v>0</v>
      </c>
      <c r="J170" s="66">
        <f t="shared" si="66"/>
        <v>0</v>
      </c>
      <c r="K170" s="66">
        <f t="shared" si="66"/>
        <v>0</v>
      </c>
      <c r="L170" s="66">
        <f t="shared" si="66"/>
        <v>0</v>
      </c>
      <c r="M170" s="66">
        <f t="shared" si="66"/>
        <v>0</v>
      </c>
      <c r="N170" s="66">
        <f t="shared" si="66"/>
        <v>0</v>
      </c>
      <c r="O170" s="66">
        <f t="shared" si="66"/>
        <v>0</v>
      </c>
      <c r="P170" s="66">
        <f t="shared" si="66"/>
        <v>0</v>
      </c>
      <c r="Q170" s="67">
        <f t="shared" si="66"/>
        <v>0</v>
      </c>
      <c r="R170" s="68">
        <f>IFERROR(R168/R166,0)</f>
        <v>0</v>
      </c>
      <c r="S170" s="69">
        <f>IFERROR(S168/S166,0)</f>
        <v>0</v>
      </c>
      <c r="T170" s="69">
        <f t="shared" ref="T170:AC170" si="67">IFERROR(T168/T166,0)</f>
        <v>0</v>
      </c>
      <c r="U170" s="69">
        <f t="shared" si="67"/>
        <v>0</v>
      </c>
      <c r="V170" s="69">
        <f t="shared" si="67"/>
        <v>0</v>
      </c>
      <c r="W170" s="69">
        <f t="shared" si="67"/>
        <v>0</v>
      </c>
      <c r="X170" s="69">
        <f t="shared" si="67"/>
        <v>0</v>
      </c>
      <c r="Y170" s="69">
        <f t="shared" si="67"/>
        <v>0</v>
      </c>
      <c r="Z170" s="69">
        <f t="shared" si="67"/>
        <v>0</v>
      </c>
      <c r="AA170" s="69">
        <f t="shared" si="67"/>
        <v>0</v>
      </c>
      <c r="AB170" s="69">
        <f t="shared" si="67"/>
        <v>0</v>
      </c>
      <c r="AC170" s="69">
        <f t="shared" si="67"/>
        <v>0</v>
      </c>
      <c r="AD170" s="67">
        <f>IFERROR(AD168/AD166,0)</f>
        <v>0</v>
      </c>
      <c r="AE170" s="96" t="e">
        <f>AE168/AE166</f>
        <v>#DIV/0!</v>
      </c>
      <c r="AF170" s="68" t="e">
        <f>AF168/AF166</f>
        <v>#DIV/0!</v>
      </c>
      <c r="AG170" s="68" t="e">
        <f>AG168/AG166</f>
        <v>#DIV/0!</v>
      </c>
      <c r="AH170" s="68" t="e">
        <f>AH168/AH166</f>
        <v>#DIV/0!</v>
      </c>
      <c r="AI170" s="67" t="e">
        <f>AI168/AI166</f>
        <v>#DIV/0!</v>
      </c>
    </row>
    <row r="171" spans="1:35" s="29" customFormat="1" ht="19.5" hidden="1" customHeight="1">
      <c r="A171" s="358" t="s">
        <v>79</v>
      </c>
      <c r="B171" s="20" t="s">
        <v>32</v>
      </c>
      <c r="C171" s="21"/>
      <c r="D171" s="22">
        <v>8.7810000000000006</v>
      </c>
      <c r="E171" s="73"/>
      <c r="F171" s="74"/>
      <c r="G171" s="46"/>
      <c r="H171" s="46"/>
      <c r="I171" s="46"/>
      <c r="J171" s="46"/>
      <c r="K171" s="74"/>
      <c r="L171" s="74"/>
      <c r="M171" s="74"/>
      <c r="N171" s="74"/>
      <c r="O171" s="74"/>
      <c r="P171" s="74"/>
      <c r="Q171" s="25">
        <f>SUM(E171:P171)</f>
        <v>0</v>
      </c>
      <c r="R171" s="22"/>
      <c r="S171" s="26"/>
      <c r="T171" s="26"/>
      <c r="U171" s="26"/>
      <c r="V171" s="50"/>
      <c r="W171" s="50"/>
      <c r="X171" s="26"/>
      <c r="Y171" s="26"/>
      <c r="Z171" s="26"/>
      <c r="AA171" s="99"/>
      <c r="AB171" s="26"/>
      <c r="AC171" s="26"/>
      <c r="AD171" s="25">
        <f>SUM(R171:AC171)</f>
        <v>0</v>
      </c>
      <c r="AE171" s="27"/>
      <c r="AF171" s="75"/>
      <c r="AG171" s="75"/>
      <c r="AH171" s="23"/>
      <c r="AI171" s="28"/>
    </row>
    <row r="172" spans="1:35" s="29" customFormat="1" ht="19.5" hidden="1" customHeight="1">
      <c r="A172" s="356"/>
      <c r="B172" s="30"/>
      <c r="C172" s="31"/>
      <c r="D172" s="41"/>
      <c r="E172" s="83"/>
      <c r="F172" s="84"/>
      <c r="G172" s="84"/>
      <c r="H172" s="84"/>
      <c r="I172" s="84"/>
      <c r="J172" s="84"/>
      <c r="K172" s="84"/>
      <c r="L172" s="85"/>
      <c r="M172" s="84"/>
      <c r="N172" s="84"/>
      <c r="O172" s="84"/>
      <c r="P172" s="84"/>
      <c r="Q172" s="35"/>
      <c r="R172" s="82"/>
      <c r="S172" s="86"/>
      <c r="T172" s="86"/>
      <c r="U172" s="86"/>
      <c r="V172" s="86"/>
      <c r="W172" s="86"/>
      <c r="X172" s="86"/>
      <c r="Y172" s="88"/>
      <c r="Z172" s="86"/>
      <c r="AA172" s="86"/>
      <c r="AB172" s="86"/>
      <c r="AC172" s="86"/>
      <c r="AD172" s="35"/>
      <c r="AE172" s="40"/>
      <c r="AF172" s="32"/>
      <c r="AG172" s="32"/>
      <c r="AH172" s="41"/>
      <c r="AI172" s="35"/>
    </row>
    <row r="173" spans="1:35" s="29" customFormat="1" ht="19.5" hidden="1" customHeight="1">
      <c r="A173" s="356"/>
      <c r="B173" s="42" t="s">
        <v>34</v>
      </c>
      <c r="C173" s="43"/>
      <c r="D173" s="49">
        <v>7.0248000000000008</v>
      </c>
      <c r="E173" s="77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8">
        <f>SUM(E173:P173)</f>
        <v>0</v>
      </c>
      <c r="R173" s="49"/>
      <c r="S173" s="50"/>
      <c r="T173" s="50"/>
      <c r="U173" s="50"/>
      <c r="V173" s="50"/>
      <c r="W173" s="50"/>
      <c r="X173" s="50"/>
      <c r="Y173" s="50"/>
      <c r="Z173" s="50"/>
      <c r="AA173" s="100"/>
      <c r="AB173" s="50"/>
      <c r="AC173" s="50"/>
      <c r="AD173" s="48">
        <f>SUM(R173:AC173)</f>
        <v>0</v>
      </c>
      <c r="AE173" s="51"/>
      <c r="AF173" s="79"/>
      <c r="AG173" s="79"/>
      <c r="AH173" s="45"/>
      <c r="AI173" s="52"/>
    </row>
    <row r="174" spans="1:35" s="29" customFormat="1" ht="19.5" hidden="1" customHeight="1">
      <c r="A174" s="356"/>
      <c r="B174" s="30"/>
      <c r="C174" s="31"/>
      <c r="D174" s="61"/>
      <c r="E174" s="89"/>
      <c r="F174" s="90"/>
      <c r="G174" s="90"/>
      <c r="H174" s="90"/>
      <c r="I174" s="90"/>
      <c r="J174" s="90"/>
      <c r="K174" s="90"/>
      <c r="L174" s="91"/>
      <c r="M174" s="90"/>
      <c r="N174" s="90"/>
      <c r="O174" s="90"/>
      <c r="P174" s="90"/>
      <c r="Q174" s="57"/>
      <c r="R174" s="61"/>
      <c r="S174" s="92"/>
      <c r="T174" s="92"/>
      <c r="U174" s="92"/>
      <c r="V174" s="92"/>
      <c r="W174" s="92"/>
      <c r="X174" s="92"/>
      <c r="Y174" s="94"/>
      <c r="Z174" s="92"/>
      <c r="AA174" s="92"/>
      <c r="AB174" s="92"/>
      <c r="AC174" s="92"/>
      <c r="AD174" s="57"/>
      <c r="AE174" s="95"/>
      <c r="AF174" s="61"/>
      <c r="AG174" s="61"/>
      <c r="AH174" s="61"/>
      <c r="AI174" s="57"/>
    </row>
    <row r="175" spans="1:35" s="71" customFormat="1" ht="19.5" hidden="1" customHeight="1" thickBot="1">
      <c r="A175" s="357"/>
      <c r="B175" s="62" t="s">
        <v>38</v>
      </c>
      <c r="C175" s="93" t="s">
        <v>77</v>
      </c>
      <c r="D175" s="68">
        <v>0.8</v>
      </c>
      <c r="E175" s="65">
        <f>IFERROR(E173/E171,0)</f>
        <v>0</v>
      </c>
      <c r="F175" s="66">
        <f>IFERROR(F173/F171,0)</f>
        <v>0</v>
      </c>
      <c r="G175" s="66">
        <f t="shared" ref="G175:Q175" si="68">IFERROR(G173/G171,0)</f>
        <v>0</v>
      </c>
      <c r="H175" s="66">
        <f t="shared" si="68"/>
        <v>0</v>
      </c>
      <c r="I175" s="66">
        <f t="shared" si="68"/>
        <v>0</v>
      </c>
      <c r="J175" s="66">
        <f t="shared" si="68"/>
        <v>0</v>
      </c>
      <c r="K175" s="66">
        <f t="shared" si="68"/>
        <v>0</v>
      </c>
      <c r="L175" s="66">
        <f t="shared" si="68"/>
        <v>0</v>
      </c>
      <c r="M175" s="66">
        <f t="shared" si="68"/>
        <v>0</v>
      </c>
      <c r="N175" s="66">
        <f t="shared" si="68"/>
        <v>0</v>
      </c>
      <c r="O175" s="66">
        <f t="shared" si="68"/>
        <v>0</v>
      </c>
      <c r="P175" s="66">
        <f t="shared" si="68"/>
        <v>0</v>
      </c>
      <c r="Q175" s="67">
        <f t="shared" si="68"/>
        <v>0</v>
      </c>
      <c r="R175" s="68">
        <f>IFERROR(R173/R171,0)</f>
        <v>0</v>
      </c>
      <c r="S175" s="69">
        <f>IFERROR(S173/S171,0)</f>
        <v>0</v>
      </c>
      <c r="T175" s="69">
        <f t="shared" ref="T175:AC175" si="69">IFERROR(T173/T171,0)</f>
        <v>0</v>
      </c>
      <c r="U175" s="69">
        <f t="shared" si="69"/>
        <v>0</v>
      </c>
      <c r="V175" s="69">
        <f t="shared" si="69"/>
        <v>0</v>
      </c>
      <c r="W175" s="69">
        <f t="shared" si="69"/>
        <v>0</v>
      </c>
      <c r="X175" s="69">
        <f t="shared" si="69"/>
        <v>0</v>
      </c>
      <c r="Y175" s="69">
        <f t="shared" si="69"/>
        <v>0</v>
      </c>
      <c r="Z175" s="69">
        <f t="shared" si="69"/>
        <v>0</v>
      </c>
      <c r="AA175" s="69">
        <f t="shared" si="69"/>
        <v>0</v>
      </c>
      <c r="AB175" s="69">
        <f t="shared" si="69"/>
        <v>0</v>
      </c>
      <c r="AC175" s="69">
        <f t="shared" si="69"/>
        <v>0</v>
      </c>
      <c r="AD175" s="67">
        <f>IFERROR(AD173/AD171,0)</f>
        <v>0</v>
      </c>
      <c r="AE175" s="96" t="e">
        <f>AE173/AE171</f>
        <v>#DIV/0!</v>
      </c>
      <c r="AF175" s="68" t="e">
        <f>AF173/AF171</f>
        <v>#DIV/0!</v>
      </c>
      <c r="AG175" s="68" t="e">
        <f>AG173/AG171</f>
        <v>#DIV/0!</v>
      </c>
      <c r="AH175" s="68" t="e">
        <f>AH173/AH171</f>
        <v>#DIV/0!</v>
      </c>
      <c r="AI175" s="67" t="e">
        <f>AI173/AI171</f>
        <v>#DIV/0!</v>
      </c>
    </row>
    <row r="176" spans="1:35" s="29" customFormat="1" ht="19.5" customHeight="1">
      <c r="A176" s="358" t="s">
        <v>162</v>
      </c>
      <c r="B176" s="20" t="s">
        <v>32</v>
      </c>
      <c r="C176" s="21"/>
      <c r="D176" s="22">
        <v>648.64669337583712</v>
      </c>
      <c r="E176" s="73"/>
      <c r="F176" s="74"/>
      <c r="G176" s="46"/>
      <c r="H176" s="46"/>
      <c r="I176" s="46"/>
      <c r="J176" s="46"/>
      <c r="K176" s="74"/>
      <c r="L176" s="74"/>
      <c r="M176" s="74"/>
      <c r="N176" s="74"/>
      <c r="O176" s="74"/>
      <c r="P176" s="74"/>
      <c r="Q176" s="25">
        <f>SUM(E176:P176)</f>
        <v>0</v>
      </c>
      <c r="R176" s="303">
        <v>6.7481697764782824</v>
      </c>
      <c r="S176" s="314">
        <v>8.1192795707167491</v>
      </c>
      <c r="T176" s="314">
        <v>52.747582378821207</v>
      </c>
      <c r="U176" s="314">
        <v>78.814431048218822</v>
      </c>
      <c r="V176" s="315">
        <v>2.9020494966761632</v>
      </c>
      <c r="W176" s="315">
        <v>-23.18</v>
      </c>
      <c r="X176" s="26">
        <v>39</v>
      </c>
      <c r="Y176" s="26"/>
      <c r="Z176" s="26"/>
      <c r="AA176" s="26"/>
      <c r="AB176" s="26"/>
      <c r="AC176" s="26"/>
      <c r="AD176" s="25">
        <f>SUM(R176:AC176)</f>
        <v>165.15151227091121</v>
      </c>
      <c r="AE176" s="27"/>
      <c r="AF176" s="75"/>
      <c r="AG176" s="75"/>
      <c r="AH176" s="23"/>
      <c r="AI176" s="28"/>
    </row>
    <row r="177" spans="1:44" s="29" customFormat="1" ht="19.5" customHeight="1">
      <c r="A177" s="356"/>
      <c r="B177" s="30"/>
      <c r="C177" s="31"/>
      <c r="D177" s="41"/>
      <c r="E177" s="83"/>
      <c r="F177" s="84"/>
      <c r="G177" s="84"/>
      <c r="H177" s="84"/>
      <c r="I177" s="84"/>
      <c r="J177" s="84"/>
      <c r="K177" s="84"/>
      <c r="L177" s="85"/>
      <c r="M177" s="84"/>
      <c r="N177" s="84"/>
      <c r="O177" s="84"/>
      <c r="P177" s="84"/>
      <c r="Q177" s="35"/>
      <c r="R177" s="82"/>
      <c r="S177" s="86"/>
      <c r="T177" s="86"/>
      <c r="U177" s="86"/>
      <c r="V177" s="86"/>
      <c r="W177" s="86"/>
      <c r="X177" s="86"/>
      <c r="Y177" s="88"/>
      <c r="Z177" s="86"/>
      <c r="AA177" s="86"/>
      <c r="AB177" s="86"/>
      <c r="AC177" s="86"/>
      <c r="AD177" s="35"/>
      <c r="AE177" s="40"/>
      <c r="AF177" s="32"/>
      <c r="AG177" s="32"/>
      <c r="AH177" s="41"/>
      <c r="AI177" s="35"/>
    </row>
    <row r="178" spans="1:44" s="29" customFormat="1" ht="19.5" customHeight="1">
      <c r="A178" s="356"/>
      <c r="B178" s="42" t="s">
        <v>34</v>
      </c>
      <c r="C178" s="43"/>
      <c r="D178" s="49">
        <v>537.33342057742527</v>
      </c>
      <c r="E178" s="77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8">
        <f>SUM(E178:P178)</f>
        <v>0</v>
      </c>
      <c r="R178" s="302">
        <v>5.5888342245989309</v>
      </c>
      <c r="S178" s="315">
        <v>6.7243873514756611</v>
      </c>
      <c r="T178" s="315">
        <v>43.685547712963668</v>
      </c>
      <c r="U178" s="315">
        <v>65.274111802420421</v>
      </c>
      <c r="V178" s="315">
        <v>2.4034773789173789</v>
      </c>
      <c r="W178" s="315">
        <v>5.29</v>
      </c>
      <c r="X178" s="50">
        <v>5</v>
      </c>
      <c r="Y178" s="50"/>
      <c r="Z178" s="50"/>
      <c r="AA178" s="50"/>
      <c r="AB178" s="50"/>
      <c r="AC178" s="50"/>
      <c r="AD178" s="48">
        <f>SUM(R178:AC178)</f>
        <v>133.96635847037606</v>
      </c>
      <c r="AE178" s="51"/>
      <c r="AF178" s="79"/>
      <c r="AG178" s="79"/>
      <c r="AH178" s="45"/>
      <c r="AI178" s="52"/>
    </row>
    <row r="179" spans="1:44" s="29" customFormat="1" ht="19.5" customHeight="1">
      <c r="A179" s="356"/>
      <c r="B179" s="30"/>
      <c r="C179" s="31"/>
      <c r="D179" s="61"/>
      <c r="E179" s="89"/>
      <c r="F179" s="90"/>
      <c r="G179" s="90"/>
      <c r="H179" s="90"/>
      <c r="I179" s="90"/>
      <c r="J179" s="90"/>
      <c r="K179" s="90"/>
      <c r="L179" s="91"/>
      <c r="M179" s="90"/>
      <c r="N179" s="90"/>
      <c r="O179" s="90"/>
      <c r="P179" s="90"/>
      <c r="Q179" s="57"/>
      <c r="R179" s="61"/>
      <c r="S179" s="92"/>
      <c r="T179" s="92"/>
      <c r="U179" s="92"/>
      <c r="V179" s="92"/>
      <c r="W179" s="92"/>
      <c r="X179" s="92"/>
      <c r="Y179" s="94"/>
      <c r="Z179" s="92"/>
      <c r="AA179" s="92"/>
      <c r="AB179" s="92"/>
      <c r="AC179" s="92"/>
      <c r="AD179" s="57"/>
      <c r="AE179" s="95"/>
      <c r="AF179" s="61"/>
      <c r="AG179" s="61"/>
      <c r="AH179" s="61"/>
      <c r="AI179" s="57"/>
    </row>
    <row r="180" spans="1:44" s="71" customFormat="1" ht="19.5" customHeight="1" thickBot="1">
      <c r="A180" s="357"/>
      <c r="B180" s="62" t="s">
        <v>38</v>
      </c>
      <c r="C180" s="93" t="s">
        <v>80</v>
      </c>
      <c r="D180" s="68">
        <v>0.82839152047613229</v>
      </c>
      <c r="E180" s="65">
        <f>IFERROR(E178/E176,0)</f>
        <v>0</v>
      </c>
      <c r="F180" s="66">
        <f>IFERROR(F178/F176,0)</f>
        <v>0</v>
      </c>
      <c r="G180" s="66">
        <f t="shared" ref="G180:Q180" si="70">IFERROR(G178/G176,0)</f>
        <v>0</v>
      </c>
      <c r="H180" s="66">
        <f t="shared" si="70"/>
        <v>0</v>
      </c>
      <c r="I180" s="66">
        <f t="shared" si="70"/>
        <v>0</v>
      </c>
      <c r="J180" s="66">
        <f t="shared" si="70"/>
        <v>0</v>
      </c>
      <c r="K180" s="66">
        <f t="shared" si="70"/>
        <v>0</v>
      </c>
      <c r="L180" s="66">
        <f t="shared" si="70"/>
        <v>0</v>
      </c>
      <c r="M180" s="66">
        <f t="shared" si="70"/>
        <v>0</v>
      </c>
      <c r="N180" s="66">
        <f t="shared" si="70"/>
        <v>0</v>
      </c>
      <c r="O180" s="66">
        <f t="shared" si="70"/>
        <v>0</v>
      </c>
      <c r="P180" s="66">
        <f t="shared" si="70"/>
        <v>0</v>
      </c>
      <c r="Q180" s="67">
        <f t="shared" si="70"/>
        <v>0</v>
      </c>
      <c r="R180" s="68">
        <f>IFERROR(R178/R176,0)</f>
        <v>0.82820000232946378</v>
      </c>
      <c r="S180" s="69">
        <f>IFERROR(S178/S176,0)</f>
        <v>0.82820000135579142</v>
      </c>
      <c r="T180" s="69">
        <f t="shared" ref="T180:AC180" si="71">IFERROR(T178/T176,0)</f>
        <v>0.82819999975020553</v>
      </c>
      <c r="U180" s="69">
        <f t="shared" si="71"/>
        <v>0.82820000010512784</v>
      </c>
      <c r="V180" s="69">
        <f t="shared" si="71"/>
        <v>0.828199995096631</v>
      </c>
      <c r="W180" s="69">
        <f t="shared" si="71"/>
        <v>-0.22821397756686798</v>
      </c>
      <c r="X180" s="69">
        <f t="shared" si="71"/>
        <v>0.12820512820512819</v>
      </c>
      <c r="Y180" s="69">
        <f t="shared" si="71"/>
        <v>0</v>
      </c>
      <c r="Z180" s="69">
        <f t="shared" si="71"/>
        <v>0</v>
      </c>
      <c r="AA180" s="69">
        <f t="shared" si="71"/>
        <v>0</v>
      </c>
      <c r="AB180" s="69">
        <f t="shared" si="71"/>
        <v>0</v>
      </c>
      <c r="AC180" s="69">
        <f t="shared" si="71"/>
        <v>0</v>
      </c>
      <c r="AD180" s="67">
        <f>IFERROR(AD178/AD176,0)</f>
        <v>0.81117245993255183</v>
      </c>
      <c r="AE180" s="96" t="e">
        <f>AE178/AE176</f>
        <v>#DIV/0!</v>
      </c>
      <c r="AF180" s="68" t="e">
        <f>AF178/AF176</f>
        <v>#DIV/0!</v>
      </c>
      <c r="AG180" s="68" t="e">
        <f>AG178/AG176</f>
        <v>#DIV/0!</v>
      </c>
      <c r="AH180" s="68" t="e">
        <f>AH178/AH176</f>
        <v>#DIV/0!</v>
      </c>
      <c r="AI180" s="67" t="e">
        <f>AI178/AI176</f>
        <v>#DIV/0!</v>
      </c>
    </row>
    <row r="181" spans="1:44" s="29" customFormat="1" ht="19.5" customHeight="1">
      <c r="A181" s="358" t="s">
        <v>161</v>
      </c>
      <c r="B181" s="20" t="s">
        <v>32</v>
      </c>
      <c r="C181" s="21"/>
      <c r="D181" s="22">
        <v>7076.49</v>
      </c>
      <c r="E181" s="73">
        <v>556</v>
      </c>
      <c r="F181" s="74"/>
      <c r="G181" s="46">
        <v>334</v>
      </c>
      <c r="H181" s="46">
        <v>334</v>
      </c>
      <c r="I181" s="46">
        <v>1113</v>
      </c>
      <c r="J181" s="46">
        <v>1113</v>
      </c>
      <c r="K181" s="74">
        <v>1113</v>
      </c>
      <c r="L181" s="74">
        <v>1113</v>
      </c>
      <c r="M181" s="74">
        <v>556</v>
      </c>
      <c r="N181" s="74">
        <v>556</v>
      </c>
      <c r="O181" s="74">
        <v>223</v>
      </c>
      <c r="P181" s="74">
        <v>223</v>
      </c>
      <c r="Q181" s="25">
        <f>SUM(E181:P181)</f>
        <v>7234</v>
      </c>
      <c r="R181" s="303">
        <v>1006.4893191243797</v>
      </c>
      <c r="S181" s="314">
        <v>711.36514200843237</v>
      </c>
      <c r="T181" s="314">
        <v>174.90352726996889</v>
      </c>
      <c r="U181" s="314"/>
      <c r="V181" s="314">
        <v>97.006520835707505</v>
      </c>
      <c r="W181" s="315"/>
      <c r="X181" s="26"/>
      <c r="Y181" s="26">
        <v>230</v>
      </c>
      <c r="Z181" s="26">
        <v>230</v>
      </c>
      <c r="AA181" s="26">
        <v>230</v>
      </c>
      <c r="AB181" s="26">
        <v>230</v>
      </c>
      <c r="AC181" s="26">
        <v>230</v>
      </c>
      <c r="AD181" s="25">
        <f>SUM(R181:AC181)</f>
        <v>3139.7645092384882</v>
      </c>
      <c r="AE181" s="27"/>
      <c r="AF181" s="75"/>
      <c r="AG181" s="75"/>
      <c r="AH181" s="23"/>
      <c r="AI181" s="28"/>
      <c r="AR181" s="304"/>
    </row>
    <row r="182" spans="1:44" s="29" customFormat="1" ht="19.5" customHeight="1">
      <c r="A182" s="356"/>
      <c r="B182" s="30"/>
      <c r="C182" s="31"/>
      <c r="D182" s="41"/>
      <c r="E182" s="83"/>
      <c r="F182" s="84"/>
      <c r="G182" s="84"/>
      <c r="H182" s="84"/>
      <c r="I182" s="84"/>
      <c r="J182" s="84"/>
      <c r="K182" s="84"/>
      <c r="L182" s="85"/>
      <c r="M182" s="84"/>
      <c r="N182" s="84"/>
      <c r="O182" s="84"/>
      <c r="P182" s="84"/>
      <c r="Q182" s="35"/>
      <c r="R182" s="82"/>
      <c r="S182" s="86"/>
      <c r="T182" s="86"/>
      <c r="U182" s="86"/>
      <c r="V182" s="86"/>
      <c r="W182" s="86"/>
      <c r="X182" s="86"/>
      <c r="Y182" s="88"/>
      <c r="Z182" s="86"/>
      <c r="AA182" s="86"/>
      <c r="AB182" s="86"/>
      <c r="AC182" s="86"/>
      <c r="AD182" s="35"/>
      <c r="AE182" s="40"/>
      <c r="AF182" s="32"/>
      <c r="AG182" s="32"/>
      <c r="AH182" s="41"/>
      <c r="AI182" s="35"/>
    </row>
    <row r="183" spans="1:44" s="29" customFormat="1" ht="19.5" customHeight="1">
      <c r="A183" s="356"/>
      <c r="B183" s="42" t="s">
        <v>34</v>
      </c>
      <c r="C183" s="43"/>
      <c r="D183" s="49">
        <v>4397.24</v>
      </c>
      <c r="E183" s="77">
        <v>473</v>
      </c>
      <c r="F183" s="46"/>
      <c r="G183" s="46">
        <v>284</v>
      </c>
      <c r="H183" s="46">
        <v>284</v>
      </c>
      <c r="I183" s="46">
        <v>946</v>
      </c>
      <c r="J183" s="46">
        <v>946</v>
      </c>
      <c r="K183" s="46">
        <v>946</v>
      </c>
      <c r="L183" s="46">
        <v>946</v>
      </c>
      <c r="M183" s="46">
        <v>473</v>
      </c>
      <c r="N183" s="46">
        <v>473</v>
      </c>
      <c r="O183" s="46">
        <v>189</v>
      </c>
      <c r="P183" s="46">
        <v>189</v>
      </c>
      <c r="Q183" s="48">
        <f>SUM(E183:P183)</f>
        <v>6149</v>
      </c>
      <c r="R183" s="302">
        <v>230.29736221290347</v>
      </c>
      <c r="S183" s="315">
        <v>76.341116289766191</v>
      </c>
      <c r="T183" s="315">
        <v>61.192211029355988</v>
      </c>
      <c r="U183" s="315"/>
      <c r="V183" s="315">
        <v>72.681489572649568</v>
      </c>
      <c r="W183" s="315"/>
      <c r="X183" s="50">
        <v>25</v>
      </c>
      <c r="Y183" s="50">
        <v>175.5</v>
      </c>
      <c r="Z183" s="50">
        <v>175.5</v>
      </c>
      <c r="AA183" s="50">
        <v>175.5</v>
      </c>
      <c r="AB183" s="50">
        <v>175.5</v>
      </c>
      <c r="AC183" s="50">
        <v>175.5</v>
      </c>
      <c r="AD183" s="48">
        <f>SUM(R183:AC183)</f>
        <v>1343.0121791046752</v>
      </c>
      <c r="AE183" s="51"/>
      <c r="AF183" s="79"/>
      <c r="AG183" s="79"/>
      <c r="AH183" s="45"/>
      <c r="AI183" s="52"/>
      <c r="AR183" s="304"/>
    </row>
    <row r="184" spans="1:44" s="29" customFormat="1" ht="19.5" customHeight="1">
      <c r="A184" s="356"/>
      <c r="B184" s="30"/>
      <c r="C184" s="31"/>
      <c r="D184" s="61"/>
      <c r="E184" s="89"/>
      <c r="F184" s="90"/>
      <c r="G184" s="90"/>
      <c r="H184" s="90"/>
      <c r="I184" s="90"/>
      <c r="J184" s="90"/>
      <c r="K184" s="90"/>
      <c r="L184" s="91"/>
      <c r="M184" s="90"/>
      <c r="N184" s="90"/>
      <c r="O184" s="90"/>
      <c r="P184" s="90"/>
      <c r="Q184" s="57"/>
      <c r="R184" s="61"/>
      <c r="S184" s="92"/>
      <c r="T184" s="92"/>
      <c r="U184" s="92"/>
      <c r="V184" s="92"/>
      <c r="W184" s="92"/>
      <c r="X184" s="92"/>
      <c r="Y184" s="94"/>
      <c r="Z184" s="92"/>
      <c r="AA184" s="92"/>
      <c r="AB184" s="92"/>
      <c r="AC184" s="92"/>
      <c r="AD184" s="57"/>
      <c r="AE184" s="95"/>
      <c r="AF184" s="61"/>
      <c r="AG184" s="61"/>
      <c r="AH184" s="61"/>
      <c r="AI184" s="57"/>
    </row>
    <row r="185" spans="1:44" s="71" customFormat="1" ht="19.5" customHeight="1" thickBot="1">
      <c r="A185" s="357"/>
      <c r="B185" s="62" t="s">
        <v>38</v>
      </c>
      <c r="C185" s="93"/>
      <c r="D185" s="68">
        <v>0.62138715662708488</v>
      </c>
      <c r="E185" s="65">
        <f>IFERROR(E183/E181,0)</f>
        <v>0.85071942446043169</v>
      </c>
      <c r="F185" s="66">
        <f>IFERROR(F183/F181,0)</f>
        <v>0</v>
      </c>
      <c r="G185" s="66">
        <f t="shared" ref="G185:Q185" si="72">IFERROR(G183/G181,0)</f>
        <v>0.85029940119760483</v>
      </c>
      <c r="H185" s="66">
        <f t="shared" si="72"/>
        <v>0.85029940119760483</v>
      </c>
      <c r="I185" s="66">
        <f t="shared" si="72"/>
        <v>0.84995507637017076</v>
      </c>
      <c r="J185" s="66">
        <f t="shared" si="72"/>
        <v>0.84995507637017076</v>
      </c>
      <c r="K185" s="66">
        <f t="shared" si="72"/>
        <v>0.84995507637017076</v>
      </c>
      <c r="L185" s="66">
        <f t="shared" si="72"/>
        <v>0.84995507637017076</v>
      </c>
      <c r="M185" s="66">
        <f t="shared" si="72"/>
        <v>0.85071942446043169</v>
      </c>
      <c r="N185" s="66">
        <f t="shared" si="72"/>
        <v>0.85071942446043169</v>
      </c>
      <c r="O185" s="66">
        <f t="shared" si="72"/>
        <v>0.84753363228699552</v>
      </c>
      <c r="P185" s="66">
        <f t="shared" si="72"/>
        <v>0.84753363228699552</v>
      </c>
      <c r="Q185" s="67">
        <f t="shared" si="72"/>
        <v>0.85001382361072708</v>
      </c>
      <c r="R185" s="68">
        <f>IFERROR(R183/R181,0)</f>
        <v>0.22881252472033817</v>
      </c>
      <c r="S185" s="69">
        <f>IFERROR(S183/S181,0)</f>
        <v>0.107316358058013</v>
      </c>
      <c r="T185" s="69">
        <f t="shared" ref="T185:AC185" si="73">IFERROR(T183/T181,0)</f>
        <v>0.34986264705173131</v>
      </c>
      <c r="U185" s="69">
        <f t="shared" si="73"/>
        <v>0</v>
      </c>
      <c r="V185" s="69">
        <f t="shared" si="73"/>
        <v>0.74924333896836304</v>
      </c>
      <c r="W185" s="69">
        <f t="shared" si="73"/>
        <v>0</v>
      </c>
      <c r="X185" s="69">
        <f t="shared" si="73"/>
        <v>0</v>
      </c>
      <c r="Y185" s="69">
        <f t="shared" si="73"/>
        <v>0.7630434782608696</v>
      </c>
      <c r="Z185" s="69">
        <f t="shared" si="73"/>
        <v>0.7630434782608696</v>
      </c>
      <c r="AA185" s="69">
        <f t="shared" si="73"/>
        <v>0.7630434782608696</v>
      </c>
      <c r="AB185" s="69">
        <f t="shared" si="73"/>
        <v>0.7630434782608696</v>
      </c>
      <c r="AC185" s="69">
        <f t="shared" si="73"/>
        <v>0.7630434782608696</v>
      </c>
      <c r="AD185" s="67">
        <f>IFERROR(AD183/AD181,0)</f>
        <v>0.42774296452902022</v>
      </c>
      <c r="AE185" s="96" t="e">
        <f>AE183/AE181</f>
        <v>#DIV/0!</v>
      </c>
      <c r="AF185" s="68" t="e">
        <f>AF183/AF181</f>
        <v>#DIV/0!</v>
      </c>
      <c r="AG185" s="68" t="e">
        <f>AG183/AG181</f>
        <v>#DIV/0!</v>
      </c>
      <c r="AH185" s="68" t="e">
        <f>AH183/AH181</f>
        <v>#DIV/0!</v>
      </c>
      <c r="AI185" s="67" t="e">
        <f>AI183/AI181</f>
        <v>#DIV/0!</v>
      </c>
    </row>
    <row r="186" spans="1:44" s="29" customFormat="1" ht="19.5" customHeight="1">
      <c r="A186" s="358" t="s">
        <v>81</v>
      </c>
      <c r="B186" s="20" t="s">
        <v>32</v>
      </c>
      <c r="C186" s="21"/>
      <c r="D186" s="22"/>
      <c r="E186" s="73"/>
      <c r="F186" s="74"/>
      <c r="G186" s="46"/>
      <c r="H186" s="46"/>
      <c r="I186" s="46"/>
      <c r="J186" s="46"/>
      <c r="K186" s="74"/>
      <c r="L186" s="74"/>
      <c r="M186" s="74"/>
      <c r="N186" s="74">
        <v>1272</v>
      </c>
      <c r="O186" s="74">
        <v>1272</v>
      </c>
      <c r="P186" s="74">
        <v>1272</v>
      </c>
      <c r="Q186" s="25">
        <f>SUM(E186:P186)</f>
        <v>3816</v>
      </c>
      <c r="R186" s="303"/>
      <c r="S186" s="314"/>
      <c r="T186" s="314"/>
      <c r="U186" s="314"/>
      <c r="V186" s="315"/>
      <c r="W186" s="315"/>
      <c r="X186" s="26"/>
      <c r="Y186" s="26"/>
      <c r="Z186" s="26"/>
      <c r="AA186" s="26">
        <v>2666</v>
      </c>
      <c r="AB186" s="26">
        <v>2666</v>
      </c>
      <c r="AC186" s="26">
        <v>2668</v>
      </c>
      <c r="AD186" s="25">
        <f>SUM(R186:AC186)</f>
        <v>8000</v>
      </c>
      <c r="AE186" s="27"/>
      <c r="AF186" s="75"/>
      <c r="AG186" s="75"/>
      <c r="AH186" s="23"/>
      <c r="AI186" s="28"/>
    </row>
    <row r="187" spans="1:44" s="29" customFormat="1" ht="19.5" customHeight="1">
      <c r="A187" s="356"/>
      <c r="B187" s="30"/>
      <c r="C187" s="31"/>
      <c r="D187" s="41"/>
      <c r="E187" s="83"/>
      <c r="F187" s="84"/>
      <c r="G187" s="84"/>
      <c r="H187" s="84"/>
      <c r="I187" s="84"/>
      <c r="J187" s="84"/>
      <c r="K187" s="84"/>
      <c r="L187" s="85"/>
      <c r="M187" s="84"/>
      <c r="N187" s="84"/>
      <c r="O187" s="84"/>
      <c r="P187" s="84"/>
      <c r="Q187" s="35"/>
      <c r="R187" s="82"/>
      <c r="S187" s="86"/>
      <c r="T187" s="86"/>
      <c r="U187" s="86"/>
      <c r="V187" s="86"/>
      <c r="W187" s="86"/>
      <c r="X187" s="86"/>
      <c r="Y187" s="88"/>
      <c r="Z187" s="86"/>
      <c r="AA187" s="86"/>
      <c r="AB187" s="86"/>
      <c r="AC187" s="86"/>
      <c r="AD187" s="35"/>
      <c r="AE187" s="40"/>
      <c r="AF187" s="32"/>
      <c r="AG187" s="32"/>
      <c r="AH187" s="41"/>
      <c r="AI187" s="35"/>
    </row>
    <row r="188" spans="1:44" s="29" customFormat="1" ht="19.5" customHeight="1">
      <c r="A188" s="356"/>
      <c r="B188" s="42" t="s">
        <v>34</v>
      </c>
      <c r="C188" s="43"/>
      <c r="D188" s="49"/>
      <c r="E188" s="77"/>
      <c r="F188" s="46"/>
      <c r="G188" s="46"/>
      <c r="H188" s="46"/>
      <c r="I188" s="46"/>
      <c r="J188" s="46"/>
      <c r="K188" s="46"/>
      <c r="L188" s="46"/>
      <c r="M188" s="46"/>
      <c r="N188" s="46">
        <v>1081</v>
      </c>
      <c r="O188" s="46">
        <v>1081</v>
      </c>
      <c r="P188" s="46">
        <v>1081</v>
      </c>
      <c r="Q188" s="48">
        <f>SUM(E188:P188)</f>
        <v>3243</v>
      </c>
      <c r="R188" s="302"/>
      <c r="S188" s="315"/>
      <c r="T188" s="315"/>
      <c r="U188" s="315"/>
      <c r="V188" s="315"/>
      <c r="W188" s="315"/>
      <c r="X188" s="50"/>
      <c r="Y188" s="50"/>
      <c r="Z188" s="50"/>
      <c r="AA188" s="50">
        <v>2266.1</v>
      </c>
      <c r="AB188" s="50">
        <v>2266.1</v>
      </c>
      <c r="AC188" s="50">
        <v>2267.7999999999997</v>
      </c>
      <c r="AD188" s="48">
        <f>SUM(R188:AC188)</f>
        <v>6800</v>
      </c>
      <c r="AE188" s="51"/>
      <c r="AF188" s="79"/>
      <c r="AG188" s="79"/>
      <c r="AH188" s="45"/>
      <c r="AI188" s="52"/>
    </row>
    <row r="189" spans="1:44" s="29" customFormat="1" ht="19.5" customHeight="1">
      <c r="A189" s="356"/>
      <c r="B189" s="30"/>
      <c r="C189" s="31"/>
      <c r="D189" s="61"/>
      <c r="E189" s="89"/>
      <c r="F189" s="90"/>
      <c r="G189" s="90"/>
      <c r="H189" s="90"/>
      <c r="I189" s="90"/>
      <c r="J189" s="90"/>
      <c r="K189" s="90"/>
      <c r="L189" s="91"/>
      <c r="M189" s="90"/>
      <c r="N189" s="90"/>
      <c r="O189" s="90"/>
      <c r="P189" s="90"/>
      <c r="Q189" s="57"/>
      <c r="R189" s="61"/>
      <c r="S189" s="92"/>
      <c r="T189" s="92"/>
      <c r="U189" s="92"/>
      <c r="V189" s="92"/>
      <c r="W189" s="92"/>
      <c r="X189" s="92"/>
      <c r="Y189" s="94"/>
      <c r="Z189" s="92"/>
      <c r="AA189" s="92"/>
      <c r="AB189" s="92"/>
      <c r="AC189" s="92"/>
      <c r="AD189" s="57"/>
      <c r="AE189" s="95"/>
      <c r="AF189" s="61"/>
      <c r="AG189" s="61"/>
      <c r="AH189" s="61"/>
      <c r="AI189" s="57"/>
    </row>
    <row r="190" spans="1:44" s="71" customFormat="1" ht="19.5" customHeight="1" thickBot="1">
      <c r="A190" s="357"/>
      <c r="B190" s="62" t="s">
        <v>38</v>
      </c>
      <c r="C190" s="93"/>
      <c r="D190" s="68"/>
      <c r="E190" s="65">
        <f>IFERROR(E188/E186,0)</f>
        <v>0</v>
      </c>
      <c r="F190" s="66">
        <f>IFERROR(F188/F186,0)</f>
        <v>0</v>
      </c>
      <c r="G190" s="66">
        <f t="shared" ref="G190:Q190" si="74">IFERROR(G188/G186,0)</f>
        <v>0</v>
      </c>
      <c r="H190" s="66">
        <f t="shared" si="74"/>
        <v>0</v>
      </c>
      <c r="I190" s="66">
        <f t="shared" si="74"/>
        <v>0</v>
      </c>
      <c r="J190" s="66">
        <f t="shared" si="74"/>
        <v>0</v>
      </c>
      <c r="K190" s="66">
        <f t="shared" si="74"/>
        <v>0</v>
      </c>
      <c r="L190" s="66">
        <f t="shared" si="74"/>
        <v>0</v>
      </c>
      <c r="M190" s="66">
        <f t="shared" si="74"/>
        <v>0</v>
      </c>
      <c r="N190" s="66">
        <f t="shared" si="74"/>
        <v>0.84984276729559749</v>
      </c>
      <c r="O190" s="66">
        <f t="shared" si="74"/>
        <v>0.84984276729559749</v>
      </c>
      <c r="P190" s="66">
        <f t="shared" si="74"/>
        <v>0.84984276729559749</v>
      </c>
      <c r="Q190" s="67">
        <f t="shared" si="74"/>
        <v>0.84984276729559749</v>
      </c>
      <c r="R190" s="68">
        <f>IFERROR(R188/R186,0)</f>
        <v>0</v>
      </c>
      <c r="S190" s="69">
        <f>IFERROR(S188/S186,0)</f>
        <v>0</v>
      </c>
      <c r="T190" s="69">
        <f t="shared" ref="T190:AC190" si="75">IFERROR(T188/T186,0)</f>
        <v>0</v>
      </c>
      <c r="U190" s="69">
        <f t="shared" si="75"/>
        <v>0</v>
      </c>
      <c r="V190" s="69">
        <f t="shared" si="75"/>
        <v>0</v>
      </c>
      <c r="W190" s="69">
        <f t="shared" si="75"/>
        <v>0</v>
      </c>
      <c r="X190" s="69">
        <f t="shared" si="75"/>
        <v>0</v>
      </c>
      <c r="Y190" s="69">
        <f t="shared" si="75"/>
        <v>0</v>
      </c>
      <c r="Z190" s="69">
        <f t="shared" si="75"/>
        <v>0</v>
      </c>
      <c r="AA190" s="69">
        <f t="shared" si="75"/>
        <v>0.85</v>
      </c>
      <c r="AB190" s="69">
        <f t="shared" si="75"/>
        <v>0.85</v>
      </c>
      <c r="AC190" s="69">
        <f t="shared" si="75"/>
        <v>0.84999999999999987</v>
      </c>
      <c r="AD190" s="67">
        <f>IFERROR(AD188/AD186,0)</f>
        <v>0.85</v>
      </c>
      <c r="AE190" s="96" t="e">
        <f>AE188/AE186</f>
        <v>#DIV/0!</v>
      </c>
      <c r="AF190" s="68" t="e">
        <f>AF188/AF186</f>
        <v>#DIV/0!</v>
      </c>
      <c r="AG190" s="68" t="e">
        <f>AG188/AG186</f>
        <v>#DIV/0!</v>
      </c>
      <c r="AH190" s="68" t="e">
        <f>AH188/AH186</f>
        <v>#DIV/0!</v>
      </c>
      <c r="AI190" s="67" t="e">
        <f>AI188/AI186</f>
        <v>#DIV/0!</v>
      </c>
    </row>
    <row r="191" spans="1:44" s="29" customFormat="1" ht="19.5" customHeight="1">
      <c r="A191" s="358" t="s">
        <v>159</v>
      </c>
      <c r="B191" s="20" t="s">
        <v>32</v>
      </c>
      <c r="C191" s="21"/>
      <c r="D191" s="22">
        <v>748.46953564020339</v>
      </c>
      <c r="E191" s="73">
        <v>61</v>
      </c>
      <c r="F191" s="74">
        <v>61</v>
      </c>
      <c r="G191" s="74">
        <v>61</v>
      </c>
      <c r="H191" s="74">
        <v>63</v>
      </c>
      <c r="I191" s="74">
        <v>64</v>
      </c>
      <c r="J191" s="74">
        <v>64</v>
      </c>
      <c r="K191" s="74">
        <v>64</v>
      </c>
      <c r="L191" s="74">
        <v>64</v>
      </c>
      <c r="M191" s="74">
        <v>64</v>
      </c>
      <c r="N191" s="74">
        <v>64</v>
      </c>
      <c r="O191" s="74">
        <v>64</v>
      </c>
      <c r="P191" s="74">
        <v>64</v>
      </c>
      <c r="Q191" s="25">
        <f>SUM(E191:P191)</f>
        <v>758</v>
      </c>
      <c r="R191" s="303">
        <v>61.309852652637247</v>
      </c>
      <c r="S191" s="314">
        <v>61.081908777309316</v>
      </c>
      <c r="T191" s="314">
        <v>81.296966396116204</v>
      </c>
      <c r="U191" s="314"/>
      <c r="V191" s="314"/>
      <c r="W191" s="314"/>
      <c r="X191" s="26"/>
      <c r="Y191" s="26"/>
      <c r="Z191" s="26"/>
      <c r="AA191" s="26"/>
      <c r="AB191" s="26"/>
      <c r="AC191" s="26"/>
      <c r="AD191" s="25">
        <f>SUM(R191:AC191)</f>
        <v>203.68872782606277</v>
      </c>
      <c r="AE191" s="27">
        <v>784</v>
      </c>
      <c r="AF191" s="75">
        <v>823</v>
      </c>
      <c r="AG191" s="75">
        <v>864</v>
      </c>
      <c r="AH191" s="23">
        <v>907</v>
      </c>
      <c r="AI191" s="28">
        <v>935</v>
      </c>
      <c r="AJ191" s="106"/>
    </row>
    <row r="192" spans="1:44" s="29" customFormat="1" ht="19.5" customHeight="1">
      <c r="A192" s="356"/>
      <c r="B192" s="30"/>
      <c r="C192" s="31"/>
      <c r="D192" s="41"/>
      <c r="E192" s="83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35"/>
      <c r="R192" s="82"/>
      <c r="S192" s="86"/>
      <c r="T192" s="87"/>
      <c r="U192" s="76"/>
      <c r="V192" s="86"/>
      <c r="W192" s="86"/>
      <c r="X192" s="86"/>
      <c r="Y192" s="88"/>
      <c r="Z192" s="86"/>
      <c r="AA192" s="86"/>
      <c r="AB192" s="86"/>
      <c r="AC192" s="86"/>
      <c r="AD192" s="97"/>
      <c r="AE192" s="40"/>
      <c r="AF192" s="32"/>
      <c r="AG192" s="32"/>
      <c r="AH192" s="41"/>
      <c r="AI192" s="35"/>
    </row>
    <row r="193" spans="1:36" s="29" customFormat="1" ht="19.5" customHeight="1">
      <c r="A193" s="356"/>
      <c r="B193" s="42" t="s">
        <v>34</v>
      </c>
      <c r="C193" s="43"/>
      <c r="D193" s="49">
        <v>576.46281791477679</v>
      </c>
      <c r="E193" s="77">
        <v>52</v>
      </c>
      <c r="F193" s="46">
        <v>52</v>
      </c>
      <c r="G193" s="46">
        <v>52</v>
      </c>
      <c r="H193" s="46">
        <v>53</v>
      </c>
      <c r="I193" s="46">
        <v>54</v>
      </c>
      <c r="J193" s="46">
        <v>54</v>
      </c>
      <c r="K193" s="46">
        <v>54</v>
      </c>
      <c r="L193" s="46">
        <v>55</v>
      </c>
      <c r="M193" s="46">
        <v>55</v>
      </c>
      <c r="N193" s="46">
        <v>55</v>
      </c>
      <c r="O193" s="46">
        <v>55</v>
      </c>
      <c r="P193" s="46">
        <v>55</v>
      </c>
      <c r="Q193" s="48">
        <f>SUM(E193:P193)</f>
        <v>646</v>
      </c>
      <c r="R193" s="302">
        <v>29.43139460624014</v>
      </c>
      <c r="S193" s="315">
        <v>40.938159908010732</v>
      </c>
      <c r="T193" s="315">
        <v>64.496037131153756</v>
      </c>
      <c r="U193" s="315">
        <v>12.530512879851285</v>
      </c>
      <c r="V193" s="315"/>
      <c r="W193" s="315"/>
      <c r="X193" s="50"/>
      <c r="Y193" s="50"/>
      <c r="Z193" s="50"/>
      <c r="AA193" s="50"/>
      <c r="AB193" s="50"/>
      <c r="AC193" s="50"/>
      <c r="AD193" s="48">
        <f>SUM(R193:AC193)</f>
        <v>147.39610452525588</v>
      </c>
      <c r="AE193" s="51">
        <v>667</v>
      </c>
      <c r="AF193" s="79">
        <v>700</v>
      </c>
      <c r="AG193" s="79">
        <v>735</v>
      </c>
      <c r="AH193" s="45">
        <v>772</v>
      </c>
      <c r="AI193" s="52">
        <v>794</v>
      </c>
    </row>
    <row r="194" spans="1:36" s="29" customFormat="1" ht="19.5" customHeight="1">
      <c r="A194" s="356"/>
      <c r="B194" s="30"/>
      <c r="C194" s="31"/>
      <c r="D194" s="61"/>
      <c r="E194" s="89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57"/>
      <c r="R194" s="61"/>
      <c r="S194" s="92"/>
      <c r="T194" s="92"/>
      <c r="U194" s="92"/>
      <c r="V194" s="92"/>
      <c r="W194" s="92"/>
      <c r="X194" s="92"/>
      <c r="Y194" s="94"/>
      <c r="Z194" s="92"/>
      <c r="AA194" s="92"/>
      <c r="AB194" s="92"/>
      <c r="AC194" s="92"/>
      <c r="AD194" s="98"/>
      <c r="AE194" s="60"/>
      <c r="AF194" s="55"/>
      <c r="AG194" s="55"/>
      <c r="AH194" s="61"/>
      <c r="AI194" s="57"/>
    </row>
    <row r="195" spans="1:36" s="71" customFormat="1" ht="19.5" customHeight="1" thickBot="1">
      <c r="A195" s="357"/>
      <c r="B195" s="62" t="s">
        <v>38</v>
      </c>
      <c r="C195" s="93" t="s">
        <v>82</v>
      </c>
      <c r="D195" s="68">
        <v>0.77018875246765972</v>
      </c>
      <c r="E195" s="65">
        <f>IFERROR(E193/E191,0)</f>
        <v>0.85245901639344257</v>
      </c>
      <c r="F195" s="66">
        <f>IFERROR(F193/F191,0)</f>
        <v>0.85245901639344257</v>
      </c>
      <c r="G195" s="66">
        <f t="shared" ref="G195:P195" si="76">IFERROR(G193/G191,0)</f>
        <v>0.85245901639344257</v>
      </c>
      <c r="H195" s="66">
        <f t="shared" si="76"/>
        <v>0.84126984126984128</v>
      </c>
      <c r="I195" s="66">
        <f t="shared" si="76"/>
        <v>0.84375</v>
      </c>
      <c r="J195" s="66">
        <f t="shared" si="76"/>
        <v>0.84375</v>
      </c>
      <c r="K195" s="66">
        <f t="shared" si="76"/>
        <v>0.84375</v>
      </c>
      <c r="L195" s="66">
        <f t="shared" si="76"/>
        <v>0.859375</v>
      </c>
      <c r="M195" s="66">
        <f t="shared" si="76"/>
        <v>0.859375</v>
      </c>
      <c r="N195" s="66">
        <f t="shared" si="76"/>
        <v>0.859375</v>
      </c>
      <c r="O195" s="66">
        <f t="shared" si="76"/>
        <v>0.859375</v>
      </c>
      <c r="P195" s="66">
        <f t="shared" si="76"/>
        <v>0.859375</v>
      </c>
      <c r="Q195" s="67">
        <f>IFERROR(Q193/Q191,0)</f>
        <v>0.85224274406332456</v>
      </c>
      <c r="R195" s="68">
        <f>IFERROR(R193/R191,0)</f>
        <v>0.48004347315902651</v>
      </c>
      <c r="S195" s="69">
        <f>IFERROR(S193/S191,0)</f>
        <v>0.67021742980007237</v>
      </c>
      <c r="T195" s="69">
        <f t="shared" ref="T195:AC195" si="77">IFERROR(T193/T191,0)</f>
        <v>0.79333879221150028</v>
      </c>
      <c r="U195" s="69">
        <f t="shared" si="77"/>
        <v>0</v>
      </c>
      <c r="V195" s="69">
        <f t="shared" si="77"/>
        <v>0</v>
      </c>
      <c r="W195" s="69">
        <f t="shared" si="77"/>
        <v>0</v>
      </c>
      <c r="X195" s="69">
        <f t="shared" si="77"/>
        <v>0</v>
      </c>
      <c r="Y195" s="69">
        <f t="shared" si="77"/>
        <v>0</v>
      </c>
      <c r="Z195" s="69">
        <f t="shared" si="77"/>
        <v>0</v>
      </c>
      <c r="AA195" s="69">
        <f t="shared" si="77"/>
        <v>0</v>
      </c>
      <c r="AB195" s="69">
        <f t="shared" si="77"/>
        <v>0</v>
      </c>
      <c r="AC195" s="69">
        <f t="shared" si="77"/>
        <v>0</v>
      </c>
      <c r="AD195" s="67">
        <f>IFERROR(AD193/AD191,0)</f>
        <v>0.72363407685045189</v>
      </c>
      <c r="AE195" s="70">
        <f>AE193/AE191</f>
        <v>0.85076530612244894</v>
      </c>
      <c r="AF195" s="64">
        <f>AF193/AF191</f>
        <v>0.85054678007290396</v>
      </c>
      <c r="AG195" s="64">
        <f>AG193/AG191</f>
        <v>0.85069444444444442</v>
      </c>
      <c r="AH195" s="68">
        <f>AH193/AH191</f>
        <v>0.85115766262403525</v>
      </c>
      <c r="AI195" s="67">
        <f>AI193/AI191</f>
        <v>0.84919786096256689</v>
      </c>
    </row>
    <row r="196" spans="1:36" s="29" customFormat="1" ht="19.5" customHeight="1">
      <c r="A196" s="358" t="s">
        <v>160</v>
      </c>
      <c r="B196" s="20" t="s">
        <v>32</v>
      </c>
      <c r="C196" s="21"/>
      <c r="D196" s="22">
        <v>1110.9595348575137</v>
      </c>
      <c r="E196" s="73">
        <v>93</v>
      </c>
      <c r="F196" s="74">
        <v>93</v>
      </c>
      <c r="G196" s="46">
        <v>93</v>
      </c>
      <c r="H196" s="46">
        <v>59</v>
      </c>
      <c r="I196" s="46">
        <v>59</v>
      </c>
      <c r="J196" s="46">
        <v>59</v>
      </c>
      <c r="K196" s="74">
        <v>59</v>
      </c>
      <c r="L196" s="74">
        <v>59</v>
      </c>
      <c r="M196" s="74">
        <v>59</v>
      </c>
      <c r="N196" s="74">
        <v>59</v>
      </c>
      <c r="O196" s="74">
        <v>59</v>
      </c>
      <c r="P196" s="74">
        <v>59</v>
      </c>
      <c r="Q196" s="25">
        <f>SUM(E196:P196)</f>
        <v>810</v>
      </c>
      <c r="R196" s="303">
        <v>92.675431847035739</v>
      </c>
      <c r="S196" s="314">
        <v>92.330873898045226</v>
      </c>
      <c r="T196" s="314">
        <v>91.364351816733674</v>
      </c>
      <c r="U196" s="314"/>
      <c r="V196" s="315"/>
      <c r="W196" s="315"/>
      <c r="X196" s="26"/>
      <c r="Y196" s="26"/>
      <c r="Z196" s="26"/>
      <c r="AA196" s="26"/>
      <c r="AB196" s="26"/>
      <c r="AC196" s="26"/>
      <c r="AD196" s="25">
        <f>SUM(R196:AC196)</f>
        <v>276.37065756181465</v>
      </c>
      <c r="AE196" s="27">
        <v>1291</v>
      </c>
      <c r="AF196" s="75">
        <v>1356</v>
      </c>
      <c r="AG196" s="75">
        <v>1423</v>
      </c>
      <c r="AH196" s="23">
        <v>1495</v>
      </c>
      <c r="AI196" s="28">
        <v>1539</v>
      </c>
    </row>
    <row r="197" spans="1:36" s="29" customFormat="1" ht="19.5" customHeight="1">
      <c r="A197" s="355"/>
      <c r="B197" s="30"/>
      <c r="C197" s="31"/>
      <c r="D197" s="41"/>
      <c r="E197" s="83"/>
      <c r="F197" s="84"/>
      <c r="G197" s="84"/>
      <c r="H197" s="84"/>
      <c r="I197" s="84"/>
      <c r="J197" s="84"/>
      <c r="K197" s="84"/>
      <c r="L197" s="85"/>
      <c r="M197" s="84"/>
      <c r="N197" s="84"/>
      <c r="O197" s="84"/>
      <c r="P197" s="84"/>
      <c r="Q197" s="35"/>
      <c r="R197" s="82"/>
      <c r="S197" s="86"/>
      <c r="T197" s="86"/>
      <c r="U197" s="86"/>
      <c r="V197" s="86"/>
      <c r="W197" s="86"/>
      <c r="X197" s="86"/>
      <c r="Y197" s="88"/>
      <c r="Z197" s="86"/>
      <c r="AA197" s="86"/>
      <c r="AB197" s="86"/>
      <c r="AC197" s="86"/>
      <c r="AD197" s="35"/>
      <c r="AE197" s="40"/>
      <c r="AF197" s="32"/>
      <c r="AG197" s="32"/>
      <c r="AH197" s="41"/>
      <c r="AI197" s="35"/>
    </row>
    <row r="198" spans="1:36" s="29" customFormat="1" ht="19.5" customHeight="1">
      <c r="A198" s="355"/>
      <c r="B198" s="42" t="s">
        <v>34</v>
      </c>
      <c r="C198" s="43"/>
      <c r="D198" s="49">
        <v>983.78863102408957</v>
      </c>
      <c r="E198" s="77">
        <v>82</v>
      </c>
      <c r="F198" s="46">
        <v>82</v>
      </c>
      <c r="G198" s="46">
        <v>82</v>
      </c>
      <c r="H198" s="46">
        <v>53</v>
      </c>
      <c r="I198" s="46">
        <v>52</v>
      </c>
      <c r="J198" s="46">
        <v>52</v>
      </c>
      <c r="K198" s="46">
        <v>52</v>
      </c>
      <c r="L198" s="46">
        <v>52</v>
      </c>
      <c r="M198" s="46">
        <v>52</v>
      </c>
      <c r="N198" s="46">
        <v>52</v>
      </c>
      <c r="O198" s="46">
        <v>52</v>
      </c>
      <c r="P198" s="46">
        <v>52</v>
      </c>
      <c r="Q198" s="48">
        <f>SUM(E198:P198)</f>
        <v>715</v>
      </c>
      <c r="R198" s="302">
        <v>61.201714538529608</v>
      </c>
      <c r="S198" s="315">
        <v>78.034488424683786</v>
      </c>
      <c r="T198" s="315">
        <v>96.387882082985669</v>
      </c>
      <c r="U198" s="315">
        <v>4.5239212413217498</v>
      </c>
      <c r="V198" s="315"/>
      <c r="W198" s="315"/>
      <c r="X198" s="50"/>
      <c r="Y198" s="50"/>
      <c r="Z198" s="50"/>
      <c r="AA198" s="50"/>
      <c r="AB198" s="50"/>
      <c r="AC198" s="50"/>
      <c r="AD198" s="48">
        <f>SUM(R198:AC198)</f>
        <v>240.14800628752081</v>
      </c>
      <c r="AE198" s="51">
        <v>1140</v>
      </c>
      <c r="AF198" s="79">
        <v>1197</v>
      </c>
      <c r="AG198" s="79">
        <v>1257</v>
      </c>
      <c r="AH198" s="45">
        <v>1320</v>
      </c>
      <c r="AI198" s="52">
        <v>1308</v>
      </c>
    </row>
    <row r="199" spans="1:36" s="29" customFormat="1" ht="19.5" customHeight="1">
      <c r="A199" s="355"/>
      <c r="B199" s="30"/>
      <c r="C199" s="31"/>
      <c r="D199" s="61"/>
      <c r="E199" s="89"/>
      <c r="F199" s="90"/>
      <c r="G199" s="90"/>
      <c r="H199" s="90"/>
      <c r="I199" s="90"/>
      <c r="J199" s="90"/>
      <c r="K199" s="90"/>
      <c r="L199" s="91"/>
      <c r="M199" s="90"/>
      <c r="N199" s="90"/>
      <c r="O199" s="90"/>
      <c r="P199" s="90"/>
      <c r="Q199" s="57"/>
      <c r="R199" s="61"/>
      <c r="S199" s="92"/>
      <c r="T199" s="92"/>
      <c r="U199" s="92"/>
      <c r="V199" s="92"/>
      <c r="W199" s="92"/>
      <c r="X199" s="92"/>
      <c r="Y199" s="94"/>
      <c r="Z199" s="92"/>
      <c r="AA199" s="92"/>
      <c r="AB199" s="92"/>
      <c r="AC199" s="92"/>
      <c r="AD199" s="57"/>
      <c r="AE199" s="95"/>
      <c r="AF199" s="61"/>
      <c r="AG199" s="61"/>
      <c r="AH199" s="61"/>
      <c r="AI199" s="57"/>
    </row>
    <row r="200" spans="1:36" s="71" customFormat="1" ht="19.5" customHeight="1" thickBot="1">
      <c r="A200" s="360"/>
      <c r="B200" s="62" t="s">
        <v>38</v>
      </c>
      <c r="C200" s="93" t="s">
        <v>83</v>
      </c>
      <c r="D200" s="68">
        <v>0.88553057078740993</v>
      </c>
      <c r="E200" s="65">
        <f t="shared" ref="E200:AD200" si="78">IFERROR(E198/E196,0)</f>
        <v>0.88172043010752688</v>
      </c>
      <c r="F200" s="65">
        <f t="shared" si="78"/>
        <v>0.88172043010752688</v>
      </c>
      <c r="G200" s="66">
        <f t="shared" si="78"/>
        <v>0.88172043010752688</v>
      </c>
      <c r="H200" s="66">
        <f t="shared" si="78"/>
        <v>0.89830508474576276</v>
      </c>
      <c r="I200" s="66">
        <f t="shared" si="78"/>
        <v>0.88135593220338981</v>
      </c>
      <c r="J200" s="66">
        <f t="shared" si="78"/>
        <v>0.88135593220338981</v>
      </c>
      <c r="K200" s="66">
        <f t="shared" si="78"/>
        <v>0.88135593220338981</v>
      </c>
      <c r="L200" s="66">
        <f t="shared" si="78"/>
        <v>0.88135593220338981</v>
      </c>
      <c r="M200" s="66">
        <f t="shared" si="78"/>
        <v>0.88135593220338981</v>
      </c>
      <c r="N200" s="66">
        <f t="shared" si="78"/>
        <v>0.88135593220338981</v>
      </c>
      <c r="O200" s="66">
        <f t="shared" si="78"/>
        <v>0.88135593220338981</v>
      </c>
      <c r="P200" s="66">
        <f t="shared" si="78"/>
        <v>0.88135593220338981</v>
      </c>
      <c r="Q200" s="67">
        <f t="shared" si="78"/>
        <v>0.88271604938271608</v>
      </c>
      <c r="R200" s="69">
        <f t="shared" si="78"/>
        <v>0.66038769195643265</v>
      </c>
      <c r="S200" s="69">
        <f t="shared" si="78"/>
        <v>0.84516137593208551</v>
      </c>
      <c r="T200" s="69">
        <f t="shared" si="78"/>
        <v>1.0549834827956599</v>
      </c>
      <c r="U200" s="69">
        <f t="shared" si="78"/>
        <v>0</v>
      </c>
      <c r="V200" s="69">
        <f t="shared" si="78"/>
        <v>0</v>
      </c>
      <c r="W200" s="69">
        <f t="shared" si="78"/>
        <v>0</v>
      </c>
      <c r="X200" s="69">
        <f t="shared" si="78"/>
        <v>0</v>
      </c>
      <c r="Y200" s="69">
        <f t="shared" si="78"/>
        <v>0</v>
      </c>
      <c r="Z200" s="69">
        <f t="shared" si="78"/>
        <v>0</v>
      </c>
      <c r="AA200" s="69">
        <f t="shared" si="78"/>
        <v>0</v>
      </c>
      <c r="AB200" s="69">
        <f t="shared" si="78"/>
        <v>0</v>
      </c>
      <c r="AC200" s="69">
        <f t="shared" si="78"/>
        <v>0</v>
      </c>
      <c r="AD200" s="67">
        <f t="shared" si="78"/>
        <v>0.86893452585069719</v>
      </c>
      <c r="AE200" s="96">
        <f>AE198/AE196</f>
        <v>0.88303640588690935</v>
      </c>
      <c r="AF200" s="68">
        <f>AF198/AF196</f>
        <v>0.88274336283185839</v>
      </c>
      <c r="AG200" s="68">
        <f>AG198/AG196</f>
        <v>0.88334504567814476</v>
      </c>
      <c r="AH200" s="68">
        <f>AH198/AH196</f>
        <v>0.882943143812709</v>
      </c>
      <c r="AI200" s="67">
        <f>AI198/AI196</f>
        <v>0.84990253411306038</v>
      </c>
    </row>
    <row r="201" spans="1:36" s="29" customFormat="1" ht="19.5" hidden="1" customHeight="1">
      <c r="A201" s="358" t="s">
        <v>84</v>
      </c>
      <c r="B201" s="20" t="s">
        <v>32</v>
      </c>
      <c r="C201" s="21"/>
      <c r="D201" s="22"/>
      <c r="E201" s="73"/>
      <c r="F201" s="74"/>
      <c r="G201" s="46"/>
      <c r="H201" s="46"/>
      <c r="I201" s="46"/>
      <c r="J201" s="46"/>
      <c r="K201" s="74"/>
      <c r="L201" s="74"/>
      <c r="M201" s="74"/>
      <c r="N201" s="74"/>
      <c r="O201" s="74"/>
      <c r="P201" s="74"/>
      <c r="Q201" s="25">
        <f>SUM(E201:P201)</f>
        <v>0</v>
      </c>
      <c r="R201" s="22">
        <f t="shared" ref="R201:AC201" si="79">+E201</f>
        <v>0</v>
      </c>
      <c r="S201" s="26">
        <f t="shared" si="79"/>
        <v>0</v>
      </c>
      <c r="T201" s="26">
        <f t="shared" si="79"/>
        <v>0</v>
      </c>
      <c r="U201" s="26">
        <f t="shared" si="79"/>
        <v>0</v>
      </c>
      <c r="V201" s="50">
        <f t="shared" si="79"/>
        <v>0</v>
      </c>
      <c r="W201" s="50">
        <f t="shared" si="79"/>
        <v>0</v>
      </c>
      <c r="X201" s="26">
        <f t="shared" si="79"/>
        <v>0</v>
      </c>
      <c r="Y201" s="26">
        <f t="shared" si="79"/>
        <v>0</v>
      </c>
      <c r="Z201" s="26">
        <f t="shared" si="79"/>
        <v>0</v>
      </c>
      <c r="AA201" s="26">
        <f t="shared" si="79"/>
        <v>0</v>
      </c>
      <c r="AB201" s="26">
        <f t="shared" si="79"/>
        <v>0</v>
      </c>
      <c r="AC201" s="26">
        <f t="shared" si="79"/>
        <v>0</v>
      </c>
      <c r="AD201" s="25">
        <f>SUM(R201:AC201)</f>
        <v>0</v>
      </c>
      <c r="AE201" s="27"/>
      <c r="AF201" s="75">
        <v>711</v>
      </c>
      <c r="AG201" s="75">
        <v>746</v>
      </c>
      <c r="AH201" s="23">
        <v>784</v>
      </c>
      <c r="AI201" s="28">
        <v>808</v>
      </c>
      <c r="AJ201" s="106"/>
    </row>
    <row r="202" spans="1:36" s="29" customFormat="1" ht="19.5" hidden="1" customHeight="1">
      <c r="A202" s="355"/>
      <c r="B202" s="30"/>
      <c r="C202" s="31"/>
      <c r="D202" s="41"/>
      <c r="E202" s="83"/>
      <c r="F202" s="84"/>
      <c r="G202" s="84"/>
      <c r="H202" s="84"/>
      <c r="I202" s="84"/>
      <c r="J202" s="84"/>
      <c r="K202" s="84"/>
      <c r="L202" s="85"/>
      <c r="M202" s="84"/>
      <c r="N202" s="84"/>
      <c r="O202" s="84"/>
      <c r="P202" s="84"/>
      <c r="Q202" s="35"/>
      <c r="R202" s="82"/>
      <c r="S202" s="86"/>
      <c r="T202" s="86"/>
      <c r="U202" s="86"/>
      <c r="V202" s="86"/>
      <c r="W202" s="86"/>
      <c r="X202" s="86"/>
      <c r="Y202" s="88"/>
      <c r="Z202" s="86"/>
      <c r="AA202" s="86"/>
      <c r="AB202" s="86"/>
      <c r="AC202" s="86"/>
      <c r="AD202" s="97"/>
      <c r="AE202" s="40"/>
      <c r="AF202" s="32"/>
      <c r="AG202" s="32"/>
      <c r="AH202" s="41"/>
      <c r="AI202" s="35"/>
    </row>
    <row r="203" spans="1:36" s="29" customFormat="1" ht="19.5" hidden="1" customHeight="1">
      <c r="A203" s="355"/>
      <c r="B203" s="42" t="s">
        <v>34</v>
      </c>
      <c r="C203" s="43"/>
      <c r="D203" s="49"/>
      <c r="E203" s="77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8">
        <f>SUM(E203:P203)</f>
        <v>0</v>
      </c>
      <c r="R203" s="49">
        <f t="shared" ref="R203:AC203" si="80">+E203</f>
        <v>0</v>
      </c>
      <c r="S203" s="50">
        <f t="shared" si="80"/>
        <v>0</v>
      </c>
      <c r="T203" s="50">
        <f t="shared" si="80"/>
        <v>0</v>
      </c>
      <c r="U203" s="50">
        <f t="shared" si="80"/>
        <v>0</v>
      </c>
      <c r="V203" s="50">
        <f t="shared" si="80"/>
        <v>0</v>
      </c>
      <c r="W203" s="50">
        <f t="shared" si="80"/>
        <v>0</v>
      </c>
      <c r="X203" s="50">
        <f t="shared" si="80"/>
        <v>0</v>
      </c>
      <c r="Y203" s="50">
        <f t="shared" si="80"/>
        <v>0</v>
      </c>
      <c r="Z203" s="50">
        <f t="shared" si="80"/>
        <v>0</v>
      </c>
      <c r="AA203" s="50">
        <f t="shared" si="80"/>
        <v>0</v>
      </c>
      <c r="AB203" s="50">
        <f t="shared" si="80"/>
        <v>0</v>
      </c>
      <c r="AC203" s="50">
        <f t="shared" si="80"/>
        <v>0</v>
      </c>
      <c r="AD203" s="48">
        <f>SUM(R203:AC203)</f>
        <v>0</v>
      </c>
      <c r="AE203" s="51"/>
      <c r="AF203" s="79">
        <v>626</v>
      </c>
      <c r="AG203" s="79">
        <v>656</v>
      </c>
      <c r="AH203" s="45">
        <v>690</v>
      </c>
      <c r="AI203" s="52">
        <v>686</v>
      </c>
    </row>
    <row r="204" spans="1:36" s="29" customFormat="1" ht="19.149999999999999" hidden="1" customHeight="1">
      <c r="A204" s="355"/>
      <c r="B204" s="30"/>
      <c r="C204" s="31"/>
      <c r="D204" s="61"/>
      <c r="E204" s="89"/>
      <c r="F204" s="90"/>
      <c r="G204" s="90"/>
      <c r="H204" s="90"/>
      <c r="I204" s="90"/>
      <c r="J204" s="90"/>
      <c r="K204" s="90"/>
      <c r="L204" s="91"/>
      <c r="M204" s="90"/>
      <c r="N204" s="90"/>
      <c r="O204" s="90"/>
      <c r="P204" s="90"/>
      <c r="Q204" s="57"/>
      <c r="R204" s="61"/>
      <c r="S204" s="92"/>
      <c r="T204" s="92"/>
      <c r="U204" s="92"/>
      <c r="V204" s="92"/>
      <c r="W204" s="92"/>
      <c r="X204" s="92"/>
      <c r="Y204" s="94"/>
      <c r="Z204" s="92"/>
      <c r="AA204" s="92"/>
      <c r="AB204" s="92"/>
      <c r="AC204" s="92"/>
      <c r="AD204" s="98"/>
      <c r="AE204" s="60"/>
      <c r="AF204" s="55"/>
      <c r="AG204" s="55"/>
      <c r="AH204" s="61"/>
      <c r="AI204" s="57"/>
    </row>
    <row r="205" spans="1:36" s="71" customFormat="1" ht="19.5" hidden="1" customHeight="1">
      <c r="A205" s="360"/>
      <c r="B205" s="62" t="s">
        <v>38</v>
      </c>
      <c r="C205" s="105"/>
      <c r="D205" s="68" t="e">
        <v>#DIV/0!</v>
      </c>
      <c r="E205" s="65">
        <f>IFERROR(E203/E201,0)</f>
        <v>0</v>
      </c>
      <c r="F205" s="66">
        <f>IFERROR(F203/F201,0)</f>
        <v>0</v>
      </c>
      <c r="G205" s="66">
        <f t="shared" ref="G205:P205" si="81">IFERROR(G203/G201,0)</f>
        <v>0</v>
      </c>
      <c r="H205" s="66">
        <f t="shared" si="81"/>
        <v>0</v>
      </c>
      <c r="I205" s="66">
        <f t="shared" si="81"/>
        <v>0</v>
      </c>
      <c r="J205" s="66">
        <f t="shared" si="81"/>
        <v>0</v>
      </c>
      <c r="K205" s="66">
        <f t="shared" si="81"/>
        <v>0</v>
      </c>
      <c r="L205" s="66">
        <f t="shared" si="81"/>
        <v>0</v>
      </c>
      <c r="M205" s="66">
        <f t="shared" si="81"/>
        <v>0</v>
      </c>
      <c r="N205" s="66">
        <f t="shared" si="81"/>
        <v>0</v>
      </c>
      <c r="O205" s="66">
        <f t="shared" si="81"/>
        <v>0</v>
      </c>
      <c r="P205" s="66">
        <f t="shared" si="81"/>
        <v>0</v>
      </c>
      <c r="Q205" s="67">
        <f>IFERROR(Q203/Q201,0)</f>
        <v>0</v>
      </c>
      <c r="R205" s="68">
        <f>IFERROR(R203/R201,0)</f>
        <v>0</v>
      </c>
      <c r="S205" s="69">
        <f>IFERROR(S203/S201,0)</f>
        <v>0</v>
      </c>
      <c r="T205" s="69">
        <f t="shared" ref="T205:AC205" si="82">IFERROR(T203/T201,0)</f>
        <v>0</v>
      </c>
      <c r="U205" s="69">
        <f t="shared" si="82"/>
        <v>0</v>
      </c>
      <c r="V205" s="69">
        <f t="shared" si="82"/>
        <v>0</v>
      </c>
      <c r="W205" s="69">
        <f t="shared" si="82"/>
        <v>0</v>
      </c>
      <c r="X205" s="69">
        <f t="shared" si="82"/>
        <v>0</v>
      </c>
      <c r="Y205" s="69">
        <f t="shared" si="82"/>
        <v>0</v>
      </c>
      <c r="Z205" s="69">
        <f t="shared" si="82"/>
        <v>0</v>
      </c>
      <c r="AA205" s="69">
        <f t="shared" si="82"/>
        <v>0</v>
      </c>
      <c r="AB205" s="69">
        <f t="shared" si="82"/>
        <v>0</v>
      </c>
      <c r="AC205" s="69">
        <f t="shared" si="82"/>
        <v>0</v>
      </c>
      <c r="AD205" s="67">
        <f>IFERROR(AD203/AD201,0)</f>
        <v>0</v>
      </c>
      <c r="AE205" s="70" t="e">
        <f>AE203/AE201</f>
        <v>#DIV/0!</v>
      </c>
      <c r="AF205" s="64">
        <f>AF203/AF201</f>
        <v>0.8804500703234881</v>
      </c>
      <c r="AG205" s="64">
        <f>AG203/AG201</f>
        <v>0.87935656836461129</v>
      </c>
      <c r="AH205" s="68">
        <f>AH203/AH201</f>
        <v>0.88010204081632648</v>
      </c>
      <c r="AI205" s="67">
        <f>AI203/AI201</f>
        <v>0.84900990099009899</v>
      </c>
    </row>
    <row r="206" spans="1:36" s="29" customFormat="1" ht="19.5" hidden="1" customHeight="1">
      <c r="A206" s="358" t="s">
        <v>85</v>
      </c>
      <c r="B206" s="20" t="s">
        <v>32</v>
      </c>
      <c r="C206" s="21"/>
      <c r="D206" s="22"/>
      <c r="E206" s="73"/>
      <c r="F206" s="74"/>
      <c r="G206" s="46"/>
      <c r="H206" s="46"/>
      <c r="I206" s="46"/>
      <c r="J206" s="46"/>
      <c r="K206" s="74"/>
      <c r="L206" s="74"/>
      <c r="M206" s="74"/>
      <c r="N206" s="74"/>
      <c r="O206" s="74"/>
      <c r="P206" s="74"/>
      <c r="Q206" s="25">
        <f>SUM(E206:P206)</f>
        <v>0</v>
      </c>
      <c r="R206" s="22">
        <f t="shared" ref="R206:AC206" si="83">+E206</f>
        <v>0</v>
      </c>
      <c r="S206" s="26">
        <f t="shared" si="83"/>
        <v>0</v>
      </c>
      <c r="T206" s="26">
        <f t="shared" si="83"/>
        <v>0</v>
      </c>
      <c r="U206" s="26">
        <f t="shared" si="83"/>
        <v>0</v>
      </c>
      <c r="V206" s="50">
        <f t="shared" si="83"/>
        <v>0</v>
      </c>
      <c r="W206" s="50">
        <f t="shared" si="83"/>
        <v>0</v>
      </c>
      <c r="X206" s="26">
        <f t="shared" si="83"/>
        <v>0</v>
      </c>
      <c r="Y206" s="26">
        <f t="shared" si="83"/>
        <v>0</v>
      </c>
      <c r="Z206" s="26">
        <f t="shared" si="83"/>
        <v>0</v>
      </c>
      <c r="AA206" s="26">
        <f t="shared" si="83"/>
        <v>0</v>
      </c>
      <c r="AB206" s="26">
        <f t="shared" si="83"/>
        <v>0</v>
      </c>
      <c r="AC206" s="26">
        <f t="shared" si="83"/>
        <v>0</v>
      </c>
      <c r="AD206" s="25">
        <f>SUM(R206:AC206)</f>
        <v>0</v>
      </c>
      <c r="AE206" s="27"/>
      <c r="AF206" s="75"/>
      <c r="AG206" s="75">
        <v>1068</v>
      </c>
      <c r="AH206" s="23">
        <v>1121</v>
      </c>
      <c r="AI206" s="28">
        <v>1155</v>
      </c>
      <c r="AJ206" s="106"/>
    </row>
    <row r="207" spans="1:36" s="29" customFormat="1" ht="19.5" hidden="1" customHeight="1">
      <c r="A207" s="355"/>
      <c r="B207" s="30"/>
      <c r="C207" s="31"/>
      <c r="D207" s="41"/>
      <c r="E207" s="83"/>
      <c r="F207" s="84"/>
      <c r="G207" s="84"/>
      <c r="H207" s="84"/>
      <c r="I207" s="84"/>
      <c r="J207" s="84"/>
      <c r="K207" s="84"/>
      <c r="L207" s="85"/>
      <c r="M207" s="84"/>
      <c r="N207" s="84"/>
      <c r="O207" s="84"/>
      <c r="P207" s="84"/>
      <c r="Q207" s="35"/>
      <c r="R207" s="82"/>
      <c r="S207" s="86"/>
      <c r="T207" s="86"/>
      <c r="U207" s="86"/>
      <c r="V207" s="86"/>
      <c r="W207" s="86"/>
      <c r="X207" s="86"/>
      <c r="Y207" s="88"/>
      <c r="Z207" s="86"/>
      <c r="AA207" s="86"/>
      <c r="AB207" s="86"/>
      <c r="AC207" s="86"/>
      <c r="AD207" s="97"/>
      <c r="AE207" s="40"/>
      <c r="AF207" s="32"/>
      <c r="AG207" s="32"/>
      <c r="AH207" s="41"/>
      <c r="AI207" s="35"/>
    </row>
    <row r="208" spans="1:36" s="29" customFormat="1" ht="19.5" hidden="1" customHeight="1">
      <c r="A208" s="355"/>
      <c r="B208" s="42" t="s">
        <v>34</v>
      </c>
      <c r="C208" s="43"/>
      <c r="D208" s="49"/>
      <c r="E208" s="77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8">
        <f>SUM(E208:P208)</f>
        <v>0</v>
      </c>
      <c r="R208" s="49">
        <f t="shared" ref="R208:AC208" si="84">+E208</f>
        <v>0</v>
      </c>
      <c r="S208" s="50">
        <f t="shared" si="84"/>
        <v>0</v>
      </c>
      <c r="T208" s="50">
        <f t="shared" si="84"/>
        <v>0</v>
      </c>
      <c r="U208" s="50">
        <f t="shared" si="84"/>
        <v>0</v>
      </c>
      <c r="V208" s="50">
        <f t="shared" si="84"/>
        <v>0</v>
      </c>
      <c r="W208" s="50">
        <f t="shared" si="84"/>
        <v>0</v>
      </c>
      <c r="X208" s="50">
        <f t="shared" si="84"/>
        <v>0</v>
      </c>
      <c r="Y208" s="50">
        <f t="shared" si="84"/>
        <v>0</v>
      </c>
      <c r="Z208" s="50">
        <f t="shared" si="84"/>
        <v>0</v>
      </c>
      <c r="AA208" s="50">
        <f t="shared" si="84"/>
        <v>0</v>
      </c>
      <c r="AB208" s="50">
        <f t="shared" si="84"/>
        <v>0</v>
      </c>
      <c r="AC208" s="50">
        <f t="shared" si="84"/>
        <v>0</v>
      </c>
      <c r="AD208" s="48">
        <f>SUM(R208:AC208)</f>
        <v>0</v>
      </c>
      <c r="AE208" s="51"/>
      <c r="AF208" s="79"/>
      <c r="AG208" s="79">
        <v>940</v>
      </c>
      <c r="AH208" s="45">
        <v>986</v>
      </c>
      <c r="AI208" s="52">
        <v>981</v>
      </c>
    </row>
    <row r="209" spans="1:36" s="29" customFormat="1" ht="19.149999999999999" hidden="1" customHeight="1">
      <c r="A209" s="355"/>
      <c r="B209" s="30"/>
      <c r="C209" s="31"/>
      <c r="D209" s="61"/>
      <c r="E209" s="89"/>
      <c r="F209" s="90"/>
      <c r="G209" s="90"/>
      <c r="H209" s="90"/>
      <c r="I209" s="90"/>
      <c r="J209" s="90"/>
      <c r="K209" s="90"/>
      <c r="L209" s="91"/>
      <c r="M209" s="90"/>
      <c r="N209" s="90"/>
      <c r="O209" s="90"/>
      <c r="P209" s="90"/>
      <c r="Q209" s="57"/>
      <c r="R209" s="61"/>
      <c r="S209" s="92"/>
      <c r="T209" s="92"/>
      <c r="U209" s="92"/>
      <c r="V209" s="92"/>
      <c r="W209" s="92"/>
      <c r="X209" s="92"/>
      <c r="Y209" s="94"/>
      <c r="Z209" s="92"/>
      <c r="AA209" s="92"/>
      <c r="AB209" s="92"/>
      <c r="AC209" s="92"/>
      <c r="AD209" s="98"/>
      <c r="AE209" s="60"/>
      <c r="AF209" s="55"/>
      <c r="AG209" s="55"/>
      <c r="AH209" s="61"/>
      <c r="AI209" s="57"/>
    </row>
    <row r="210" spans="1:36" s="71" customFormat="1" ht="19.5" hidden="1" customHeight="1">
      <c r="A210" s="360"/>
      <c r="B210" s="62" t="s">
        <v>38</v>
      </c>
      <c r="C210" s="105"/>
      <c r="D210" s="68" t="e">
        <v>#DIV/0!</v>
      </c>
      <c r="E210" s="65">
        <f>IFERROR(E208/E206,0)</f>
        <v>0</v>
      </c>
      <c r="F210" s="66">
        <f>IFERROR(F208/F206,0)</f>
        <v>0</v>
      </c>
      <c r="G210" s="66">
        <f t="shared" ref="G210:P210" si="85">IFERROR(G208/G206,0)</f>
        <v>0</v>
      </c>
      <c r="H210" s="66">
        <f t="shared" si="85"/>
        <v>0</v>
      </c>
      <c r="I210" s="66">
        <f t="shared" si="85"/>
        <v>0</v>
      </c>
      <c r="J210" s="66">
        <f t="shared" si="85"/>
        <v>0</v>
      </c>
      <c r="K210" s="66">
        <f t="shared" si="85"/>
        <v>0</v>
      </c>
      <c r="L210" s="66">
        <f t="shared" si="85"/>
        <v>0</v>
      </c>
      <c r="M210" s="66">
        <f t="shared" si="85"/>
        <v>0</v>
      </c>
      <c r="N210" s="66">
        <f t="shared" si="85"/>
        <v>0</v>
      </c>
      <c r="O210" s="66">
        <f t="shared" si="85"/>
        <v>0</v>
      </c>
      <c r="P210" s="66">
        <f t="shared" si="85"/>
        <v>0</v>
      </c>
      <c r="Q210" s="67">
        <f>IFERROR(Q208/Q206,0)</f>
        <v>0</v>
      </c>
      <c r="R210" s="68">
        <f>IFERROR(R208/R206,0)</f>
        <v>0</v>
      </c>
      <c r="S210" s="69">
        <f>IFERROR(S208/S206,0)</f>
        <v>0</v>
      </c>
      <c r="T210" s="69">
        <f t="shared" ref="T210:AC210" si="86">IFERROR(T208/T206,0)</f>
        <v>0</v>
      </c>
      <c r="U210" s="69">
        <f t="shared" si="86"/>
        <v>0</v>
      </c>
      <c r="V210" s="69">
        <f t="shared" si="86"/>
        <v>0</v>
      </c>
      <c r="W210" s="69">
        <f t="shared" si="86"/>
        <v>0</v>
      </c>
      <c r="X210" s="69">
        <f t="shared" si="86"/>
        <v>0</v>
      </c>
      <c r="Y210" s="69">
        <f t="shared" si="86"/>
        <v>0</v>
      </c>
      <c r="Z210" s="69">
        <f t="shared" si="86"/>
        <v>0</v>
      </c>
      <c r="AA210" s="69">
        <f t="shared" si="86"/>
        <v>0</v>
      </c>
      <c r="AB210" s="69">
        <f t="shared" si="86"/>
        <v>0</v>
      </c>
      <c r="AC210" s="69">
        <f t="shared" si="86"/>
        <v>0</v>
      </c>
      <c r="AD210" s="67">
        <f>IFERROR(AD208/AD206,0)</f>
        <v>0</v>
      </c>
      <c r="AE210" s="70" t="e">
        <f>AE208/AE206</f>
        <v>#DIV/0!</v>
      </c>
      <c r="AF210" s="64" t="e">
        <f>AF208/AF206</f>
        <v>#DIV/0!</v>
      </c>
      <c r="AG210" s="64">
        <f>AG208/AG206</f>
        <v>0.88014981273408244</v>
      </c>
      <c r="AH210" s="68">
        <f>AH208/AH206</f>
        <v>0.87957181088314007</v>
      </c>
      <c r="AI210" s="67">
        <f>AI208/AI206</f>
        <v>0.8493506493506493</v>
      </c>
    </row>
    <row r="211" spans="1:36" s="29" customFormat="1" ht="19.5" hidden="1" customHeight="1">
      <c r="A211" s="358" t="s">
        <v>86</v>
      </c>
      <c r="B211" s="20" t="s">
        <v>32</v>
      </c>
      <c r="C211" s="21"/>
      <c r="D211" s="22"/>
      <c r="E211" s="73"/>
      <c r="F211" s="74"/>
      <c r="G211" s="46"/>
      <c r="H211" s="46"/>
      <c r="I211" s="46"/>
      <c r="J211" s="46"/>
      <c r="K211" s="74"/>
      <c r="L211" s="74"/>
      <c r="M211" s="74"/>
      <c r="N211" s="74"/>
      <c r="O211" s="74"/>
      <c r="P211" s="74"/>
      <c r="Q211" s="25">
        <f>SUM(E211:P211)</f>
        <v>0</v>
      </c>
      <c r="R211" s="22">
        <f t="shared" ref="R211:AC211" si="87">+E211</f>
        <v>0</v>
      </c>
      <c r="S211" s="26">
        <f t="shared" si="87"/>
        <v>0</v>
      </c>
      <c r="T211" s="26">
        <f t="shared" si="87"/>
        <v>0</v>
      </c>
      <c r="U211" s="26">
        <f t="shared" si="87"/>
        <v>0</v>
      </c>
      <c r="V211" s="50">
        <f t="shared" si="87"/>
        <v>0</v>
      </c>
      <c r="W211" s="50">
        <f t="shared" si="87"/>
        <v>0</v>
      </c>
      <c r="X211" s="26">
        <f t="shared" si="87"/>
        <v>0</v>
      </c>
      <c r="Y211" s="26">
        <f t="shared" si="87"/>
        <v>0</v>
      </c>
      <c r="Z211" s="26">
        <f t="shared" si="87"/>
        <v>0</v>
      </c>
      <c r="AA211" s="26">
        <f t="shared" si="87"/>
        <v>0</v>
      </c>
      <c r="AB211" s="26">
        <f t="shared" si="87"/>
        <v>0</v>
      </c>
      <c r="AC211" s="26">
        <f t="shared" si="87"/>
        <v>0</v>
      </c>
      <c r="AD211" s="25">
        <f>SUM(R211:AC211)</f>
        <v>0</v>
      </c>
      <c r="AE211" s="27"/>
      <c r="AF211" s="75"/>
      <c r="AG211" s="75"/>
      <c r="AH211" s="23">
        <v>1404</v>
      </c>
      <c r="AI211" s="28">
        <v>1446</v>
      </c>
      <c r="AJ211" s="106"/>
    </row>
    <row r="212" spans="1:36" s="29" customFormat="1" ht="19.5" hidden="1" customHeight="1">
      <c r="A212" s="355"/>
      <c r="B212" s="30"/>
      <c r="C212" s="31"/>
      <c r="D212" s="41"/>
      <c r="E212" s="83"/>
      <c r="F212" s="84"/>
      <c r="G212" s="84"/>
      <c r="H212" s="84"/>
      <c r="I212" s="84"/>
      <c r="J212" s="84"/>
      <c r="K212" s="84"/>
      <c r="L212" s="85"/>
      <c r="M212" s="84"/>
      <c r="N212" s="84"/>
      <c r="O212" s="84"/>
      <c r="P212" s="84"/>
      <c r="Q212" s="35"/>
      <c r="R212" s="82"/>
      <c r="S212" s="86"/>
      <c r="T212" s="86"/>
      <c r="U212" s="86"/>
      <c r="V212" s="86"/>
      <c r="W212" s="86"/>
      <c r="X212" s="86"/>
      <c r="Y212" s="88"/>
      <c r="Z212" s="86"/>
      <c r="AA212" s="86"/>
      <c r="AB212" s="86"/>
      <c r="AC212" s="86"/>
      <c r="AD212" s="97"/>
      <c r="AE212" s="40"/>
      <c r="AF212" s="32"/>
      <c r="AG212" s="32"/>
      <c r="AH212" s="41"/>
      <c r="AI212" s="35"/>
    </row>
    <row r="213" spans="1:36" s="29" customFormat="1" ht="19.5" hidden="1" customHeight="1">
      <c r="A213" s="355"/>
      <c r="B213" s="42" t="s">
        <v>34</v>
      </c>
      <c r="C213" s="43"/>
      <c r="D213" s="49"/>
      <c r="E213" s="77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8">
        <f>SUM(E213:P213)</f>
        <v>0</v>
      </c>
      <c r="R213" s="49">
        <f t="shared" ref="R213:AC213" si="88">+E213</f>
        <v>0</v>
      </c>
      <c r="S213" s="50">
        <f t="shared" si="88"/>
        <v>0</v>
      </c>
      <c r="T213" s="50">
        <f t="shared" si="88"/>
        <v>0</v>
      </c>
      <c r="U213" s="50">
        <f t="shared" si="88"/>
        <v>0</v>
      </c>
      <c r="V213" s="50">
        <f t="shared" si="88"/>
        <v>0</v>
      </c>
      <c r="W213" s="50">
        <f t="shared" si="88"/>
        <v>0</v>
      </c>
      <c r="X213" s="50">
        <f t="shared" si="88"/>
        <v>0</v>
      </c>
      <c r="Y213" s="50">
        <f t="shared" si="88"/>
        <v>0</v>
      </c>
      <c r="Z213" s="50">
        <f t="shared" si="88"/>
        <v>0</v>
      </c>
      <c r="AA213" s="50">
        <f t="shared" si="88"/>
        <v>0</v>
      </c>
      <c r="AB213" s="50">
        <f t="shared" si="88"/>
        <v>0</v>
      </c>
      <c r="AC213" s="50">
        <f t="shared" si="88"/>
        <v>0</v>
      </c>
      <c r="AD213" s="48">
        <f>SUM(R213:AC213)</f>
        <v>0</v>
      </c>
      <c r="AE213" s="51"/>
      <c r="AF213" s="79"/>
      <c r="AG213" s="79"/>
      <c r="AH213" s="45">
        <v>1236</v>
      </c>
      <c r="AI213" s="52">
        <v>1229</v>
      </c>
    </row>
    <row r="214" spans="1:36" s="29" customFormat="1" ht="19.149999999999999" hidden="1" customHeight="1">
      <c r="A214" s="355"/>
      <c r="B214" s="30"/>
      <c r="C214" s="31"/>
      <c r="D214" s="61"/>
      <c r="E214" s="89"/>
      <c r="F214" s="90"/>
      <c r="G214" s="90"/>
      <c r="H214" s="90"/>
      <c r="I214" s="90"/>
      <c r="J214" s="90"/>
      <c r="K214" s="90"/>
      <c r="L214" s="91"/>
      <c r="M214" s="90"/>
      <c r="N214" s="90"/>
      <c r="O214" s="90"/>
      <c r="P214" s="90"/>
      <c r="Q214" s="57"/>
      <c r="R214" s="61"/>
      <c r="S214" s="92"/>
      <c r="T214" s="92"/>
      <c r="U214" s="92"/>
      <c r="V214" s="92"/>
      <c r="W214" s="92"/>
      <c r="X214" s="92"/>
      <c r="Y214" s="94"/>
      <c r="Z214" s="92"/>
      <c r="AA214" s="92"/>
      <c r="AB214" s="92"/>
      <c r="AC214" s="92"/>
      <c r="AD214" s="98"/>
      <c r="AE214" s="60"/>
      <c r="AF214" s="55"/>
      <c r="AG214" s="55"/>
      <c r="AH214" s="61"/>
      <c r="AI214" s="57"/>
    </row>
    <row r="215" spans="1:36" s="71" customFormat="1" ht="19.5" hidden="1" customHeight="1">
      <c r="A215" s="360"/>
      <c r="B215" s="62" t="s">
        <v>38</v>
      </c>
      <c r="C215" s="105"/>
      <c r="D215" s="68" t="e">
        <v>#DIV/0!</v>
      </c>
      <c r="E215" s="65">
        <f>IFERROR(E213/E211,0)</f>
        <v>0</v>
      </c>
      <c r="F215" s="66">
        <f>IFERROR(F213/F211,0)</f>
        <v>0</v>
      </c>
      <c r="G215" s="66">
        <f t="shared" ref="G215:P215" si="89">IFERROR(G213/G211,0)</f>
        <v>0</v>
      </c>
      <c r="H215" s="66">
        <f t="shared" si="89"/>
        <v>0</v>
      </c>
      <c r="I215" s="66">
        <f t="shared" si="89"/>
        <v>0</v>
      </c>
      <c r="J215" s="66">
        <f t="shared" si="89"/>
        <v>0</v>
      </c>
      <c r="K215" s="66">
        <f t="shared" si="89"/>
        <v>0</v>
      </c>
      <c r="L215" s="66">
        <f t="shared" si="89"/>
        <v>0</v>
      </c>
      <c r="M215" s="66">
        <f t="shared" si="89"/>
        <v>0</v>
      </c>
      <c r="N215" s="66">
        <f t="shared" si="89"/>
        <v>0</v>
      </c>
      <c r="O215" s="66">
        <f t="shared" si="89"/>
        <v>0</v>
      </c>
      <c r="P215" s="66">
        <f t="shared" si="89"/>
        <v>0</v>
      </c>
      <c r="Q215" s="67">
        <f>IFERROR(Q213/Q211,0)</f>
        <v>0</v>
      </c>
      <c r="R215" s="68">
        <f>IFERROR(R213/R211,0)</f>
        <v>0</v>
      </c>
      <c r="S215" s="69">
        <f>IFERROR(S213/S211,0)</f>
        <v>0</v>
      </c>
      <c r="T215" s="69">
        <f t="shared" ref="T215:AC215" si="90">IFERROR(T213/T211,0)</f>
        <v>0</v>
      </c>
      <c r="U215" s="69">
        <f t="shared" si="90"/>
        <v>0</v>
      </c>
      <c r="V215" s="69">
        <f t="shared" si="90"/>
        <v>0</v>
      </c>
      <c r="W215" s="69">
        <f t="shared" si="90"/>
        <v>0</v>
      </c>
      <c r="X215" s="69">
        <f t="shared" si="90"/>
        <v>0</v>
      </c>
      <c r="Y215" s="69">
        <f t="shared" si="90"/>
        <v>0</v>
      </c>
      <c r="Z215" s="69">
        <f t="shared" si="90"/>
        <v>0</v>
      </c>
      <c r="AA215" s="69">
        <f t="shared" si="90"/>
        <v>0</v>
      </c>
      <c r="AB215" s="69">
        <f t="shared" si="90"/>
        <v>0</v>
      </c>
      <c r="AC215" s="69">
        <f t="shared" si="90"/>
        <v>0</v>
      </c>
      <c r="AD215" s="67">
        <f>IFERROR(AD213/AD211,0)</f>
        <v>0</v>
      </c>
      <c r="AE215" s="70" t="e">
        <f>AE213/AE211</f>
        <v>#DIV/0!</v>
      </c>
      <c r="AF215" s="64" t="e">
        <f>AF213/AF211</f>
        <v>#DIV/0!</v>
      </c>
      <c r="AG215" s="64" t="e">
        <f>AG213/AG211</f>
        <v>#DIV/0!</v>
      </c>
      <c r="AH215" s="68">
        <f>AH213/AH211</f>
        <v>0.88034188034188032</v>
      </c>
      <c r="AI215" s="67">
        <f>AI213/AI211</f>
        <v>0.84993084370677729</v>
      </c>
    </row>
    <row r="216" spans="1:36" s="29" customFormat="1" ht="19.5" hidden="1" customHeight="1">
      <c r="A216" s="358" t="s">
        <v>87</v>
      </c>
      <c r="B216" s="20" t="s">
        <v>32</v>
      </c>
      <c r="C216" s="21"/>
      <c r="D216" s="22"/>
      <c r="E216" s="73"/>
      <c r="F216" s="74"/>
      <c r="G216" s="46"/>
      <c r="H216" s="46"/>
      <c r="I216" s="46"/>
      <c r="J216" s="46"/>
      <c r="K216" s="74"/>
      <c r="L216" s="74"/>
      <c r="M216" s="74"/>
      <c r="N216" s="74"/>
      <c r="O216" s="74"/>
      <c r="P216" s="74"/>
      <c r="Q216" s="25">
        <f>SUM(E216:P216)</f>
        <v>0</v>
      </c>
      <c r="R216" s="22">
        <f t="shared" ref="R216:AC216" si="91">+E216</f>
        <v>0</v>
      </c>
      <c r="S216" s="26">
        <f t="shared" si="91"/>
        <v>0</v>
      </c>
      <c r="T216" s="26">
        <f t="shared" si="91"/>
        <v>0</v>
      </c>
      <c r="U216" s="26">
        <f t="shared" si="91"/>
        <v>0</v>
      </c>
      <c r="V216" s="50">
        <f t="shared" si="91"/>
        <v>0</v>
      </c>
      <c r="W216" s="50">
        <f t="shared" si="91"/>
        <v>0</v>
      </c>
      <c r="X216" s="26">
        <f t="shared" si="91"/>
        <v>0</v>
      </c>
      <c r="Y216" s="26">
        <f t="shared" si="91"/>
        <v>0</v>
      </c>
      <c r="Z216" s="26">
        <f t="shared" si="91"/>
        <v>0</v>
      </c>
      <c r="AA216" s="26">
        <f t="shared" si="91"/>
        <v>0</v>
      </c>
      <c r="AB216" s="26">
        <f t="shared" si="91"/>
        <v>0</v>
      </c>
      <c r="AC216" s="26">
        <f t="shared" si="91"/>
        <v>0</v>
      </c>
      <c r="AD216" s="25">
        <f>SUM(R216:AC216)</f>
        <v>0</v>
      </c>
      <c r="AE216" s="27">
        <v>683</v>
      </c>
      <c r="AF216" s="75">
        <v>718</v>
      </c>
      <c r="AG216" s="75">
        <v>754</v>
      </c>
      <c r="AH216" s="23">
        <v>792</v>
      </c>
      <c r="AI216" s="28">
        <v>816</v>
      </c>
      <c r="AJ216" s="106"/>
    </row>
    <row r="217" spans="1:36" s="29" customFormat="1" ht="19.5" hidden="1" customHeight="1">
      <c r="A217" s="355"/>
      <c r="B217" s="30"/>
      <c r="C217" s="31"/>
      <c r="D217" s="41"/>
      <c r="E217" s="83"/>
      <c r="F217" s="84"/>
      <c r="G217" s="84"/>
      <c r="H217" s="84"/>
      <c r="I217" s="84"/>
      <c r="J217" s="84"/>
      <c r="K217" s="84"/>
      <c r="L217" s="85"/>
      <c r="M217" s="84"/>
      <c r="N217" s="84"/>
      <c r="O217" s="84"/>
      <c r="P217" s="84"/>
      <c r="Q217" s="35"/>
      <c r="R217" s="82"/>
      <c r="S217" s="86"/>
      <c r="T217" s="86"/>
      <c r="U217" s="86"/>
      <c r="V217" s="86"/>
      <c r="W217" s="86"/>
      <c r="X217" s="86"/>
      <c r="Y217" s="88"/>
      <c r="Z217" s="86"/>
      <c r="AA217" s="86"/>
      <c r="AB217" s="86"/>
      <c r="AC217" s="86"/>
      <c r="AD217" s="97"/>
      <c r="AE217" s="40"/>
      <c r="AF217" s="32"/>
      <c r="AG217" s="32"/>
      <c r="AH217" s="41"/>
      <c r="AI217" s="35"/>
    </row>
    <row r="218" spans="1:36" s="29" customFormat="1" ht="19.5" hidden="1" customHeight="1">
      <c r="A218" s="355"/>
      <c r="B218" s="42" t="s">
        <v>34</v>
      </c>
      <c r="C218" s="43"/>
      <c r="D218" s="49"/>
      <c r="E218" s="77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8">
        <f>SUM(E218:P218)</f>
        <v>0</v>
      </c>
      <c r="R218" s="49">
        <f t="shared" ref="R218:AC218" si="92">+E218</f>
        <v>0</v>
      </c>
      <c r="S218" s="50">
        <f t="shared" si="92"/>
        <v>0</v>
      </c>
      <c r="T218" s="50">
        <f t="shared" si="92"/>
        <v>0</v>
      </c>
      <c r="U218" s="50">
        <f t="shared" si="92"/>
        <v>0</v>
      </c>
      <c r="V218" s="50">
        <f t="shared" si="92"/>
        <v>0</v>
      </c>
      <c r="W218" s="50">
        <f t="shared" si="92"/>
        <v>0</v>
      </c>
      <c r="X218" s="50">
        <f t="shared" si="92"/>
        <v>0</v>
      </c>
      <c r="Y218" s="50">
        <f t="shared" si="92"/>
        <v>0</v>
      </c>
      <c r="Z218" s="50">
        <f t="shared" si="92"/>
        <v>0</v>
      </c>
      <c r="AA218" s="50">
        <f t="shared" si="92"/>
        <v>0</v>
      </c>
      <c r="AB218" s="50">
        <f t="shared" si="92"/>
        <v>0</v>
      </c>
      <c r="AC218" s="50">
        <f t="shared" si="92"/>
        <v>0</v>
      </c>
      <c r="AD218" s="48">
        <f>SUM(R218:AC218)</f>
        <v>0</v>
      </c>
      <c r="AE218" s="51">
        <v>601</v>
      </c>
      <c r="AF218" s="79">
        <v>632</v>
      </c>
      <c r="AG218" s="79">
        <v>664</v>
      </c>
      <c r="AH218" s="45">
        <v>697</v>
      </c>
      <c r="AI218" s="52">
        <v>693</v>
      </c>
    </row>
    <row r="219" spans="1:36" s="29" customFormat="1" ht="19.149999999999999" hidden="1" customHeight="1">
      <c r="A219" s="355"/>
      <c r="B219" s="30"/>
      <c r="C219" s="31"/>
      <c r="D219" s="61"/>
      <c r="E219" s="89"/>
      <c r="F219" s="90"/>
      <c r="G219" s="90"/>
      <c r="H219" s="90"/>
      <c r="I219" s="90"/>
      <c r="J219" s="90"/>
      <c r="K219" s="90"/>
      <c r="L219" s="91"/>
      <c r="M219" s="90"/>
      <c r="N219" s="90"/>
      <c r="O219" s="90"/>
      <c r="P219" s="90"/>
      <c r="Q219" s="57"/>
      <c r="R219" s="61"/>
      <c r="S219" s="92"/>
      <c r="T219" s="92"/>
      <c r="U219" s="92"/>
      <c r="V219" s="92"/>
      <c r="W219" s="92"/>
      <c r="X219" s="92"/>
      <c r="Y219" s="94"/>
      <c r="Z219" s="92"/>
      <c r="AA219" s="92"/>
      <c r="AB219" s="92"/>
      <c r="AC219" s="92"/>
      <c r="AD219" s="98"/>
      <c r="AE219" s="60"/>
      <c r="AF219" s="55"/>
      <c r="AG219" s="55"/>
      <c r="AH219" s="61"/>
      <c r="AI219" s="57"/>
    </row>
    <row r="220" spans="1:36" s="71" customFormat="1" ht="19.5" hidden="1" customHeight="1">
      <c r="A220" s="360"/>
      <c r="B220" s="62" t="s">
        <v>38</v>
      </c>
      <c r="C220" s="105"/>
      <c r="D220" s="68" t="e">
        <v>#DIV/0!</v>
      </c>
      <c r="E220" s="65">
        <f>IFERROR(E218/E216,0)</f>
        <v>0</v>
      </c>
      <c r="F220" s="66">
        <f>IFERROR(F218/F216,0)</f>
        <v>0</v>
      </c>
      <c r="G220" s="66">
        <f t="shared" ref="G220:P220" si="93">IFERROR(G218/G216,0)</f>
        <v>0</v>
      </c>
      <c r="H220" s="66">
        <f t="shared" si="93"/>
        <v>0</v>
      </c>
      <c r="I220" s="66">
        <f t="shared" si="93"/>
        <v>0</v>
      </c>
      <c r="J220" s="66">
        <f t="shared" si="93"/>
        <v>0</v>
      </c>
      <c r="K220" s="66">
        <f t="shared" si="93"/>
        <v>0</v>
      </c>
      <c r="L220" s="66">
        <f t="shared" si="93"/>
        <v>0</v>
      </c>
      <c r="M220" s="66">
        <f t="shared" si="93"/>
        <v>0</v>
      </c>
      <c r="N220" s="66">
        <f t="shared" si="93"/>
        <v>0</v>
      </c>
      <c r="O220" s="66">
        <f t="shared" si="93"/>
        <v>0</v>
      </c>
      <c r="P220" s="66">
        <f t="shared" si="93"/>
        <v>0</v>
      </c>
      <c r="Q220" s="67">
        <f>IFERROR(Q218/Q216,0)</f>
        <v>0</v>
      </c>
      <c r="R220" s="68">
        <f>IFERROR(R218/R216,0)</f>
        <v>0</v>
      </c>
      <c r="S220" s="69">
        <f>IFERROR(S218/S216,0)</f>
        <v>0</v>
      </c>
      <c r="T220" s="69">
        <f t="shared" ref="T220:AC220" si="94">IFERROR(T218/T216,0)</f>
        <v>0</v>
      </c>
      <c r="U220" s="69">
        <f t="shared" si="94"/>
        <v>0</v>
      </c>
      <c r="V220" s="69">
        <f t="shared" si="94"/>
        <v>0</v>
      </c>
      <c r="W220" s="69">
        <f t="shared" si="94"/>
        <v>0</v>
      </c>
      <c r="X220" s="69">
        <f t="shared" si="94"/>
        <v>0</v>
      </c>
      <c r="Y220" s="69">
        <f t="shared" si="94"/>
        <v>0</v>
      </c>
      <c r="Z220" s="69">
        <f t="shared" si="94"/>
        <v>0</v>
      </c>
      <c r="AA220" s="69">
        <f t="shared" si="94"/>
        <v>0</v>
      </c>
      <c r="AB220" s="69">
        <f t="shared" si="94"/>
        <v>0</v>
      </c>
      <c r="AC220" s="69">
        <f t="shared" si="94"/>
        <v>0</v>
      </c>
      <c r="AD220" s="67">
        <f>IFERROR(AD218/AD216,0)</f>
        <v>0</v>
      </c>
      <c r="AE220" s="70">
        <f>AE218/AE216</f>
        <v>0.87994143484626652</v>
      </c>
      <c r="AF220" s="64">
        <f>AF218/AF216</f>
        <v>0.88022284122562677</v>
      </c>
      <c r="AG220" s="64">
        <f>AG218/AG216</f>
        <v>0.88063660477453576</v>
      </c>
      <c r="AH220" s="68">
        <f>AH218/AH216</f>
        <v>0.88005050505050508</v>
      </c>
      <c r="AI220" s="67">
        <f>AI218/AI216</f>
        <v>0.84926470588235292</v>
      </c>
    </row>
    <row r="221" spans="1:36" s="29" customFormat="1" ht="19.5" hidden="1" customHeight="1">
      <c r="A221" s="358" t="s">
        <v>88</v>
      </c>
      <c r="B221" s="20" t="s">
        <v>32</v>
      </c>
      <c r="C221" s="21"/>
      <c r="D221" s="22"/>
      <c r="E221" s="73"/>
      <c r="F221" s="74"/>
      <c r="G221" s="46"/>
      <c r="H221" s="46"/>
      <c r="I221" s="46"/>
      <c r="J221" s="46"/>
      <c r="K221" s="74"/>
      <c r="L221" s="74"/>
      <c r="M221" s="74"/>
      <c r="N221" s="74"/>
      <c r="O221" s="74"/>
      <c r="P221" s="74"/>
      <c r="Q221" s="25">
        <f>SUM(E221:P221)</f>
        <v>0</v>
      </c>
      <c r="R221" s="22"/>
      <c r="S221" s="26"/>
      <c r="T221" s="26"/>
      <c r="U221" s="26"/>
      <c r="V221" s="50"/>
      <c r="W221" s="50"/>
      <c r="X221" s="26"/>
      <c r="Y221" s="26"/>
      <c r="Z221" s="26"/>
      <c r="AA221" s="26"/>
      <c r="AB221" s="26"/>
      <c r="AC221" s="26"/>
      <c r="AD221" s="25">
        <f>SUM(R221:AC221)</f>
        <v>0</v>
      </c>
      <c r="AE221" s="27"/>
      <c r="AF221" s="75">
        <v>85287</v>
      </c>
      <c r="AG221" s="75"/>
      <c r="AH221" s="23"/>
      <c r="AI221" s="28"/>
    </row>
    <row r="222" spans="1:36" s="29" customFormat="1" ht="19.5" hidden="1" customHeight="1">
      <c r="A222" s="355"/>
      <c r="B222" s="30"/>
      <c r="C222" s="31"/>
      <c r="D222" s="41"/>
      <c r="E222" s="83"/>
      <c r="F222" s="84"/>
      <c r="G222" s="84"/>
      <c r="H222" s="84"/>
      <c r="I222" s="84"/>
      <c r="J222" s="84"/>
      <c r="K222" s="84"/>
      <c r="L222" s="85"/>
      <c r="M222" s="84"/>
      <c r="N222" s="84"/>
      <c r="O222" s="84"/>
      <c r="P222" s="84"/>
      <c r="Q222" s="35"/>
      <c r="R222" s="82"/>
      <c r="S222" s="86"/>
      <c r="T222" s="86"/>
      <c r="U222" s="86"/>
      <c r="V222" s="86"/>
      <c r="W222" s="86"/>
      <c r="X222" s="86"/>
      <c r="Y222" s="88"/>
      <c r="Z222" s="86"/>
      <c r="AA222" s="86"/>
      <c r="AB222" s="86"/>
      <c r="AC222" s="86"/>
      <c r="AD222" s="35"/>
      <c r="AE222" s="40"/>
      <c r="AF222" s="32"/>
      <c r="AG222" s="32"/>
      <c r="AH222" s="41"/>
      <c r="AI222" s="35"/>
    </row>
    <row r="223" spans="1:36" s="29" customFormat="1" ht="19.5" hidden="1" customHeight="1">
      <c r="A223" s="355"/>
      <c r="B223" s="42" t="s">
        <v>34</v>
      </c>
      <c r="C223" s="43"/>
      <c r="D223" s="49"/>
      <c r="E223" s="77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8">
        <f>SUM(E223:P223)</f>
        <v>0</v>
      </c>
      <c r="R223" s="49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48">
        <f>SUM(R223:AC223)</f>
        <v>0</v>
      </c>
      <c r="AE223" s="51"/>
      <c r="AF223" s="79">
        <v>34115</v>
      </c>
      <c r="AG223" s="79"/>
      <c r="AH223" s="45"/>
      <c r="AI223" s="52"/>
    </row>
    <row r="224" spans="1:36" s="29" customFormat="1" ht="19.5" hidden="1" customHeight="1">
      <c r="A224" s="355"/>
      <c r="B224" s="30"/>
      <c r="C224" s="31"/>
      <c r="D224" s="61"/>
      <c r="E224" s="89"/>
      <c r="F224" s="90"/>
      <c r="G224" s="90"/>
      <c r="H224" s="90"/>
      <c r="I224" s="90"/>
      <c r="J224" s="90"/>
      <c r="K224" s="90"/>
      <c r="L224" s="91"/>
      <c r="M224" s="90"/>
      <c r="N224" s="90"/>
      <c r="O224" s="90"/>
      <c r="P224" s="90"/>
      <c r="Q224" s="57"/>
      <c r="R224" s="61"/>
      <c r="S224" s="92"/>
      <c r="T224" s="92"/>
      <c r="U224" s="92"/>
      <c r="V224" s="92"/>
      <c r="W224" s="92"/>
      <c r="X224" s="92"/>
      <c r="Y224" s="94"/>
      <c r="Z224" s="92"/>
      <c r="AA224" s="92"/>
      <c r="AB224" s="92"/>
      <c r="AC224" s="92"/>
      <c r="AD224" s="57"/>
      <c r="AE224" s="95"/>
      <c r="AF224" s="61"/>
      <c r="AG224" s="61"/>
      <c r="AH224" s="61"/>
      <c r="AI224" s="57"/>
    </row>
    <row r="225" spans="1:35" s="71" customFormat="1" ht="19.5" hidden="1" customHeight="1">
      <c r="A225" s="360"/>
      <c r="B225" s="62" t="s">
        <v>38</v>
      </c>
      <c r="C225" s="105"/>
      <c r="D225" s="68" t="e">
        <v>#DIV/0!</v>
      </c>
      <c r="E225" s="65">
        <f>IFERROR(E223/E221,0)</f>
        <v>0</v>
      </c>
      <c r="F225" s="66">
        <f>IFERROR(F223/F221,0)</f>
        <v>0</v>
      </c>
      <c r="G225" s="66">
        <f t="shared" ref="G225:P225" si="95">IFERROR(G223/G221,0)</f>
        <v>0</v>
      </c>
      <c r="H225" s="66">
        <f t="shared" si="95"/>
        <v>0</v>
      </c>
      <c r="I225" s="66">
        <f t="shared" si="95"/>
        <v>0</v>
      </c>
      <c r="J225" s="66">
        <f t="shared" si="95"/>
        <v>0</v>
      </c>
      <c r="K225" s="66">
        <f t="shared" si="95"/>
        <v>0</v>
      </c>
      <c r="L225" s="66">
        <f t="shared" si="95"/>
        <v>0</v>
      </c>
      <c r="M225" s="66">
        <f t="shared" si="95"/>
        <v>0</v>
      </c>
      <c r="N225" s="66">
        <f t="shared" si="95"/>
        <v>0</v>
      </c>
      <c r="O225" s="66">
        <f t="shared" si="95"/>
        <v>0</v>
      </c>
      <c r="P225" s="66">
        <f t="shared" si="95"/>
        <v>0</v>
      </c>
      <c r="Q225" s="67">
        <f>IFERROR(Q223/Q221,0)</f>
        <v>0</v>
      </c>
      <c r="R225" s="68">
        <f>IFERROR(R223/R221,0)</f>
        <v>0</v>
      </c>
      <c r="S225" s="69">
        <f>IFERROR(S223/S221,0)</f>
        <v>0</v>
      </c>
      <c r="T225" s="69">
        <f t="shared" ref="T225:AC225" si="96">IFERROR(T223/T221,0)</f>
        <v>0</v>
      </c>
      <c r="U225" s="69">
        <f t="shared" si="96"/>
        <v>0</v>
      </c>
      <c r="V225" s="69">
        <f t="shared" si="96"/>
        <v>0</v>
      </c>
      <c r="W225" s="69">
        <f t="shared" si="96"/>
        <v>0</v>
      </c>
      <c r="X225" s="69">
        <f t="shared" si="96"/>
        <v>0</v>
      </c>
      <c r="Y225" s="69">
        <f t="shared" si="96"/>
        <v>0</v>
      </c>
      <c r="Z225" s="69">
        <f t="shared" si="96"/>
        <v>0</v>
      </c>
      <c r="AA225" s="69">
        <f t="shared" si="96"/>
        <v>0</v>
      </c>
      <c r="AB225" s="69">
        <f t="shared" si="96"/>
        <v>0</v>
      </c>
      <c r="AC225" s="69">
        <f t="shared" si="96"/>
        <v>0</v>
      </c>
      <c r="AD225" s="67">
        <f>IFERROR(AD223/AD221,0)</f>
        <v>0</v>
      </c>
      <c r="AE225" s="96" t="e">
        <f>AE223/AE221</f>
        <v>#DIV/0!</v>
      </c>
      <c r="AF225" s="68">
        <f>AF223/AF221</f>
        <v>0.40000234502327436</v>
      </c>
      <c r="AG225" s="68" t="e">
        <f>AG223/AG221</f>
        <v>#DIV/0!</v>
      </c>
      <c r="AH225" s="68" t="e">
        <f>AH223/AH221</f>
        <v>#DIV/0!</v>
      </c>
      <c r="AI225" s="67" t="e">
        <f>AI223/AI221</f>
        <v>#DIV/0!</v>
      </c>
    </row>
    <row r="226" spans="1:35" s="29" customFormat="1" ht="19.149999999999999" hidden="1" customHeight="1">
      <c r="A226" s="358" t="s">
        <v>89</v>
      </c>
      <c r="B226" s="20" t="s">
        <v>32</v>
      </c>
      <c r="C226" s="21"/>
      <c r="D226" s="22"/>
      <c r="E226" s="73"/>
      <c r="F226" s="74"/>
      <c r="G226" s="46"/>
      <c r="H226" s="46"/>
      <c r="I226" s="46"/>
      <c r="J226" s="46"/>
      <c r="K226" s="74"/>
      <c r="L226" s="74"/>
      <c r="M226" s="74"/>
      <c r="N226" s="74"/>
      <c r="O226" s="74"/>
      <c r="P226" s="74"/>
      <c r="Q226" s="25">
        <f>SUM(E226:P226)</f>
        <v>0</v>
      </c>
      <c r="R226" s="22"/>
      <c r="S226" s="26"/>
      <c r="T226" s="26"/>
      <c r="U226" s="26"/>
      <c r="V226" s="50"/>
      <c r="W226" s="50"/>
      <c r="X226" s="26"/>
      <c r="Y226" s="26"/>
      <c r="Z226" s="26"/>
      <c r="AA226" s="26"/>
      <c r="AB226" s="26"/>
      <c r="AC226" s="26"/>
      <c r="AD226" s="25">
        <f>SUM(R226:AC226)</f>
        <v>0</v>
      </c>
      <c r="AE226" s="27"/>
      <c r="AF226" s="75"/>
      <c r="AG226" s="75">
        <v>103192</v>
      </c>
      <c r="AH226" s="23"/>
      <c r="AI226" s="28"/>
    </row>
    <row r="227" spans="1:35" s="29" customFormat="1" ht="19.149999999999999" hidden="1" customHeight="1">
      <c r="A227" s="355"/>
      <c r="B227" s="30"/>
      <c r="C227" s="31"/>
      <c r="D227" s="41"/>
      <c r="E227" s="83"/>
      <c r="F227" s="84"/>
      <c r="G227" s="84"/>
      <c r="H227" s="84"/>
      <c r="I227" s="84"/>
      <c r="J227" s="84"/>
      <c r="K227" s="84"/>
      <c r="L227" s="85"/>
      <c r="M227" s="84"/>
      <c r="N227" s="84"/>
      <c r="O227" s="84"/>
      <c r="P227" s="84"/>
      <c r="Q227" s="35"/>
      <c r="R227" s="82"/>
      <c r="S227" s="86"/>
      <c r="T227" s="86"/>
      <c r="U227" s="86"/>
      <c r="V227" s="86"/>
      <c r="W227" s="86"/>
      <c r="X227" s="86"/>
      <c r="Y227" s="88"/>
      <c r="Z227" s="86"/>
      <c r="AA227" s="86"/>
      <c r="AB227" s="86"/>
      <c r="AC227" s="86"/>
      <c r="AD227" s="35"/>
      <c r="AE227" s="40"/>
      <c r="AF227" s="32"/>
      <c r="AG227" s="32"/>
      <c r="AH227" s="41"/>
      <c r="AI227" s="35"/>
    </row>
    <row r="228" spans="1:35" s="29" customFormat="1" ht="19.5" hidden="1" customHeight="1">
      <c r="A228" s="355"/>
      <c r="B228" s="42" t="s">
        <v>34</v>
      </c>
      <c r="C228" s="43"/>
      <c r="D228" s="49"/>
      <c r="E228" s="77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8">
        <f>SUM(E228:P228)</f>
        <v>0</v>
      </c>
      <c r="R228" s="49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48">
        <f>SUM(R228:AC228)</f>
        <v>0</v>
      </c>
      <c r="AE228" s="51"/>
      <c r="AF228" s="79"/>
      <c r="AG228" s="79">
        <v>41276.800000000003</v>
      </c>
      <c r="AH228" s="45"/>
      <c r="AI228" s="52"/>
    </row>
    <row r="229" spans="1:35" s="29" customFormat="1" ht="19.5" hidden="1" customHeight="1">
      <c r="A229" s="355"/>
      <c r="B229" s="30"/>
      <c r="C229" s="31"/>
      <c r="D229" s="61"/>
      <c r="E229" s="89"/>
      <c r="F229" s="90"/>
      <c r="G229" s="90"/>
      <c r="H229" s="90"/>
      <c r="I229" s="90"/>
      <c r="J229" s="90"/>
      <c r="K229" s="90"/>
      <c r="L229" s="91"/>
      <c r="M229" s="90"/>
      <c r="N229" s="90"/>
      <c r="O229" s="90"/>
      <c r="P229" s="90"/>
      <c r="Q229" s="57"/>
      <c r="R229" s="61"/>
      <c r="S229" s="92"/>
      <c r="T229" s="92"/>
      <c r="U229" s="92"/>
      <c r="V229" s="92"/>
      <c r="W229" s="92"/>
      <c r="X229" s="92"/>
      <c r="Y229" s="94"/>
      <c r="Z229" s="92"/>
      <c r="AA229" s="92"/>
      <c r="AB229" s="92"/>
      <c r="AC229" s="92"/>
      <c r="AD229" s="57"/>
      <c r="AE229" s="95"/>
      <c r="AF229" s="61"/>
      <c r="AG229" s="61"/>
      <c r="AH229" s="61"/>
      <c r="AI229" s="57"/>
    </row>
    <row r="230" spans="1:35" s="71" customFormat="1" ht="19.5" hidden="1" customHeight="1">
      <c r="A230" s="360"/>
      <c r="B230" s="62" t="s">
        <v>38</v>
      </c>
      <c r="C230" s="105"/>
      <c r="D230" s="68" t="e">
        <v>#DIV/0!</v>
      </c>
      <c r="E230" s="65">
        <f>IFERROR(E228/E226,0)</f>
        <v>0</v>
      </c>
      <c r="F230" s="66">
        <f>IFERROR(F228/F226,0)</f>
        <v>0</v>
      </c>
      <c r="G230" s="66">
        <f t="shared" ref="G230:P230" si="97">IFERROR(G228/G226,0)</f>
        <v>0</v>
      </c>
      <c r="H230" s="66">
        <f t="shared" si="97"/>
        <v>0</v>
      </c>
      <c r="I230" s="66">
        <f t="shared" si="97"/>
        <v>0</v>
      </c>
      <c r="J230" s="66">
        <f t="shared" si="97"/>
        <v>0</v>
      </c>
      <c r="K230" s="66">
        <f t="shared" si="97"/>
        <v>0</v>
      </c>
      <c r="L230" s="66">
        <f t="shared" si="97"/>
        <v>0</v>
      </c>
      <c r="M230" s="66">
        <f t="shared" si="97"/>
        <v>0</v>
      </c>
      <c r="N230" s="66">
        <f t="shared" si="97"/>
        <v>0</v>
      </c>
      <c r="O230" s="66">
        <f t="shared" si="97"/>
        <v>0</v>
      </c>
      <c r="P230" s="66">
        <f t="shared" si="97"/>
        <v>0</v>
      </c>
      <c r="Q230" s="67">
        <f>IFERROR(Q228/Q226,0)</f>
        <v>0</v>
      </c>
      <c r="R230" s="68">
        <f>IFERROR(R228/R226,0)</f>
        <v>0</v>
      </c>
      <c r="S230" s="69">
        <f>IFERROR(S228/S226,0)</f>
        <v>0</v>
      </c>
      <c r="T230" s="69">
        <f t="shared" ref="T230:AC230" si="98">IFERROR(T228/T226,0)</f>
        <v>0</v>
      </c>
      <c r="U230" s="69">
        <f t="shared" si="98"/>
        <v>0</v>
      </c>
      <c r="V230" s="69">
        <f t="shared" si="98"/>
        <v>0</v>
      </c>
      <c r="W230" s="69">
        <f t="shared" si="98"/>
        <v>0</v>
      </c>
      <c r="X230" s="69">
        <f t="shared" si="98"/>
        <v>0</v>
      </c>
      <c r="Y230" s="69">
        <f t="shared" si="98"/>
        <v>0</v>
      </c>
      <c r="Z230" s="69">
        <f t="shared" si="98"/>
        <v>0</v>
      </c>
      <c r="AA230" s="69">
        <f t="shared" si="98"/>
        <v>0</v>
      </c>
      <c r="AB230" s="69">
        <f t="shared" si="98"/>
        <v>0</v>
      </c>
      <c r="AC230" s="69">
        <f t="shared" si="98"/>
        <v>0</v>
      </c>
      <c r="AD230" s="67">
        <f>IFERROR(AD228/AD226,0)</f>
        <v>0</v>
      </c>
      <c r="AE230" s="96" t="e">
        <f>AE228/AE226</f>
        <v>#DIV/0!</v>
      </c>
      <c r="AF230" s="68" t="e">
        <f>AF228/AF226</f>
        <v>#DIV/0!</v>
      </c>
      <c r="AG230" s="68">
        <f>AG228/AG226</f>
        <v>0.4</v>
      </c>
      <c r="AH230" s="68" t="e">
        <f>AH228/AH226</f>
        <v>#DIV/0!</v>
      </c>
      <c r="AI230" s="67" t="e">
        <f>AI228/AI226</f>
        <v>#DIV/0!</v>
      </c>
    </row>
    <row r="231" spans="1:35" s="29" customFormat="1" ht="19.5" hidden="1" customHeight="1">
      <c r="A231" s="358" t="s">
        <v>90</v>
      </c>
      <c r="B231" s="20" t="s">
        <v>32</v>
      </c>
      <c r="C231" s="21"/>
      <c r="D231" s="22"/>
      <c r="E231" s="73"/>
      <c r="F231" s="74"/>
      <c r="G231" s="46"/>
      <c r="H231" s="46"/>
      <c r="I231" s="46"/>
      <c r="J231" s="46"/>
      <c r="K231" s="74"/>
      <c r="L231" s="74"/>
      <c r="M231" s="74"/>
      <c r="N231" s="74"/>
      <c r="O231" s="74"/>
      <c r="P231" s="74"/>
      <c r="Q231" s="25">
        <f>SUM(E231:P231)</f>
        <v>0</v>
      </c>
      <c r="R231" s="22"/>
      <c r="S231" s="26"/>
      <c r="T231" s="26"/>
      <c r="U231" s="26"/>
      <c r="V231" s="50"/>
      <c r="W231" s="50"/>
      <c r="X231" s="26"/>
      <c r="Y231" s="26"/>
      <c r="Z231" s="26"/>
      <c r="AA231" s="26"/>
      <c r="AB231" s="26"/>
      <c r="AC231" s="26"/>
      <c r="AD231" s="25">
        <f>SUM(R231:AC231)</f>
        <v>0</v>
      </c>
      <c r="AE231" s="27"/>
      <c r="AF231" s="75"/>
      <c r="AG231" s="75"/>
      <c r="AH231" s="23"/>
      <c r="AI231" s="28">
        <v>63965</v>
      </c>
    </row>
    <row r="232" spans="1:35" s="29" customFormat="1" ht="19.5" hidden="1" customHeight="1">
      <c r="A232" s="355"/>
      <c r="B232" s="30"/>
      <c r="C232" s="31"/>
      <c r="D232" s="41"/>
      <c r="E232" s="83"/>
      <c r="F232" s="84"/>
      <c r="G232" s="84"/>
      <c r="H232" s="84"/>
      <c r="I232" s="84"/>
      <c r="J232" s="84"/>
      <c r="K232" s="84"/>
      <c r="L232" s="85"/>
      <c r="M232" s="84"/>
      <c r="N232" s="84"/>
      <c r="O232" s="84"/>
      <c r="P232" s="84"/>
      <c r="Q232" s="35"/>
      <c r="R232" s="82"/>
      <c r="S232" s="86"/>
      <c r="T232" s="86"/>
      <c r="U232" s="86"/>
      <c r="V232" s="86"/>
      <c r="W232" s="86"/>
      <c r="X232" s="86"/>
      <c r="Y232" s="88"/>
      <c r="Z232" s="86"/>
      <c r="AA232" s="86"/>
      <c r="AB232" s="86"/>
      <c r="AC232" s="86"/>
      <c r="AD232" s="35"/>
      <c r="AE232" s="40"/>
      <c r="AF232" s="32"/>
      <c r="AG232" s="32"/>
      <c r="AH232" s="41"/>
      <c r="AI232" s="35"/>
    </row>
    <row r="233" spans="1:35" s="29" customFormat="1" ht="19.5" hidden="1" customHeight="1">
      <c r="A233" s="355"/>
      <c r="B233" s="42" t="s">
        <v>34</v>
      </c>
      <c r="C233" s="43"/>
      <c r="D233" s="49"/>
      <c r="E233" s="77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8">
        <f>SUM(E233:P233)</f>
        <v>0</v>
      </c>
      <c r="R233" s="49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48">
        <f>SUM(R233:AC233)</f>
        <v>0</v>
      </c>
      <c r="AE233" s="51"/>
      <c r="AF233" s="79"/>
      <c r="AG233" s="79"/>
      <c r="AH233" s="45"/>
      <c r="AI233" s="52">
        <v>38379</v>
      </c>
    </row>
    <row r="234" spans="1:35" s="29" customFormat="1" ht="19.5" hidden="1" customHeight="1">
      <c r="A234" s="355"/>
      <c r="B234" s="30"/>
      <c r="C234" s="31"/>
      <c r="D234" s="61"/>
      <c r="E234" s="89"/>
      <c r="F234" s="90"/>
      <c r="G234" s="90"/>
      <c r="H234" s="90"/>
      <c r="I234" s="90"/>
      <c r="J234" s="90"/>
      <c r="K234" s="90"/>
      <c r="L234" s="91"/>
      <c r="M234" s="90"/>
      <c r="N234" s="90"/>
      <c r="O234" s="90"/>
      <c r="P234" s="90"/>
      <c r="Q234" s="57"/>
      <c r="R234" s="61"/>
      <c r="S234" s="92"/>
      <c r="T234" s="92"/>
      <c r="U234" s="92"/>
      <c r="V234" s="92"/>
      <c r="W234" s="92"/>
      <c r="X234" s="92"/>
      <c r="Y234" s="94"/>
      <c r="Z234" s="92"/>
      <c r="AA234" s="92"/>
      <c r="AB234" s="92"/>
      <c r="AC234" s="92"/>
      <c r="AD234" s="57"/>
      <c r="AE234" s="95"/>
      <c r="AF234" s="61"/>
      <c r="AG234" s="61"/>
      <c r="AH234" s="61"/>
      <c r="AI234" s="57"/>
    </row>
    <row r="235" spans="1:35" s="71" customFormat="1" ht="19.5" hidden="1" customHeight="1">
      <c r="A235" s="360"/>
      <c r="B235" s="62" t="s">
        <v>38</v>
      </c>
      <c r="C235" s="105"/>
      <c r="D235" s="68" t="e">
        <v>#DIV/0!</v>
      </c>
      <c r="E235" s="65">
        <f>IFERROR(E233/E231,0)</f>
        <v>0</v>
      </c>
      <c r="F235" s="66">
        <f>IFERROR(F233/F231,0)</f>
        <v>0</v>
      </c>
      <c r="G235" s="66">
        <f t="shared" ref="G235:P235" si="99">IFERROR(G233/G231,0)</f>
        <v>0</v>
      </c>
      <c r="H235" s="66">
        <f t="shared" si="99"/>
        <v>0</v>
      </c>
      <c r="I235" s="66">
        <f t="shared" si="99"/>
        <v>0</v>
      </c>
      <c r="J235" s="66">
        <f t="shared" si="99"/>
        <v>0</v>
      </c>
      <c r="K235" s="66">
        <f t="shared" si="99"/>
        <v>0</v>
      </c>
      <c r="L235" s="66">
        <f t="shared" si="99"/>
        <v>0</v>
      </c>
      <c r="M235" s="66">
        <f t="shared" si="99"/>
        <v>0</v>
      </c>
      <c r="N235" s="66">
        <f t="shared" si="99"/>
        <v>0</v>
      </c>
      <c r="O235" s="66">
        <f t="shared" si="99"/>
        <v>0</v>
      </c>
      <c r="P235" s="66">
        <f t="shared" si="99"/>
        <v>0</v>
      </c>
      <c r="Q235" s="67">
        <f>IFERROR(Q233/Q231,0)</f>
        <v>0</v>
      </c>
      <c r="R235" s="68">
        <f>IFERROR(R233/R231,0)</f>
        <v>0</v>
      </c>
      <c r="S235" s="69">
        <f>IFERROR(S233/S231,0)</f>
        <v>0</v>
      </c>
      <c r="T235" s="69">
        <f t="shared" ref="T235:AC235" si="100">IFERROR(T233/T231,0)</f>
        <v>0</v>
      </c>
      <c r="U235" s="69">
        <f t="shared" si="100"/>
        <v>0</v>
      </c>
      <c r="V235" s="69">
        <f t="shared" si="100"/>
        <v>0</v>
      </c>
      <c r="W235" s="69">
        <f t="shared" si="100"/>
        <v>0</v>
      </c>
      <c r="X235" s="69">
        <f t="shared" si="100"/>
        <v>0</v>
      </c>
      <c r="Y235" s="69">
        <f t="shared" si="100"/>
        <v>0</v>
      </c>
      <c r="Z235" s="69">
        <f t="shared" si="100"/>
        <v>0</v>
      </c>
      <c r="AA235" s="69">
        <f t="shared" si="100"/>
        <v>0</v>
      </c>
      <c r="AB235" s="69">
        <f t="shared" si="100"/>
        <v>0</v>
      </c>
      <c r="AC235" s="69">
        <f t="shared" si="100"/>
        <v>0</v>
      </c>
      <c r="AD235" s="67">
        <f>IFERROR(AD233/AD231,0)</f>
        <v>0</v>
      </c>
      <c r="AE235" s="96" t="e">
        <f>AE233/AE231</f>
        <v>#DIV/0!</v>
      </c>
      <c r="AF235" s="68" t="e">
        <f>AF233/AF231</f>
        <v>#DIV/0!</v>
      </c>
      <c r="AG235" s="68" t="e">
        <f>AG233/AG231</f>
        <v>#DIV/0!</v>
      </c>
      <c r="AH235" s="68" t="e">
        <f>AH233/AH231</f>
        <v>#DIV/0!</v>
      </c>
      <c r="AI235" s="67">
        <f>AI233/AI231</f>
        <v>0.6</v>
      </c>
    </row>
    <row r="236" spans="1:35" s="29" customFormat="1" ht="19.5" hidden="1" customHeight="1">
      <c r="A236" s="358" t="s">
        <v>91</v>
      </c>
      <c r="B236" s="20" t="s">
        <v>32</v>
      </c>
      <c r="C236" s="21"/>
      <c r="D236" s="22"/>
      <c r="E236" s="73"/>
      <c r="F236" s="74"/>
      <c r="G236" s="46"/>
      <c r="H236" s="46"/>
      <c r="I236" s="46"/>
      <c r="J236" s="46"/>
      <c r="K236" s="74"/>
      <c r="L236" s="74"/>
      <c r="M236" s="74"/>
      <c r="N236" s="74"/>
      <c r="O236" s="74"/>
      <c r="P236" s="74"/>
      <c r="Q236" s="25">
        <f>SUM(E236:P236)</f>
        <v>0</v>
      </c>
      <c r="R236" s="22"/>
      <c r="S236" s="26"/>
      <c r="T236" s="26"/>
      <c r="U236" s="26"/>
      <c r="V236" s="50"/>
      <c r="W236" s="50"/>
      <c r="X236" s="26"/>
      <c r="Y236" s="26"/>
      <c r="Z236" s="26"/>
      <c r="AA236" s="26"/>
      <c r="AB236" s="26"/>
      <c r="AC236" s="26"/>
      <c r="AD236" s="25">
        <f>SUM(R236:AC236)</f>
        <v>0</v>
      </c>
      <c r="AE236" s="27"/>
      <c r="AF236" s="75"/>
      <c r="AG236" s="75">
        <v>74887</v>
      </c>
      <c r="AH236" s="23"/>
      <c r="AI236" s="28">
        <v>176016</v>
      </c>
    </row>
    <row r="237" spans="1:35" s="29" customFormat="1" ht="19.5" hidden="1" customHeight="1">
      <c r="A237" s="355"/>
      <c r="B237" s="30"/>
      <c r="C237" s="31"/>
      <c r="D237" s="41"/>
      <c r="E237" s="83"/>
      <c r="F237" s="84"/>
      <c r="G237" s="84"/>
      <c r="H237" s="84"/>
      <c r="I237" s="84"/>
      <c r="J237" s="84"/>
      <c r="K237" s="84"/>
      <c r="L237" s="85"/>
      <c r="M237" s="84"/>
      <c r="N237" s="84"/>
      <c r="O237" s="84"/>
      <c r="P237" s="84"/>
      <c r="Q237" s="35"/>
      <c r="R237" s="82"/>
      <c r="S237" s="86"/>
      <c r="T237" s="86"/>
      <c r="U237" s="86"/>
      <c r="V237" s="86"/>
      <c r="W237" s="86"/>
      <c r="X237" s="86"/>
      <c r="Y237" s="88"/>
      <c r="Z237" s="86"/>
      <c r="AA237" s="86"/>
      <c r="AB237" s="86"/>
      <c r="AC237" s="86"/>
      <c r="AD237" s="35"/>
      <c r="AE237" s="40"/>
      <c r="AF237" s="32"/>
      <c r="AG237" s="32"/>
      <c r="AH237" s="41"/>
      <c r="AI237" s="35"/>
    </row>
    <row r="238" spans="1:35" s="29" customFormat="1" ht="19.5" hidden="1" customHeight="1">
      <c r="A238" s="355"/>
      <c r="B238" s="42" t="s">
        <v>34</v>
      </c>
      <c r="C238" s="43"/>
      <c r="D238" s="49"/>
      <c r="E238" s="77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8">
        <f>SUM(E238:P238)</f>
        <v>0</v>
      </c>
      <c r="R238" s="49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48">
        <f>SUM(R238:AC238)</f>
        <v>0</v>
      </c>
      <c r="AE238" s="51"/>
      <c r="AF238" s="79"/>
      <c r="AG238" s="79">
        <v>29954.800000000003</v>
      </c>
      <c r="AH238" s="45">
        <v>0</v>
      </c>
      <c r="AI238" s="52">
        <v>70406.400000000009</v>
      </c>
    </row>
    <row r="239" spans="1:35" s="29" customFormat="1" ht="19.5" hidden="1" customHeight="1">
      <c r="A239" s="355"/>
      <c r="B239" s="30"/>
      <c r="C239" s="31"/>
      <c r="D239" s="61"/>
      <c r="E239" s="89"/>
      <c r="F239" s="90"/>
      <c r="G239" s="90"/>
      <c r="H239" s="90"/>
      <c r="I239" s="90"/>
      <c r="J239" s="90"/>
      <c r="K239" s="90"/>
      <c r="L239" s="91"/>
      <c r="M239" s="90"/>
      <c r="N239" s="90"/>
      <c r="O239" s="90"/>
      <c r="P239" s="90"/>
      <c r="Q239" s="57"/>
      <c r="R239" s="61"/>
      <c r="S239" s="92"/>
      <c r="T239" s="92"/>
      <c r="U239" s="92"/>
      <c r="V239" s="92"/>
      <c r="W239" s="92"/>
      <c r="X239" s="92"/>
      <c r="Y239" s="94"/>
      <c r="Z239" s="92"/>
      <c r="AA239" s="92"/>
      <c r="AB239" s="92"/>
      <c r="AC239" s="92"/>
      <c r="AD239" s="57"/>
      <c r="AE239" s="60"/>
      <c r="AF239" s="55"/>
      <c r="AG239" s="55"/>
      <c r="AH239" s="61"/>
      <c r="AI239" s="57"/>
    </row>
    <row r="240" spans="1:35" s="71" customFormat="1" ht="19.5" hidden="1" customHeight="1">
      <c r="A240" s="360"/>
      <c r="B240" s="62" t="s">
        <v>38</v>
      </c>
      <c r="C240" s="105"/>
      <c r="D240" s="68" t="e">
        <v>#DIV/0!</v>
      </c>
      <c r="E240" s="65">
        <f>IFERROR(E238/E236,0)</f>
        <v>0</v>
      </c>
      <c r="F240" s="66">
        <f>IFERROR(F238/F236,0)</f>
        <v>0</v>
      </c>
      <c r="G240" s="66">
        <f t="shared" ref="G240:P240" si="101">IFERROR(G238/G236,0)</f>
        <v>0</v>
      </c>
      <c r="H240" s="66">
        <f t="shared" si="101"/>
        <v>0</v>
      </c>
      <c r="I240" s="66">
        <f t="shared" si="101"/>
        <v>0</v>
      </c>
      <c r="J240" s="66">
        <f t="shared" si="101"/>
        <v>0</v>
      </c>
      <c r="K240" s="66">
        <f t="shared" si="101"/>
        <v>0</v>
      </c>
      <c r="L240" s="66">
        <f t="shared" si="101"/>
        <v>0</v>
      </c>
      <c r="M240" s="66">
        <f t="shared" si="101"/>
        <v>0</v>
      </c>
      <c r="N240" s="66">
        <f t="shared" si="101"/>
        <v>0</v>
      </c>
      <c r="O240" s="66">
        <f t="shared" si="101"/>
        <v>0</v>
      </c>
      <c r="P240" s="66">
        <f t="shared" si="101"/>
        <v>0</v>
      </c>
      <c r="Q240" s="67">
        <f>IFERROR(Q238/Q236,0)</f>
        <v>0</v>
      </c>
      <c r="R240" s="68">
        <f>IFERROR(R238/R236,0)</f>
        <v>0</v>
      </c>
      <c r="S240" s="69">
        <f>IFERROR(S238/S236,0)</f>
        <v>0</v>
      </c>
      <c r="T240" s="69">
        <f t="shared" ref="T240:AC240" si="102">IFERROR(T238/T236,0)</f>
        <v>0</v>
      </c>
      <c r="U240" s="69">
        <f t="shared" si="102"/>
        <v>0</v>
      </c>
      <c r="V240" s="69">
        <f t="shared" si="102"/>
        <v>0</v>
      </c>
      <c r="W240" s="69">
        <f t="shared" si="102"/>
        <v>0</v>
      </c>
      <c r="X240" s="69">
        <f t="shared" si="102"/>
        <v>0</v>
      </c>
      <c r="Y240" s="69">
        <f t="shared" si="102"/>
        <v>0</v>
      </c>
      <c r="Z240" s="69">
        <f t="shared" si="102"/>
        <v>0</v>
      </c>
      <c r="AA240" s="69">
        <f t="shared" si="102"/>
        <v>0</v>
      </c>
      <c r="AB240" s="69">
        <f t="shared" si="102"/>
        <v>0</v>
      </c>
      <c r="AC240" s="69">
        <f t="shared" si="102"/>
        <v>0</v>
      </c>
      <c r="AD240" s="67">
        <f>IFERROR(AD238/AD236,0)</f>
        <v>0</v>
      </c>
      <c r="AE240" s="70" t="e">
        <f>AE238/AE236</f>
        <v>#DIV/0!</v>
      </c>
      <c r="AF240" s="64" t="e">
        <f>AF238/AF236</f>
        <v>#DIV/0!</v>
      </c>
      <c r="AG240" s="64">
        <f>AG238/AG236</f>
        <v>0.4</v>
      </c>
      <c r="AH240" s="68" t="e">
        <f>AH238/AH236</f>
        <v>#DIV/0!</v>
      </c>
      <c r="AI240" s="67">
        <f>AI238/AI236</f>
        <v>0.4</v>
      </c>
    </row>
    <row r="241" spans="1:35" s="29" customFormat="1" ht="19.5" hidden="1" customHeight="1">
      <c r="A241" s="358" t="s">
        <v>92</v>
      </c>
      <c r="B241" s="20" t="s">
        <v>32</v>
      </c>
      <c r="C241" s="21"/>
      <c r="D241" s="22"/>
      <c r="E241" s="73"/>
      <c r="F241" s="74"/>
      <c r="G241" s="46"/>
      <c r="H241" s="46"/>
      <c r="I241" s="46"/>
      <c r="J241" s="46"/>
      <c r="K241" s="74"/>
      <c r="L241" s="74"/>
      <c r="M241" s="74"/>
      <c r="N241" s="74"/>
      <c r="O241" s="74"/>
      <c r="P241" s="74"/>
      <c r="Q241" s="25">
        <f>SUM(E241:P241)</f>
        <v>0</v>
      </c>
      <c r="R241" s="22"/>
      <c r="S241" s="26"/>
      <c r="T241" s="26"/>
      <c r="U241" s="26"/>
      <c r="V241" s="50"/>
      <c r="W241" s="50"/>
      <c r="X241" s="26"/>
      <c r="Y241" s="26"/>
      <c r="Z241" s="26"/>
      <c r="AA241" s="26"/>
      <c r="AB241" s="26"/>
      <c r="AC241" s="26"/>
      <c r="AD241" s="25">
        <f>SUM(R241:AC241)</f>
        <v>0</v>
      </c>
      <c r="AE241" s="27"/>
      <c r="AF241" s="75"/>
      <c r="AG241" s="75"/>
      <c r="AH241" s="23">
        <v>394210</v>
      </c>
      <c r="AI241" s="28"/>
    </row>
    <row r="242" spans="1:35" s="29" customFormat="1" ht="19.5" hidden="1" customHeight="1">
      <c r="A242" s="355"/>
      <c r="B242" s="30"/>
      <c r="C242" s="31"/>
      <c r="D242" s="41"/>
      <c r="E242" s="83"/>
      <c r="F242" s="84"/>
      <c r="G242" s="84"/>
      <c r="H242" s="84"/>
      <c r="I242" s="84"/>
      <c r="J242" s="84"/>
      <c r="K242" s="84"/>
      <c r="L242" s="85"/>
      <c r="M242" s="84"/>
      <c r="N242" s="84"/>
      <c r="O242" s="84"/>
      <c r="P242" s="84"/>
      <c r="Q242" s="35"/>
      <c r="R242" s="82"/>
      <c r="S242" s="86"/>
      <c r="T242" s="86"/>
      <c r="U242" s="86"/>
      <c r="V242" s="86"/>
      <c r="W242" s="86"/>
      <c r="X242" s="86"/>
      <c r="Y242" s="88"/>
      <c r="Z242" s="86"/>
      <c r="AA242" s="86"/>
      <c r="AB242" s="86"/>
      <c r="AC242" s="86"/>
      <c r="AD242" s="35"/>
      <c r="AE242" s="40"/>
      <c r="AF242" s="32"/>
      <c r="AG242" s="32"/>
      <c r="AH242" s="41"/>
      <c r="AI242" s="35"/>
    </row>
    <row r="243" spans="1:35" s="29" customFormat="1" ht="19.5" hidden="1" customHeight="1">
      <c r="A243" s="355"/>
      <c r="B243" s="42" t="s">
        <v>34</v>
      </c>
      <c r="C243" s="43"/>
      <c r="D243" s="49"/>
      <c r="E243" s="77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8">
        <f>SUM(E243:P243)</f>
        <v>0</v>
      </c>
      <c r="R243" s="49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48">
        <f>SUM(R243:AC243)</f>
        <v>0</v>
      </c>
      <c r="AE243" s="51"/>
      <c r="AF243" s="79"/>
      <c r="AG243" s="79"/>
      <c r="AH243" s="45">
        <v>157684</v>
      </c>
      <c r="AI243" s="52"/>
    </row>
    <row r="244" spans="1:35" s="29" customFormat="1" ht="19.5" hidden="1" customHeight="1">
      <c r="A244" s="355"/>
      <c r="B244" s="30"/>
      <c r="C244" s="31"/>
      <c r="D244" s="61"/>
      <c r="E244" s="107">
        <f>IFERROR(E242/E240,0)</f>
        <v>0</v>
      </c>
      <c r="F244" s="108">
        <f>IFERROR(F242/F240,0)</f>
        <v>0</v>
      </c>
      <c r="G244" s="108">
        <f t="shared" ref="G244:P245" si="103">IFERROR(G242/G240,0)</f>
        <v>0</v>
      </c>
      <c r="H244" s="108">
        <f t="shared" si="103"/>
        <v>0</v>
      </c>
      <c r="I244" s="108">
        <f t="shared" si="103"/>
        <v>0</v>
      </c>
      <c r="J244" s="108">
        <f t="shared" si="103"/>
        <v>0</v>
      </c>
      <c r="K244" s="108">
        <f t="shared" si="103"/>
        <v>0</v>
      </c>
      <c r="L244" s="108">
        <f t="shared" si="103"/>
        <v>0</v>
      </c>
      <c r="M244" s="108">
        <f t="shared" si="103"/>
        <v>0</v>
      </c>
      <c r="N244" s="108">
        <f t="shared" si="103"/>
        <v>0</v>
      </c>
      <c r="O244" s="108">
        <f t="shared" si="103"/>
        <v>0</v>
      </c>
      <c r="P244" s="108">
        <f t="shared" si="103"/>
        <v>0</v>
      </c>
      <c r="Q244" s="57"/>
      <c r="R244" s="61"/>
      <c r="S244" s="92"/>
      <c r="T244" s="92"/>
      <c r="U244" s="92"/>
      <c r="V244" s="92"/>
      <c r="W244" s="92"/>
      <c r="X244" s="92"/>
      <c r="Y244" s="94"/>
      <c r="Z244" s="92"/>
      <c r="AA244" s="92"/>
      <c r="AB244" s="92"/>
      <c r="AC244" s="92"/>
      <c r="AD244" s="57"/>
      <c r="AE244" s="60"/>
      <c r="AF244" s="55"/>
      <c r="AG244" s="55"/>
      <c r="AH244" s="61"/>
      <c r="AI244" s="57"/>
    </row>
    <row r="245" spans="1:35" s="71" customFormat="1" ht="19.5" hidden="1" customHeight="1">
      <c r="A245" s="360"/>
      <c r="B245" s="62" t="s">
        <v>38</v>
      </c>
      <c r="C245" s="105"/>
      <c r="D245" s="68" t="e">
        <v>#DIV/0!</v>
      </c>
      <c r="E245" s="65">
        <f>IFERROR(E243/E241,0)</f>
        <v>0</v>
      </c>
      <c r="F245" s="66">
        <f>IFERROR(F243/F241,0)</f>
        <v>0</v>
      </c>
      <c r="G245" s="66">
        <f t="shared" si="103"/>
        <v>0</v>
      </c>
      <c r="H245" s="66">
        <f t="shared" si="103"/>
        <v>0</v>
      </c>
      <c r="I245" s="66">
        <f t="shared" si="103"/>
        <v>0</v>
      </c>
      <c r="J245" s="66">
        <f t="shared" si="103"/>
        <v>0</v>
      </c>
      <c r="K245" s="66">
        <f t="shared" si="103"/>
        <v>0</v>
      </c>
      <c r="L245" s="66">
        <f t="shared" si="103"/>
        <v>0</v>
      </c>
      <c r="M245" s="66">
        <f t="shared" si="103"/>
        <v>0</v>
      </c>
      <c r="N245" s="66">
        <f t="shared" si="103"/>
        <v>0</v>
      </c>
      <c r="O245" s="66">
        <f t="shared" si="103"/>
        <v>0</v>
      </c>
      <c r="P245" s="109">
        <f t="shared" si="103"/>
        <v>0</v>
      </c>
      <c r="Q245" s="67">
        <f>IFERROR(Q243/Q241,0)</f>
        <v>0</v>
      </c>
      <c r="R245" s="68">
        <f>IFERROR(R243/R241,0)</f>
        <v>0</v>
      </c>
      <c r="S245" s="69">
        <f>IFERROR(S243/S241,0)</f>
        <v>0</v>
      </c>
      <c r="T245" s="69">
        <f t="shared" ref="T245:AC245" si="104">IFERROR(T243/T241,0)</f>
        <v>0</v>
      </c>
      <c r="U245" s="69">
        <f t="shared" si="104"/>
        <v>0</v>
      </c>
      <c r="V245" s="69">
        <f t="shared" si="104"/>
        <v>0</v>
      </c>
      <c r="W245" s="69">
        <f t="shared" si="104"/>
        <v>0</v>
      </c>
      <c r="X245" s="69">
        <f t="shared" si="104"/>
        <v>0</v>
      </c>
      <c r="Y245" s="69">
        <f t="shared" si="104"/>
        <v>0</v>
      </c>
      <c r="Z245" s="69">
        <f t="shared" si="104"/>
        <v>0</v>
      </c>
      <c r="AA245" s="69">
        <f t="shared" si="104"/>
        <v>0</v>
      </c>
      <c r="AB245" s="69">
        <f t="shared" si="104"/>
        <v>0</v>
      </c>
      <c r="AC245" s="69">
        <f t="shared" si="104"/>
        <v>0</v>
      </c>
      <c r="AD245" s="67">
        <f>IFERROR(AD243/AD241,0)</f>
        <v>0</v>
      </c>
      <c r="AE245" s="70" t="e">
        <f>AE243/AE241</f>
        <v>#DIV/0!</v>
      </c>
      <c r="AF245" s="64" t="e">
        <f>AF243/AF241</f>
        <v>#DIV/0!</v>
      </c>
      <c r="AG245" s="64" t="e">
        <f>AG243/AG241</f>
        <v>#DIV/0!</v>
      </c>
      <c r="AH245" s="68">
        <f>AH243/AH241</f>
        <v>0.4</v>
      </c>
      <c r="AI245" s="67" t="e">
        <f>AI243/AI241</f>
        <v>#DIV/0!</v>
      </c>
    </row>
    <row r="246" spans="1:35" s="29" customFormat="1" ht="19.5" hidden="1" customHeight="1">
      <c r="A246" s="358" t="s">
        <v>93</v>
      </c>
      <c r="B246" s="20" t="s">
        <v>32</v>
      </c>
      <c r="C246" s="21"/>
      <c r="D246" s="22"/>
      <c r="E246" s="73"/>
      <c r="F246" s="74"/>
      <c r="G246" s="46"/>
      <c r="H246" s="46"/>
      <c r="I246" s="46"/>
      <c r="J246" s="46"/>
      <c r="K246" s="74"/>
      <c r="L246" s="74"/>
      <c r="M246" s="74"/>
      <c r="N246" s="74"/>
      <c r="O246" s="74"/>
      <c r="P246" s="74"/>
      <c r="Q246" s="25">
        <f>SUM(E246:P246)</f>
        <v>0</v>
      </c>
      <c r="R246" s="22"/>
      <c r="S246" s="26"/>
      <c r="T246" s="26"/>
      <c r="U246" s="26"/>
      <c r="V246" s="50"/>
      <c r="W246" s="50"/>
      <c r="X246" s="26"/>
      <c r="Y246" s="26"/>
      <c r="Z246" s="26"/>
      <c r="AA246" s="26"/>
      <c r="AB246" s="26"/>
      <c r="AC246" s="26"/>
      <c r="AD246" s="25">
        <f>SUM(R246:AC246)</f>
        <v>0</v>
      </c>
      <c r="AE246" s="27"/>
      <c r="AF246" s="75"/>
      <c r="AG246" s="75"/>
      <c r="AH246" s="23">
        <v>116290</v>
      </c>
      <c r="AI246" s="28">
        <v>35911</v>
      </c>
    </row>
    <row r="247" spans="1:35" s="29" customFormat="1" ht="19.5" hidden="1" customHeight="1">
      <c r="A247" s="355"/>
      <c r="B247" s="30"/>
      <c r="C247" s="31"/>
      <c r="D247" s="41"/>
      <c r="E247" s="83"/>
      <c r="F247" s="84"/>
      <c r="G247" s="84"/>
      <c r="H247" s="84"/>
      <c r="I247" s="84"/>
      <c r="J247" s="84"/>
      <c r="K247" s="84"/>
      <c r="L247" s="85"/>
      <c r="M247" s="84"/>
      <c r="N247" s="84"/>
      <c r="O247" s="84"/>
      <c r="P247" s="84"/>
      <c r="Q247" s="35"/>
      <c r="R247" s="82"/>
      <c r="S247" s="86"/>
      <c r="T247" s="86"/>
      <c r="U247" s="86"/>
      <c r="V247" s="86"/>
      <c r="W247" s="86"/>
      <c r="X247" s="86"/>
      <c r="Y247" s="88"/>
      <c r="Z247" s="86"/>
      <c r="AA247" s="86"/>
      <c r="AB247" s="86"/>
      <c r="AC247" s="86"/>
      <c r="AD247" s="35"/>
      <c r="AE247" s="40"/>
      <c r="AF247" s="32"/>
      <c r="AG247" s="32"/>
      <c r="AH247" s="41"/>
      <c r="AI247" s="35"/>
    </row>
    <row r="248" spans="1:35" s="29" customFormat="1" ht="19.5" hidden="1" customHeight="1">
      <c r="A248" s="355"/>
      <c r="B248" s="42" t="s">
        <v>34</v>
      </c>
      <c r="C248" s="43"/>
      <c r="D248" s="49"/>
      <c r="E248" s="77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8">
        <f>SUM(E248:P248)</f>
        <v>0</v>
      </c>
      <c r="R248" s="49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48">
        <f>SUM(R248:AC248)</f>
        <v>0</v>
      </c>
      <c r="AE248" s="51"/>
      <c r="AF248" s="79"/>
      <c r="AG248" s="79"/>
      <c r="AH248" s="45">
        <v>46516</v>
      </c>
      <c r="AI248" s="52">
        <v>14364.400000000001</v>
      </c>
    </row>
    <row r="249" spans="1:35" s="29" customFormat="1" ht="19.5" hidden="1" customHeight="1">
      <c r="A249" s="355"/>
      <c r="B249" s="30"/>
      <c r="C249" s="31"/>
      <c r="D249" s="61"/>
      <c r="E249" s="89"/>
      <c r="F249" s="90"/>
      <c r="G249" s="90"/>
      <c r="H249" s="90"/>
      <c r="I249" s="90"/>
      <c r="J249" s="90"/>
      <c r="K249" s="90"/>
      <c r="L249" s="91"/>
      <c r="M249" s="90"/>
      <c r="N249" s="90"/>
      <c r="O249" s="90"/>
      <c r="P249" s="90"/>
      <c r="Q249" s="57"/>
      <c r="R249" s="61"/>
      <c r="S249" s="92"/>
      <c r="T249" s="92"/>
      <c r="U249" s="92"/>
      <c r="V249" s="92"/>
      <c r="W249" s="92"/>
      <c r="X249" s="92"/>
      <c r="Y249" s="94"/>
      <c r="Z249" s="92"/>
      <c r="AA249" s="92"/>
      <c r="AB249" s="92"/>
      <c r="AC249" s="92"/>
      <c r="AD249" s="57"/>
      <c r="AE249" s="95"/>
      <c r="AF249" s="61"/>
      <c r="AG249" s="61"/>
      <c r="AH249" s="61"/>
      <c r="AI249" s="57"/>
    </row>
    <row r="250" spans="1:35" s="71" customFormat="1" ht="19.5" hidden="1" customHeight="1">
      <c r="A250" s="360"/>
      <c r="B250" s="62" t="s">
        <v>38</v>
      </c>
      <c r="C250" s="105"/>
      <c r="D250" s="68" t="e">
        <v>#DIV/0!</v>
      </c>
      <c r="E250" s="65">
        <f>IFERROR(E248/E246,0)</f>
        <v>0</v>
      </c>
      <c r="F250" s="66">
        <f>IFERROR(F248/F246,0)</f>
        <v>0</v>
      </c>
      <c r="G250" s="66">
        <f t="shared" ref="G250:P250" si="105">IFERROR(G248/G246,0)</f>
        <v>0</v>
      </c>
      <c r="H250" s="66">
        <f t="shared" si="105"/>
        <v>0</v>
      </c>
      <c r="I250" s="66">
        <f t="shared" si="105"/>
        <v>0</v>
      </c>
      <c r="J250" s="66">
        <f t="shared" si="105"/>
        <v>0</v>
      </c>
      <c r="K250" s="66">
        <f t="shared" si="105"/>
        <v>0</v>
      </c>
      <c r="L250" s="66">
        <f t="shared" si="105"/>
        <v>0</v>
      </c>
      <c r="M250" s="66">
        <f t="shared" si="105"/>
        <v>0</v>
      </c>
      <c r="N250" s="66">
        <f t="shared" si="105"/>
        <v>0</v>
      </c>
      <c r="O250" s="66">
        <f t="shared" si="105"/>
        <v>0</v>
      </c>
      <c r="P250" s="66">
        <f t="shared" si="105"/>
        <v>0</v>
      </c>
      <c r="Q250" s="67">
        <f>IFERROR(Q248/Q246,0)</f>
        <v>0</v>
      </c>
      <c r="R250" s="68">
        <f>IFERROR(R248/R246,0)</f>
        <v>0</v>
      </c>
      <c r="S250" s="69">
        <f>IFERROR(S248/S246,0)</f>
        <v>0</v>
      </c>
      <c r="T250" s="69">
        <f t="shared" ref="T250:AC250" si="106">IFERROR(T248/T246,0)</f>
        <v>0</v>
      </c>
      <c r="U250" s="69">
        <f t="shared" si="106"/>
        <v>0</v>
      </c>
      <c r="V250" s="69">
        <f t="shared" si="106"/>
        <v>0</v>
      </c>
      <c r="W250" s="69">
        <f t="shared" si="106"/>
        <v>0</v>
      </c>
      <c r="X250" s="69">
        <f t="shared" si="106"/>
        <v>0</v>
      </c>
      <c r="Y250" s="69">
        <f t="shared" si="106"/>
        <v>0</v>
      </c>
      <c r="Z250" s="69">
        <f t="shared" si="106"/>
        <v>0</v>
      </c>
      <c r="AA250" s="69">
        <f t="shared" si="106"/>
        <v>0</v>
      </c>
      <c r="AB250" s="69">
        <f t="shared" si="106"/>
        <v>0</v>
      </c>
      <c r="AC250" s="69">
        <f t="shared" si="106"/>
        <v>0</v>
      </c>
      <c r="AD250" s="67">
        <f>IFERROR(AD248/AD246,0)</f>
        <v>0</v>
      </c>
      <c r="AE250" s="96" t="e">
        <f>AE248/AE246</f>
        <v>#DIV/0!</v>
      </c>
      <c r="AF250" s="68" t="e">
        <f>AF248/AF246</f>
        <v>#DIV/0!</v>
      </c>
      <c r="AG250" s="68" t="e">
        <f>AG248/AG246</f>
        <v>#DIV/0!</v>
      </c>
      <c r="AH250" s="68">
        <f>AH248/AH246</f>
        <v>0.4</v>
      </c>
      <c r="AI250" s="67">
        <f>AI248/AI246</f>
        <v>0.4</v>
      </c>
    </row>
    <row r="251" spans="1:35" s="29" customFormat="1" ht="19.5" customHeight="1">
      <c r="A251" s="358" t="s">
        <v>171</v>
      </c>
      <c r="B251" s="20" t="s">
        <v>32</v>
      </c>
      <c r="C251" s="21"/>
      <c r="D251" s="22">
        <v>4152.3517997096997</v>
      </c>
      <c r="E251" s="73">
        <v>74</v>
      </c>
      <c r="F251" s="74">
        <v>313</v>
      </c>
      <c r="G251" s="46">
        <v>93</v>
      </c>
      <c r="H251" s="46">
        <v>440</v>
      </c>
      <c r="I251" s="46">
        <v>487</v>
      </c>
      <c r="J251" s="46">
        <v>460</v>
      </c>
      <c r="K251" s="74">
        <v>412</v>
      </c>
      <c r="L251" s="74">
        <v>449</v>
      </c>
      <c r="M251" s="74">
        <v>344</v>
      </c>
      <c r="N251" s="74">
        <v>529</v>
      </c>
      <c r="O251" s="74">
        <v>533</v>
      </c>
      <c r="P251" s="74">
        <v>976</v>
      </c>
      <c r="Q251" s="25">
        <f>SUM(E251:P251)</f>
        <v>5110</v>
      </c>
      <c r="R251" s="303">
        <v>59.331367060362403</v>
      </c>
      <c r="S251" s="314">
        <v>374.15808447681104</v>
      </c>
      <c r="T251" s="314">
        <v>303.82597034059017</v>
      </c>
      <c r="U251" s="314">
        <v>371.65040157062106</v>
      </c>
      <c r="V251" s="315">
        <v>357.69985899335234</v>
      </c>
      <c r="W251" s="315">
        <v>346.83</v>
      </c>
      <c r="X251" s="26">
        <f>527.102745087604-131</f>
        <v>396.10274508760403</v>
      </c>
      <c r="Y251" s="26">
        <v>299.34352737817113</v>
      </c>
      <c r="Z251" s="26">
        <v>338.54378317246966</v>
      </c>
      <c r="AA251" s="26">
        <v>507.63910844954643</v>
      </c>
      <c r="AB251" s="26">
        <v>705.42537585065202</v>
      </c>
      <c r="AC251" s="26">
        <v>947.78610495830503</v>
      </c>
      <c r="AD251" s="25">
        <f>SUM(R251:AC251)</f>
        <v>5008.3363273384848</v>
      </c>
      <c r="AE251" s="27"/>
      <c r="AF251" s="75">
        <v>0</v>
      </c>
      <c r="AG251" s="75">
        <v>0</v>
      </c>
      <c r="AH251" s="23"/>
      <c r="AI251" s="28"/>
    </row>
    <row r="252" spans="1:35" s="29" customFormat="1" ht="19.5" customHeight="1">
      <c r="A252" s="356"/>
      <c r="B252" s="30"/>
      <c r="C252" s="31"/>
      <c r="D252" s="41"/>
      <c r="E252" s="83"/>
      <c r="F252" s="84"/>
      <c r="G252" s="84"/>
      <c r="H252" s="84"/>
      <c r="I252" s="84"/>
      <c r="J252" s="84"/>
      <c r="K252" s="84"/>
      <c r="L252" s="85"/>
      <c r="M252" s="84"/>
      <c r="N252" s="84"/>
      <c r="O252" s="84"/>
      <c r="P252" s="84"/>
      <c r="Q252" s="35"/>
      <c r="R252" s="82"/>
      <c r="S252" s="86"/>
      <c r="T252" s="87"/>
      <c r="U252" s="76"/>
      <c r="V252" s="86"/>
      <c r="W252" s="86"/>
      <c r="X252" s="86"/>
      <c r="Y252" s="86"/>
      <c r="Z252" s="86"/>
      <c r="AA252" s="86"/>
      <c r="AB252" s="86"/>
      <c r="AC252" s="86"/>
      <c r="AD252" s="35"/>
      <c r="AE252" s="40"/>
      <c r="AF252" s="32"/>
      <c r="AG252" s="32"/>
      <c r="AH252" s="41"/>
      <c r="AI252" s="35"/>
    </row>
    <row r="253" spans="1:35" s="29" customFormat="1" ht="19.5" customHeight="1">
      <c r="A253" s="356"/>
      <c r="B253" s="42" t="s">
        <v>34</v>
      </c>
      <c r="C253" s="43"/>
      <c r="D253" s="49">
        <v>3648.0210369740294</v>
      </c>
      <c r="E253" s="77">
        <v>64</v>
      </c>
      <c r="F253" s="46">
        <v>273</v>
      </c>
      <c r="G253" s="46">
        <v>81</v>
      </c>
      <c r="H253" s="46">
        <v>383</v>
      </c>
      <c r="I253" s="46">
        <v>424</v>
      </c>
      <c r="J253" s="46">
        <v>401</v>
      </c>
      <c r="K253" s="46">
        <v>359</v>
      </c>
      <c r="L253" s="46">
        <v>391</v>
      </c>
      <c r="M253" s="46">
        <v>300</v>
      </c>
      <c r="N253" s="46">
        <v>461</v>
      </c>
      <c r="O253" s="46">
        <v>464</v>
      </c>
      <c r="P253" s="46">
        <v>850</v>
      </c>
      <c r="Q253" s="48">
        <f>SUM(E253:P253)</f>
        <v>4451</v>
      </c>
      <c r="R253" s="302">
        <v>51.647955026353252</v>
      </c>
      <c r="S253" s="315">
        <v>325.70461253353773</v>
      </c>
      <c r="T253" s="315">
        <v>264.48050716832284</v>
      </c>
      <c r="U253" s="315">
        <v>323.52167457035546</v>
      </c>
      <c r="V253" s="315">
        <v>311.37772725546057</v>
      </c>
      <c r="W253" s="315">
        <v>301.91000000000003</v>
      </c>
      <c r="X253" s="50">
        <f>458.84293959876-115</f>
        <v>343.84293959875998</v>
      </c>
      <c r="Y253" s="50">
        <v>260.578540582698</v>
      </c>
      <c r="Z253" s="50">
        <v>294.70236325163484</v>
      </c>
      <c r="AA253" s="50">
        <v>441.89984390533021</v>
      </c>
      <c r="AB253" s="50">
        <v>614.07278967799266</v>
      </c>
      <c r="AC253" s="50">
        <v>825.04780436620456</v>
      </c>
      <c r="AD253" s="48">
        <f>SUM(R253:AC253)</f>
        <v>4358.7867579366502</v>
      </c>
      <c r="AE253" s="51"/>
      <c r="AF253" s="79"/>
      <c r="AG253" s="79"/>
      <c r="AH253" s="45"/>
      <c r="AI253" s="52"/>
    </row>
    <row r="254" spans="1:35" s="29" customFormat="1" ht="19.5" customHeight="1">
      <c r="A254" s="356"/>
      <c r="B254" s="30"/>
      <c r="C254" s="31"/>
      <c r="D254" s="61"/>
      <c r="E254" s="89"/>
      <c r="F254" s="90"/>
      <c r="G254" s="90"/>
      <c r="H254" s="90"/>
      <c r="I254" s="90"/>
      <c r="J254" s="90"/>
      <c r="K254" s="90"/>
      <c r="L254" s="91"/>
      <c r="M254" s="90"/>
      <c r="N254" s="92"/>
      <c r="O254" s="90"/>
      <c r="P254" s="90"/>
      <c r="Q254" s="57"/>
      <c r="R254" s="61"/>
      <c r="S254" s="92"/>
      <c r="T254" s="92"/>
      <c r="U254" s="92"/>
      <c r="V254" s="92"/>
      <c r="W254" s="92"/>
      <c r="X254" s="92"/>
      <c r="Y254" s="94"/>
      <c r="Z254" s="92"/>
      <c r="AA254" s="92"/>
      <c r="AB254" s="92"/>
      <c r="AC254" s="92"/>
      <c r="AD254" s="110"/>
      <c r="AE254" s="60"/>
      <c r="AF254" s="55"/>
      <c r="AG254" s="55"/>
      <c r="AH254" s="61"/>
      <c r="AI254" s="57"/>
    </row>
    <row r="255" spans="1:35" s="71" customFormat="1" ht="19.5" customHeight="1" thickBot="1">
      <c r="A255" s="357"/>
      <c r="B255" s="62" t="s">
        <v>38</v>
      </c>
      <c r="C255" s="93" t="s">
        <v>94</v>
      </c>
      <c r="D255" s="68">
        <v>0.87854334433538861</v>
      </c>
      <c r="E255" s="65">
        <f>IFERROR(E253/E251,0)</f>
        <v>0.86486486486486491</v>
      </c>
      <c r="F255" s="66">
        <f>IFERROR(F253/F251,0)</f>
        <v>0.87220447284345048</v>
      </c>
      <c r="G255" s="66">
        <f t="shared" ref="G255:P255" si="107">IFERROR(G253/G251,0)</f>
        <v>0.87096774193548387</v>
      </c>
      <c r="H255" s="66">
        <f t="shared" si="107"/>
        <v>0.87045454545454548</v>
      </c>
      <c r="I255" s="66">
        <f t="shared" si="107"/>
        <v>0.87063655030800824</v>
      </c>
      <c r="J255" s="66">
        <f t="shared" si="107"/>
        <v>0.87173913043478257</v>
      </c>
      <c r="K255" s="66">
        <f t="shared" si="107"/>
        <v>0.87135922330097082</v>
      </c>
      <c r="L255" s="66">
        <f t="shared" si="107"/>
        <v>0.87082405345211578</v>
      </c>
      <c r="M255" s="66">
        <f t="shared" si="107"/>
        <v>0.87209302325581395</v>
      </c>
      <c r="N255" s="66">
        <f t="shared" si="107"/>
        <v>0.87145557655954631</v>
      </c>
      <c r="O255" s="66">
        <f t="shared" si="107"/>
        <v>0.87054409005628519</v>
      </c>
      <c r="P255" s="66">
        <f t="shared" si="107"/>
        <v>0.87090163934426235</v>
      </c>
      <c r="Q255" s="67">
        <f>IFERROR(Q253/Q251,0)</f>
        <v>0.87103718199608615</v>
      </c>
      <c r="R255" s="68">
        <f>IFERROR(R253/R251,0)</f>
        <v>0.87050000000518746</v>
      </c>
      <c r="S255" s="69">
        <f>IFERROR(S253/S251,0)</f>
        <v>0.87049999999057537</v>
      </c>
      <c r="T255" s="69">
        <f t="shared" ref="T255:AC255" si="108">IFERROR(T253/T251,0)</f>
        <v>0.87049999995668281</v>
      </c>
      <c r="U255" s="69">
        <f t="shared" si="108"/>
        <v>0.87050000000842143</v>
      </c>
      <c r="V255" s="69">
        <f t="shared" si="108"/>
        <v>0.87050000000488503</v>
      </c>
      <c r="W255" s="69">
        <f t="shared" si="108"/>
        <v>0.87048409883804756</v>
      </c>
      <c r="X255" s="69">
        <f t="shared" si="108"/>
        <v>0.86806502571123056</v>
      </c>
      <c r="Y255" s="69">
        <f t="shared" si="108"/>
        <v>0.87050000000000005</v>
      </c>
      <c r="Z255" s="69">
        <f t="shared" si="108"/>
        <v>0.87049999999999994</v>
      </c>
      <c r="AA255" s="69">
        <f t="shared" si="108"/>
        <v>0.87050000000000005</v>
      </c>
      <c r="AB255" s="69">
        <f t="shared" si="108"/>
        <v>0.87050000000000016</v>
      </c>
      <c r="AC255" s="69">
        <f t="shared" si="108"/>
        <v>0.87050000000000005</v>
      </c>
      <c r="AD255" s="67">
        <f>IFERROR(AD253/AD251,0)</f>
        <v>0.87030631991381935</v>
      </c>
      <c r="AE255" s="70" t="e">
        <f>AE253/AE251</f>
        <v>#DIV/0!</v>
      </c>
      <c r="AF255" s="64" t="e">
        <f>AF253/AF251</f>
        <v>#DIV/0!</v>
      </c>
      <c r="AG255" s="64" t="e">
        <f>AG253/AG251</f>
        <v>#DIV/0!</v>
      </c>
      <c r="AH255" s="68" t="e">
        <f>AH253/AH251</f>
        <v>#DIV/0!</v>
      </c>
      <c r="AI255" s="67" t="e">
        <f>AI253/AI251</f>
        <v>#DIV/0!</v>
      </c>
    </row>
    <row r="256" spans="1:35" s="29" customFormat="1" ht="19.5" customHeight="1">
      <c r="A256" s="361" t="s">
        <v>95</v>
      </c>
      <c r="B256" s="274" t="s">
        <v>32</v>
      </c>
      <c r="C256" s="275"/>
      <c r="D256" s="276">
        <f>D16+D21+D31+D36+D46+D51+D56+D61+D71+D101+D111+D116+D121+D126+D131+D136+D141+D146+D151+D156+D161+D166+D171+D176+D181+D186+D191+D196+D251</f>
        <v>52682.348059156102</v>
      </c>
      <c r="E256" s="276">
        <f>E16+E21+E31+E36+E46+E51+E56+E61+E71+E101+E111+E116+E121+E126+E131+E136+E141+E146+E151+E156+E161+E166+E171+E176+E181+E186+E191+E196+E251</f>
        <v>1297</v>
      </c>
      <c r="F256" s="277">
        <f t="shared" ref="F256:P256" si="109">F16+F21+F31+F36+F46+F51+F56+F61+F71+F101+F111+F116+F121+F126+F131+F136+F141+F146+F151+F156+F161+F166+F171+F176+F181+F186+F191+F196+F251</f>
        <v>2868</v>
      </c>
      <c r="G256" s="277">
        <f t="shared" si="109"/>
        <v>4967</v>
      </c>
      <c r="H256" s="277">
        <f t="shared" si="109"/>
        <v>5709</v>
      </c>
      <c r="I256" s="277">
        <f t="shared" si="109"/>
        <v>8700</v>
      </c>
      <c r="J256" s="277">
        <f t="shared" si="109"/>
        <v>11705</v>
      </c>
      <c r="K256" s="277">
        <f t="shared" si="109"/>
        <v>12072</v>
      </c>
      <c r="L256" s="277">
        <f t="shared" si="109"/>
        <v>7734.6768292085835</v>
      </c>
      <c r="M256" s="277">
        <f t="shared" si="109"/>
        <v>6347.9695208356607</v>
      </c>
      <c r="N256" s="277">
        <f t="shared" si="109"/>
        <v>9009.973380102605</v>
      </c>
      <c r="O256" s="277">
        <f t="shared" si="109"/>
        <v>10737.915921224052</v>
      </c>
      <c r="P256" s="278">
        <f t="shared" si="109"/>
        <v>18888.601786775049</v>
      </c>
      <c r="Q256" s="25">
        <f>SUM(E256:P256)</f>
        <v>100037.13743814595</v>
      </c>
      <c r="R256" s="303">
        <f>R16+R21+R31+R36+R46+R51+R56+R61+R71+R101+R111+R116+R121+R126+R131+R136+R141+R146+R151+R156+R161+R166+R171+R176+R181+R186+R191+R196+R251+R26</f>
        <v>2360.3286658715811</v>
      </c>
      <c r="S256" s="314">
        <f t="shared" ref="S256:Z256" si="110">S16+S21+S31+S36+S46+S51+S56+S61+S71+S101+S111+S116+S121+S126+S131+S136+S141+S146+S151+S156+S161+S166+S171+S176+S181+S186+S191+S196+S251+S26</f>
        <v>5618.4783432349559</v>
      </c>
      <c r="T256" s="314">
        <f t="shared" si="110"/>
        <v>3444.5062092846852</v>
      </c>
      <c r="U256" s="314">
        <f t="shared" si="110"/>
        <v>5235.6440852839642</v>
      </c>
      <c r="V256" s="315">
        <f t="shared" si="110"/>
        <v>8024.5998983095915</v>
      </c>
      <c r="W256" s="315">
        <f t="shared" si="110"/>
        <v>7479.25</v>
      </c>
      <c r="X256" s="26">
        <f t="shared" si="110"/>
        <v>9897.6745356365336</v>
      </c>
      <c r="Y256" s="26">
        <f t="shared" si="110"/>
        <v>9890.9334236288541</v>
      </c>
      <c r="Z256" s="26">
        <f t="shared" si="110"/>
        <v>8517.3823494685694</v>
      </c>
      <c r="AA256" s="26">
        <f>AA16+AA21+AA31+AA36+AA46+AA51+AA56+AA61+AA71+AA101+AA111+AA116+AA121+AA126+AA131+AA136+AA141+AA146+AA151+AA156+AA161+AA166+AA171+AA176+AA181+AA186+AA191+AA196+AA251+AA26</f>
        <v>11446.503719001279</v>
      </c>
      <c r="AB256" s="26">
        <f>AB16+AB21+AB31+AB36+AB46+AB51+AB56+AB61+AB71+AB101+AB111+AB116+AB121+AB126+AB131+AB136+AB141+AB146+AB151+AB156+AB161+AB166+AB171+AB176+AB181+AB186+AB191+AB196+AB251+AB26</f>
        <v>13337.531804901271</v>
      </c>
      <c r="AC256" s="26">
        <f>AC16+AC21+AC31+AC36+AC46+AC51+AC56+AC61+AC71+AC101+AC111+AC116+AC121+AC126+AC131+AC136+AC141+AC146+AC151+AC156+AC161+AC166+AC171+AC176+AC181+AC186+AC191+AC196+AC251+AC26</f>
        <v>15095.072978088356</v>
      </c>
      <c r="AD256" s="25">
        <f>SUM(R256:AC256)</f>
        <v>100347.90601270965</v>
      </c>
      <c r="AE256" s="112">
        <f>SUM(AE16,AE21,AE31,AE36,AE41,AE46,AE51,AE56,AE61,AE66,AE71,AE76,AE81,AE86,AE91,AE96,AE101,AE106,AE111,AE116,AE121,AE126,AE141,AE146,AE151,AE156,AE161,AE191,AE196,AE201,AE206,AE211,AE216,AE221,AE226,AE231,AE236,AE241,AE246,AE251,AE176)</f>
        <v>168156.09142875194</v>
      </c>
      <c r="AF256" s="113">
        <f>SUM(AF16,AF21,AF31,AF36,AF41,AF46,AF51,AF56,AF61,AF66,AF71,AF76,AF81,AF86,AF91,AF96,AF101,AF106,AF111,AF116,AF121,AF126,AF141,AF146,AF151,AF156,AF161,AF191,AF196,AF201,AF206,AF211,AF216,AF221,AF226,AF231,AF236,AF241,AF246,AF251,AF176)</f>
        <v>429402.92220972711</v>
      </c>
      <c r="AG256" s="113">
        <f>SUM(AG16,AG21,AG31,AG36,AG41,AG46,AG51,AG56,AG61,AG66,AG71,AG76,AG81,AG86,AG91,AG96,AG101,AG106,AG111,AG116,AG121,AG126,AG141,AG146,AG151,AG156,AG161,AG191,AG196,AG201,AG206,AG211,AG216,AG221,AG226,AG231,AG236,AG241,AG246,AG251,AG176)</f>
        <v>607195.04365869681</v>
      </c>
      <c r="AH256" s="114">
        <f>SUM(AH16,AH21,AH31,AH36,AH41,AH46,AH51,AH56,AH61,AH66,AH71,AH76,AH81,AH86,AH91,AH96,AH101,AH106,AH111,AH116,AH121,AH126,AH141,AH146,AH151,AH156,AH161,AH191,AH196,AH201,AH206,AH211,AH216,AH221,AH226,AH231,AH236,AH241,AH246,AH251,AH176)</f>
        <v>759164.07314643008</v>
      </c>
      <c r="AI256" s="111">
        <f>SUM(AI16,AI21,AI31,AI36,AI41,AI46,AI51,AI56,AI61,AI66,AI71,AI76,AI81,AI86,AI91,AI96,AI101,AI106,AI111,AI116,AI121,AI126,AI141,AI146,AI151,AI156,AI161,AI191,AI196,AI201,AI206,AI211,AI216,AI221,AI226,AI231,AI236,AI241,AI246,AI251,AI176)</f>
        <v>362909.22863899946</v>
      </c>
    </row>
    <row r="257" spans="1:44" s="29" customFormat="1" ht="19.5" customHeight="1">
      <c r="A257" s="362"/>
      <c r="B257" s="279"/>
      <c r="C257" s="280"/>
      <c r="D257" s="281"/>
      <c r="E257" s="282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4"/>
      <c r="Q257" s="35"/>
      <c r="R257" s="305"/>
      <c r="S257" s="317"/>
      <c r="T257" s="317"/>
      <c r="U257" s="317"/>
      <c r="V257" s="317"/>
      <c r="W257" s="317"/>
      <c r="X257" s="86"/>
      <c r="Y257" s="88"/>
      <c r="Z257" s="86"/>
      <c r="AA257" s="86"/>
      <c r="AB257" s="86"/>
      <c r="AC257" s="86"/>
      <c r="AD257" s="35"/>
      <c r="AE257" s="117"/>
      <c r="AF257" s="118"/>
      <c r="AG257" s="118"/>
      <c r="AH257" s="115"/>
      <c r="AI257" s="116"/>
    </row>
    <row r="258" spans="1:44" s="29" customFormat="1" ht="19.5" customHeight="1">
      <c r="A258" s="362"/>
      <c r="B258" s="285" t="s">
        <v>34</v>
      </c>
      <c r="C258" s="286"/>
      <c r="D258" s="287">
        <f>D18+D23+D33+D38+D48+D53+D58+D63+D73+D103+D113+D118+D123+D128+D133+D138+D143+D148+D153+D158+D163+D168+D173+D178+D183+D188+D193+D198+D253</f>
        <v>42854.789707049953</v>
      </c>
      <c r="E258" s="287">
        <f>E18+E23+E33+E38+E48+E53+E58+E63+E73+E103+E113+E118+E123+E128+E133+E138+E143+E148+E153+E158+E163+E168+E173+E178+E183+E188+E193+E198+E253</f>
        <v>1107.05</v>
      </c>
      <c r="F258" s="288">
        <f t="shared" ref="F258:P258" si="111">F18+F23+F33+F38+F48+F53+F58+F63+F73+F103+F113+F118+F123+F128+F133+F138+F143+F148+F153+F158+F163+F168+F173+F178+F183+F188+F193+F198+F253</f>
        <v>2447.8500000000004</v>
      </c>
      <c r="G258" s="288">
        <f t="shared" si="111"/>
        <v>4227.1000000000004</v>
      </c>
      <c r="H258" s="288">
        <f t="shared" si="111"/>
        <v>4864.05</v>
      </c>
      <c r="I258" s="288">
        <f t="shared" si="111"/>
        <v>7406.45</v>
      </c>
      <c r="J258" s="288">
        <f t="shared" si="111"/>
        <v>9960.65</v>
      </c>
      <c r="K258" s="288">
        <f t="shared" si="111"/>
        <v>10271.4</v>
      </c>
      <c r="L258" s="288">
        <f t="shared" si="111"/>
        <v>6607.8591462877248</v>
      </c>
      <c r="M258" s="288">
        <f t="shared" si="111"/>
        <v>5439.1225687520946</v>
      </c>
      <c r="N258" s="288">
        <f t="shared" si="111"/>
        <v>7723.3260420923434</v>
      </c>
      <c r="O258" s="288">
        <f t="shared" si="111"/>
        <v>9201.4743291016457</v>
      </c>
      <c r="P258" s="289">
        <f t="shared" si="111"/>
        <v>16149.591608097544</v>
      </c>
      <c r="Q258" s="48">
        <f>SUM(E258:P258)</f>
        <v>85405.923694331359</v>
      </c>
      <c r="R258" s="302">
        <f>R18+R23+R33+R38+R48+R53+R58+R63+R73+R103+R113+R118+R123+R128+R133+R138+R143+R148+R153+R158+R163+R168+R173+R178+R183+R188+R193+R198+R253+R28</f>
        <v>1206.8388051398449</v>
      </c>
      <c r="S258" s="315">
        <f t="shared" ref="S258:Y258" si="112">S18+S23+S33+S38+S48+S53+S58+S63+S73+S103+S113+S118+S123+S128+S133+S138+S143+S148+S153+S158+S163+S168+S173+S178+S183+S188+S193+S198+S253+S28</f>
        <v>4308.9083675318825</v>
      </c>
      <c r="T258" s="315">
        <f t="shared" si="112"/>
        <v>2451.2488161647584</v>
      </c>
      <c r="U258" s="315">
        <f t="shared" si="112"/>
        <v>4541.4438313157343</v>
      </c>
      <c r="V258" s="315">
        <f t="shared" si="112"/>
        <v>6847.7805825641026</v>
      </c>
      <c r="W258" s="315">
        <f t="shared" si="112"/>
        <v>6389.6900000000005</v>
      </c>
      <c r="X258" s="50">
        <f t="shared" si="112"/>
        <v>8399.9588981909401</v>
      </c>
      <c r="Y258" s="50">
        <f t="shared" si="112"/>
        <v>8377.5031479931949</v>
      </c>
      <c r="Z258" s="50">
        <f>Z18+Z23+Z33+Z38+Z48+Z53+Z58+Z63+Z73+Z103+Z113+Z118+Z123+Z128+Z133+Z138+Z143+Z148+Z153+Z158+Z163+Z168+Z173+Z178+Z183+Z188+Z193+Z198+Z253+Z28</f>
        <v>7210.8056090077062</v>
      </c>
      <c r="AA258" s="50">
        <f>AA18+AA23+AA33+AA38+AA48+AA53+AA58+AA63+AA73+AA103+AA113+AA118+AA123+AA128+AA133+AA138+AA143+AA148+AA153+AA158+AA163+AA168+AA173+AA178+AA183+AA188+AA193+AA198+AA253+AA28</f>
        <v>9725.6590687391181</v>
      </c>
      <c r="AB258" s="50">
        <f>AB18+AB23+AB33+AB38+AB48+AB53+AB58+AB63+AB73+AB103+AB113+AB118+AB123+AB128+AB133+AB138+AB143+AB148+AB153+AB158+AB163+AB168+AB173+AB178+AB183+AB188+AB193+AB198+AB253+AB28</f>
        <v>11345.375299791434</v>
      </c>
      <c r="AC258" s="50">
        <f>AC18+AC23+AC33+AC38+AC48+AC53+AC58+AC63+AC73+AC103+AC113+AC118+AC123+AC128+AC133+AC138+AC143+AC148+AC153+AC158+AC163+AC168+AC173+AC178+AC183+AC188+AC193+AC198+AC253+AC28</f>
        <v>12865.842213876911</v>
      </c>
      <c r="AD258" s="48">
        <f>SUM(R258:AC258)</f>
        <v>83671.054640315633</v>
      </c>
      <c r="AE258" s="120">
        <f>SUM(AE18,AE23,AE33,AE38,AE43,AE48,AE53,AE58,AE63,AE68,AE73,AE78,AE83,AE88,AE93,AE98,AE103,AE108,AE113,AE118,AE123,AE128,AE143,AE148,AE153,AE158,AE163,AE193,AE198,AE203,AE208,AE213,AE218,AE223,AE228,AE233,AE238,AE243,AE248,AE253,AE178)</f>
        <v>145390.34694850759</v>
      </c>
      <c r="AF258" s="121">
        <f>SUM(AF18,AF23,AF33,AF38,AF43,AF48,AF53,AF58,AF63,AF68,AF73,AF78,AF83,AF88,AF93,AF98,AF103,AF108,AF113,AF118,AF123,AF128,AF143,AF148,AF153,AF158,AF163,AF193,AF198,AF203,AF208,AF213,AF218,AF223,AF228,AF233,AF238,AF243,AF248,AF253,AF178)</f>
        <v>334052.02839051181</v>
      </c>
      <c r="AG258" s="121">
        <f>SUM(AG18,AG23,AG33,AG38,AG43,AG48,AG53,AG58,AG63,AG68,AG73,AG78,AG83,AG88,AG93,AG98,AG103,AG108,AG113,AG118,AG123,AG128,AG143,AG148,AG153,AG158,AG163,AG193,AG198,AG203,AG208,AG213,AG218,AG223,AG228,AG233,AG238,AG243,AG248,AG253,AG178)</f>
        <v>448844.93405084178</v>
      </c>
      <c r="AH258" s="122">
        <f>SUM(AH18,AH23,AH33,AH38,AH43,AH48,AH53,AH58,AH63,AH68,AH73,AH78,AH83,AH88,AH93,AH98,AH103,AH108,AH113,AH118,AH123,AH128,AH143,AH148,AH153,AH158,AH163,AH193,AH198,AH203,AH208,AH213,AH218,AH223,AH228,AH233,AH238,AH243,AH248,AH253,AH178)</f>
        <v>425268.68832967774</v>
      </c>
      <c r="AI258" s="119">
        <f>SUM(AI18,AI23,AI33,AI38,AI43,AI48,AI53,AI58,AI63,AI68,AI73,AI78,AI83,AI88,AI93,AI98,AI103,AI108,AI113,AI118,AI123,AI128,AI143,AI148,AI153,AI158,AI163,AI193,AI198,AI203,AI208,AI213,AI218,AI223,AI228,AI233,AI238,AI243,AI248,AI253,AI178)</f>
        <v>201127.20577509954</v>
      </c>
    </row>
    <row r="259" spans="1:44" s="29" customFormat="1" ht="19.5" customHeight="1">
      <c r="A259" s="362"/>
      <c r="B259" s="279"/>
      <c r="C259" s="280"/>
      <c r="D259" s="290"/>
      <c r="E259" s="291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3"/>
      <c r="Q259" s="57"/>
      <c r="R259" s="306"/>
      <c r="S259" s="318"/>
      <c r="T259" s="318"/>
      <c r="U259" s="318"/>
      <c r="V259" s="318"/>
      <c r="W259" s="318"/>
      <c r="X259" s="92"/>
      <c r="Y259" s="92"/>
      <c r="Z259" s="92"/>
      <c r="AA259" s="92"/>
      <c r="AB259" s="92"/>
      <c r="AC259" s="92"/>
      <c r="AD259" s="57"/>
      <c r="AE259" s="125"/>
      <c r="AF259" s="126"/>
      <c r="AG259" s="126"/>
      <c r="AH259" s="123"/>
      <c r="AI259" s="124"/>
    </row>
    <row r="260" spans="1:44" s="71" customFormat="1" ht="19.5" customHeight="1" thickBot="1">
      <c r="A260" s="363"/>
      <c r="B260" s="294" t="s">
        <v>38</v>
      </c>
      <c r="C260" s="295"/>
      <c r="D260" s="296">
        <f>D258/D256</f>
        <v>0.81345633377861304</v>
      </c>
      <c r="E260" s="297">
        <f>IFERROR(E258/E256,0)</f>
        <v>0.8535466461063993</v>
      </c>
      <c r="F260" s="298">
        <f>IFERROR(F258/F256,0)</f>
        <v>0.85350418410041851</v>
      </c>
      <c r="G260" s="298">
        <f t="shared" ref="G260:P260" si="113">IFERROR(G258/G256,0)</f>
        <v>0.85103684316488837</v>
      </c>
      <c r="H260" s="298">
        <f t="shared" si="113"/>
        <v>0.85199684708355228</v>
      </c>
      <c r="I260" s="298">
        <f t="shared" si="113"/>
        <v>0.85131609195402291</v>
      </c>
      <c r="J260" s="298">
        <f t="shared" si="113"/>
        <v>0.85097394275950444</v>
      </c>
      <c r="K260" s="298">
        <f t="shared" si="113"/>
        <v>0.85084493041749498</v>
      </c>
      <c r="L260" s="298">
        <f t="shared" si="113"/>
        <v>0.85431612621930897</v>
      </c>
      <c r="M260" s="298">
        <f t="shared" si="113"/>
        <v>0.8568287152135029</v>
      </c>
      <c r="N260" s="298">
        <f t="shared" si="113"/>
        <v>0.85719743180910379</v>
      </c>
      <c r="O260" s="298">
        <f t="shared" si="113"/>
        <v>0.85691435811249472</v>
      </c>
      <c r="P260" s="298">
        <f t="shared" si="113"/>
        <v>0.85499137471386388</v>
      </c>
      <c r="Q260" s="67">
        <f>IFERROR(Q258/Q256,0)</f>
        <v>0.85374217896967286</v>
      </c>
      <c r="R260" s="307">
        <f>IFERROR(R258/R256,0)</f>
        <v>0.51130116859984176</v>
      </c>
      <c r="S260" s="316">
        <f>IFERROR(S258/S256,0)</f>
        <v>0.76691732250247291</v>
      </c>
      <c r="T260" s="316">
        <f t="shared" ref="T260:AC260" si="114">IFERROR(T258/T256,0)</f>
        <v>0.71164012117539632</v>
      </c>
      <c r="U260" s="316">
        <f t="shared" si="114"/>
        <v>0.86740881491172284</v>
      </c>
      <c r="V260" s="316">
        <f t="shared" si="114"/>
        <v>0.85334853691666424</v>
      </c>
      <c r="W260" s="316">
        <f t="shared" si="114"/>
        <v>0.8543222916736305</v>
      </c>
      <c r="X260" s="69">
        <f t="shared" si="114"/>
        <v>0.84868004781799256</v>
      </c>
      <c r="Y260" s="69">
        <f t="shared" si="114"/>
        <v>0.84698812429369263</v>
      </c>
      <c r="Z260" s="69">
        <f t="shared" si="114"/>
        <v>0.84659879211100753</v>
      </c>
      <c r="AA260" s="69">
        <f t="shared" si="114"/>
        <v>0.84966198478531518</v>
      </c>
      <c r="AB260" s="69">
        <f t="shared" si="114"/>
        <v>0.85063529487684075</v>
      </c>
      <c r="AC260" s="69">
        <f t="shared" si="114"/>
        <v>0.8523206368430718</v>
      </c>
      <c r="AD260" s="67">
        <f>IFERROR(AD258/AD256,0)</f>
        <v>0.83380967241825865</v>
      </c>
      <c r="AE260" s="127">
        <f>AE258/AE256</f>
        <v>0.86461540413544735</v>
      </c>
      <c r="AF260" s="128">
        <f>AF258/AF256</f>
        <v>0.77794540072402107</v>
      </c>
      <c r="AG260" s="128">
        <f>AG258/AG256</f>
        <v>0.73921047073489732</v>
      </c>
      <c r="AH260" s="129">
        <f>AH258/AH256</f>
        <v>0.56018020790566381</v>
      </c>
      <c r="AI260" s="130">
        <f>AI258/AI256</f>
        <v>0.55420802201524877</v>
      </c>
    </row>
    <row r="261" spans="1:44" s="71" customFormat="1" ht="19.5" customHeight="1">
      <c r="A261" s="131"/>
      <c r="B261" s="132"/>
      <c r="C261" s="133"/>
      <c r="D261" s="22"/>
      <c r="E261" s="134" t="str">
        <f t="shared" ref="E261:AI261" si="115">IF(E6=E256,"OK","FALSE")</f>
        <v>OK</v>
      </c>
      <c r="F261" s="135" t="str">
        <f t="shared" si="115"/>
        <v>OK</v>
      </c>
      <c r="G261" s="135" t="str">
        <f t="shared" si="115"/>
        <v>OK</v>
      </c>
      <c r="H261" s="135" t="str">
        <f t="shared" si="115"/>
        <v>OK</v>
      </c>
      <c r="I261" s="135" t="str">
        <f t="shared" si="115"/>
        <v>OK</v>
      </c>
      <c r="J261" s="135" t="str">
        <f t="shared" si="115"/>
        <v>OK</v>
      </c>
      <c r="K261" s="135" t="str">
        <f t="shared" si="115"/>
        <v>OK</v>
      </c>
      <c r="L261" s="135" t="str">
        <f t="shared" si="115"/>
        <v>OK</v>
      </c>
      <c r="M261" s="135" t="str">
        <f t="shared" si="115"/>
        <v>OK</v>
      </c>
      <c r="N261" s="135" t="str">
        <f t="shared" si="115"/>
        <v>OK</v>
      </c>
      <c r="O261" s="135" t="str">
        <f t="shared" si="115"/>
        <v>OK</v>
      </c>
      <c r="P261" s="136" t="str">
        <f t="shared" si="115"/>
        <v>OK</v>
      </c>
      <c r="Q261" s="137" t="str">
        <f t="shared" si="115"/>
        <v>OK</v>
      </c>
      <c r="R261" s="134" t="str">
        <f t="shared" si="115"/>
        <v>OK</v>
      </c>
      <c r="S261" s="134" t="str">
        <f t="shared" si="115"/>
        <v>OK</v>
      </c>
      <c r="T261" s="134" t="str">
        <f t="shared" si="115"/>
        <v>OK</v>
      </c>
      <c r="U261" s="134" t="str">
        <f t="shared" si="115"/>
        <v>OK</v>
      </c>
      <c r="V261" s="135" t="str">
        <f t="shared" si="115"/>
        <v>OK</v>
      </c>
      <c r="W261" s="135" t="str">
        <f t="shared" si="115"/>
        <v>OK</v>
      </c>
      <c r="X261" s="135" t="str">
        <f t="shared" si="115"/>
        <v>OK</v>
      </c>
      <c r="Y261" s="135" t="str">
        <f t="shared" si="115"/>
        <v>OK</v>
      </c>
      <c r="Z261" s="135" t="str">
        <f t="shared" si="115"/>
        <v>OK</v>
      </c>
      <c r="AA261" s="135" t="str">
        <f t="shared" si="115"/>
        <v>OK</v>
      </c>
      <c r="AB261" s="135" t="str">
        <f t="shared" si="115"/>
        <v>OK</v>
      </c>
      <c r="AC261" s="136" t="str">
        <f t="shared" si="115"/>
        <v>OK</v>
      </c>
      <c r="AD261" s="137" t="str">
        <f t="shared" si="115"/>
        <v>OK</v>
      </c>
      <c r="AE261" s="138" t="str">
        <f t="shared" si="115"/>
        <v>OK</v>
      </c>
      <c r="AF261" s="139" t="str">
        <f t="shared" si="115"/>
        <v>OK</v>
      </c>
      <c r="AG261" s="139" t="str">
        <f t="shared" si="115"/>
        <v>OK</v>
      </c>
      <c r="AH261" s="139" t="str">
        <f t="shared" si="115"/>
        <v>OK</v>
      </c>
      <c r="AI261" s="140" t="str">
        <f t="shared" si="115"/>
        <v>OK</v>
      </c>
    </row>
    <row r="262" spans="1:44" s="71" customFormat="1" ht="19.5" customHeight="1" thickBot="1">
      <c r="A262" s="141"/>
      <c r="B262" s="62"/>
      <c r="C262" s="63"/>
      <c r="D262" s="82"/>
      <c r="E262" s="142" t="str">
        <f t="shared" ref="E262:AI262" si="116">IF(E8=E258,"OK","FALSE")</f>
        <v>OK</v>
      </c>
      <c r="F262" s="143" t="str">
        <f t="shared" si="116"/>
        <v>OK</v>
      </c>
      <c r="G262" s="143" t="str">
        <f t="shared" si="116"/>
        <v>OK</v>
      </c>
      <c r="H262" s="143" t="str">
        <f t="shared" si="116"/>
        <v>OK</v>
      </c>
      <c r="I262" s="143" t="str">
        <f t="shared" si="116"/>
        <v>OK</v>
      </c>
      <c r="J262" s="143" t="str">
        <f t="shared" si="116"/>
        <v>OK</v>
      </c>
      <c r="K262" s="143" t="str">
        <f t="shared" si="116"/>
        <v>OK</v>
      </c>
      <c r="L262" s="143" t="str">
        <f t="shared" si="116"/>
        <v>OK</v>
      </c>
      <c r="M262" s="143" t="str">
        <f t="shared" si="116"/>
        <v>OK</v>
      </c>
      <c r="N262" s="143" t="str">
        <f t="shared" si="116"/>
        <v>OK</v>
      </c>
      <c r="O262" s="143" t="str">
        <f t="shared" si="116"/>
        <v>OK</v>
      </c>
      <c r="P262" s="144" t="str">
        <f t="shared" si="116"/>
        <v>OK</v>
      </c>
      <c r="Q262" s="145" t="str">
        <f t="shared" si="116"/>
        <v>OK</v>
      </c>
      <c r="R262" s="142" t="str">
        <f t="shared" si="116"/>
        <v>OK</v>
      </c>
      <c r="S262" s="142" t="str">
        <f t="shared" si="116"/>
        <v>OK</v>
      </c>
      <c r="T262" s="142" t="str">
        <f t="shared" si="116"/>
        <v>OK</v>
      </c>
      <c r="U262" s="142" t="str">
        <f t="shared" si="116"/>
        <v>OK</v>
      </c>
      <c r="V262" s="143" t="str">
        <f t="shared" si="116"/>
        <v>OK</v>
      </c>
      <c r="W262" s="143" t="str">
        <f t="shared" si="116"/>
        <v>OK</v>
      </c>
      <c r="X262" s="143" t="str">
        <f t="shared" si="116"/>
        <v>OK</v>
      </c>
      <c r="Y262" s="143" t="str">
        <f t="shared" si="116"/>
        <v>OK</v>
      </c>
      <c r="Z262" s="143" t="str">
        <f t="shared" si="116"/>
        <v>OK</v>
      </c>
      <c r="AA262" s="143" t="str">
        <f t="shared" si="116"/>
        <v>OK</v>
      </c>
      <c r="AB262" s="143" t="str">
        <f t="shared" si="116"/>
        <v>OK</v>
      </c>
      <c r="AC262" s="144" t="str">
        <f t="shared" si="116"/>
        <v>OK</v>
      </c>
      <c r="AD262" s="145" t="str">
        <f t="shared" si="116"/>
        <v>OK</v>
      </c>
      <c r="AE262" s="138" t="str">
        <f t="shared" si="116"/>
        <v>OK</v>
      </c>
      <c r="AF262" s="139" t="str">
        <f t="shared" si="116"/>
        <v>OK</v>
      </c>
      <c r="AG262" s="139" t="str">
        <f t="shared" si="116"/>
        <v>OK</v>
      </c>
      <c r="AH262" s="139" t="str">
        <f t="shared" si="116"/>
        <v>OK</v>
      </c>
      <c r="AI262" s="140" t="str">
        <f t="shared" si="116"/>
        <v>OK</v>
      </c>
    </row>
    <row r="263" spans="1:44" s="29" customFormat="1" ht="19.5" customHeight="1">
      <c r="A263" s="235"/>
      <c r="B263" s="236" t="s">
        <v>96</v>
      </c>
      <c r="C263" s="237"/>
      <c r="D263" s="72">
        <f>+D256-D258</f>
        <v>9827.558352106149</v>
      </c>
      <c r="E263" s="238">
        <f t="shared" ref="E263:AI263" si="117">E6-E8</f>
        <v>189.95000000000005</v>
      </c>
      <c r="F263" s="238">
        <f t="shared" si="117"/>
        <v>420.14999999999964</v>
      </c>
      <c r="G263" s="238">
        <f t="shared" si="117"/>
        <v>739.89999999999964</v>
      </c>
      <c r="H263" s="238">
        <f t="shared" si="117"/>
        <v>844.94999999999982</v>
      </c>
      <c r="I263" s="238">
        <f t="shared" si="117"/>
        <v>1293.5500000000002</v>
      </c>
      <c r="J263" s="238">
        <f t="shared" si="117"/>
        <v>1744.3500000000004</v>
      </c>
      <c r="K263" s="238">
        <f t="shared" si="117"/>
        <v>1800.6000000000004</v>
      </c>
      <c r="L263" s="238">
        <f t="shared" si="117"/>
        <v>1126.8176829208587</v>
      </c>
      <c r="M263" s="238">
        <f t="shared" si="117"/>
        <v>908.84695208356607</v>
      </c>
      <c r="N263" s="238">
        <f t="shared" si="117"/>
        <v>1286.6473380102616</v>
      </c>
      <c r="O263" s="238">
        <f t="shared" si="117"/>
        <v>1536.4415921224063</v>
      </c>
      <c r="P263" s="238">
        <f t="shared" si="117"/>
        <v>2739.0101786775049</v>
      </c>
      <c r="Q263" s="238">
        <f t="shared" si="117"/>
        <v>14631.213743814587</v>
      </c>
      <c r="R263" s="238">
        <f t="shared" si="117"/>
        <v>1153.4898607317361</v>
      </c>
      <c r="S263" s="238">
        <f t="shared" si="117"/>
        <v>1309.5699757030734</v>
      </c>
      <c r="T263" s="238">
        <f t="shared" si="117"/>
        <v>993.25739311992675</v>
      </c>
      <c r="U263" s="238">
        <f t="shared" si="117"/>
        <v>694.20025396822984</v>
      </c>
      <c r="V263" s="238">
        <f t="shared" si="117"/>
        <v>1176.8193157454889</v>
      </c>
      <c r="W263" s="238">
        <f t="shared" si="117"/>
        <v>1089.5599999999995</v>
      </c>
      <c r="X263" s="238">
        <f t="shared" si="117"/>
        <v>1497.7156374455935</v>
      </c>
      <c r="Y263" s="238">
        <f t="shared" si="117"/>
        <v>1513.4302756356592</v>
      </c>
      <c r="Z263" s="238">
        <f t="shared" si="117"/>
        <v>1306.5767404608632</v>
      </c>
      <c r="AA263" s="238">
        <f t="shared" si="117"/>
        <v>1720.8446502621609</v>
      </c>
      <c r="AB263" s="238">
        <f t="shared" si="117"/>
        <v>1992.1565051098369</v>
      </c>
      <c r="AC263" s="238">
        <f t="shared" si="117"/>
        <v>2229.2307642114447</v>
      </c>
      <c r="AD263" s="25">
        <f t="shared" si="117"/>
        <v>16676.851372394012</v>
      </c>
      <c r="AE263" s="148">
        <f t="shared" si="117"/>
        <v>22765.74448024435</v>
      </c>
      <c r="AF263" s="146">
        <f t="shared" si="117"/>
        <v>95350.8938192153</v>
      </c>
      <c r="AG263" s="146">
        <f t="shared" si="117"/>
        <v>158350.10960785503</v>
      </c>
      <c r="AH263" s="149">
        <f t="shared" si="117"/>
        <v>333895.38481675234</v>
      </c>
      <c r="AI263" s="147">
        <f t="shared" si="117"/>
        <v>161782.02286389991</v>
      </c>
    </row>
    <row r="264" spans="1:44" s="71" customFormat="1" ht="19.5" customHeight="1">
      <c r="A264" s="239"/>
      <c r="B264" s="240" t="s">
        <v>97</v>
      </c>
      <c r="C264" s="241"/>
      <c r="D264" s="150">
        <f t="shared" ref="D264:AI264" si="118">D263/D6</f>
        <v>0.18654366622138696</v>
      </c>
      <c r="E264" s="242">
        <f t="shared" si="118"/>
        <v>0.14645335389360065</v>
      </c>
      <c r="F264" s="242">
        <f t="shared" si="118"/>
        <v>0.14649581589958147</v>
      </c>
      <c r="G264" s="242">
        <f t="shared" si="118"/>
        <v>0.14896315683511166</v>
      </c>
      <c r="H264" s="242">
        <f t="shared" si="118"/>
        <v>0.14800315291644769</v>
      </c>
      <c r="I264" s="242">
        <f t="shared" si="118"/>
        <v>0.14868390804597703</v>
      </c>
      <c r="J264" s="242">
        <f t="shared" si="118"/>
        <v>0.14902605724049556</v>
      </c>
      <c r="K264" s="242">
        <f t="shared" si="118"/>
        <v>0.14915506958250499</v>
      </c>
      <c r="L264" s="242">
        <f t="shared" si="118"/>
        <v>0.14568387378069103</v>
      </c>
      <c r="M264" s="242">
        <f t="shared" si="118"/>
        <v>0.14317128478649713</v>
      </c>
      <c r="N264" s="242">
        <f t="shared" si="118"/>
        <v>0.14280256819089618</v>
      </c>
      <c r="O264" s="242">
        <f t="shared" si="118"/>
        <v>0.1430856418875053</v>
      </c>
      <c r="P264" s="242">
        <f t="shared" si="118"/>
        <v>0.14500862528613614</v>
      </c>
      <c r="Q264" s="242">
        <f t="shared" si="118"/>
        <v>0.14625782103032714</v>
      </c>
      <c r="R264" s="242">
        <f t="shared" si="118"/>
        <v>0.48869883140015818</v>
      </c>
      <c r="S264" s="242">
        <f t="shared" si="118"/>
        <v>0.23308267749752706</v>
      </c>
      <c r="T264" s="242">
        <f t="shared" si="118"/>
        <v>0.28835987882460368</v>
      </c>
      <c r="U264" s="242">
        <f t="shared" si="118"/>
        <v>0.13259118508827719</v>
      </c>
      <c r="V264" s="242">
        <f t="shared" si="118"/>
        <v>0.14665146308333576</v>
      </c>
      <c r="W264" s="242">
        <f t="shared" si="118"/>
        <v>0.14567770832636956</v>
      </c>
      <c r="X264" s="242">
        <f t="shared" si="118"/>
        <v>0.1513199521820075</v>
      </c>
      <c r="Y264" s="242">
        <f t="shared" si="118"/>
        <v>0.15301187570630734</v>
      </c>
      <c r="Z264" s="242">
        <f t="shared" si="118"/>
        <v>0.15340120788899247</v>
      </c>
      <c r="AA264" s="242">
        <f t="shared" si="118"/>
        <v>0.15033801521468484</v>
      </c>
      <c r="AB264" s="242">
        <f t="shared" si="118"/>
        <v>0.1493647051231593</v>
      </c>
      <c r="AC264" s="242">
        <f t="shared" si="118"/>
        <v>0.14767936315692826</v>
      </c>
      <c r="AD264" s="243">
        <f t="shared" si="118"/>
        <v>0.16619032758174138</v>
      </c>
      <c r="AE264" s="153">
        <f t="shared" si="118"/>
        <v>0.13538459586455268</v>
      </c>
      <c r="AF264" s="151">
        <f t="shared" si="118"/>
        <v>0.22205459927597893</v>
      </c>
      <c r="AG264" s="151">
        <f t="shared" si="118"/>
        <v>0.26078952926510274</v>
      </c>
      <c r="AH264" s="154">
        <f t="shared" si="118"/>
        <v>0.43981979209433625</v>
      </c>
      <c r="AI264" s="152">
        <f t="shared" si="118"/>
        <v>0.44579197798475129</v>
      </c>
    </row>
    <row r="265" spans="1:44" s="29" customFormat="1" ht="19.5" customHeight="1">
      <c r="A265" s="244"/>
      <c r="B265" s="245" t="s">
        <v>98</v>
      </c>
      <c r="C265" s="246"/>
      <c r="D265" s="155">
        <v>2358.3676100000002</v>
      </c>
      <c r="E265" s="247">
        <v>290</v>
      </c>
      <c r="F265" s="247">
        <v>290</v>
      </c>
      <c r="G265" s="247">
        <v>290</v>
      </c>
      <c r="H265" s="247">
        <v>290</v>
      </c>
      <c r="I265" s="247">
        <v>290</v>
      </c>
      <c r="J265" s="247">
        <v>290</v>
      </c>
      <c r="K265" s="247">
        <v>290</v>
      </c>
      <c r="L265" s="247">
        <v>290</v>
      </c>
      <c r="M265" s="247">
        <v>290</v>
      </c>
      <c r="N265" s="247">
        <v>290</v>
      </c>
      <c r="O265" s="247">
        <v>290</v>
      </c>
      <c r="P265" s="247">
        <v>290</v>
      </c>
      <c r="Q265" s="247">
        <f>SUM(E265:P265)</f>
        <v>3480</v>
      </c>
      <c r="R265" s="247">
        <v>142.66999999999999</v>
      </c>
      <c r="S265" s="247">
        <v>154.31</v>
      </c>
      <c r="T265" s="247">
        <v>147.63999999999999</v>
      </c>
      <c r="U265" s="247">
        <v>159.49</v>
      </c>
      <c r="V265" s="247">
        <v>230.14</v>
      </c>
      <c r="W265" s="247">
        <v>177.7</v>
      </c>
      <c r="X265" s="247">
        <v>290</v>
      </c>
      <c r="Y265" s="247">
        <v>290</v>
      </c>
      <c r="Z265" s="247">
        <v>290</v>
      </c>
      <c r="AA265" s="247">
        <v>290</v>
      </c>
      <c r="AB265" s="247">
        <v>290</v>
      </c>
      <c r="AC265" s="247">
        <v>290</v>
      </c>
      <c r="AD265" s="48">
        <f>SUM(R265:AC265)</f>
        <v>2751.95</v>
      </c>
      <c r="AE265" s="158">
        <f>2054+600</f>
        <v>2654</v>
      </c>
      <c r="AF265" s="156">
        <f>2115+600</f>
        <v>2715</v>
      </c>
      <c r="AG265" s="156">
        <f>2179+600</f>
        <v>2779</v>
      </c>
      <c r="AH265" s="159">
        <f>2244+600</f>
        <v>2844</v>
      </c>
      <c r="AI265" s="157">
        <f>2244+600</f>
        <v>2844</v>
      </c>
      <c r="AJ265" s="160"/>
    </row>
    <row r="266" spans="1:44" s="71" customFormat="1" ht="19.5" customHeight="1">
      <c r="A266" s="239"/>
      <c r="B266" s="248" t="s">
        <v>99</v>
      </c>
      <c r="C266" s="249"/>
      <c r="D266" s="250">
        <f t="shared" ref="D266:AI266" si="119">D265/D6</f>
        <v>4.4765802909009104E-2</v>
      </c>
      <c r="E266" s="251">
        <f t="shared" si="119"/>
        <v>0.2235929067077872</v>
      </c>
      <c r="F266" s="251">
        <f t="shared" si="119"/>
        <v>0.10111576011157601</v>
      </c>
      <c r="G266" s="251">
        <f t="shared" si="119"/>
        <v>5.8385343265552649E-2</v>
      </c>
      <c r="H266" s="251">
        <f t="shared" si="119"/>
        <v>5.0796987213172183E-2</v>
      </c>
      <c r="I266" s="251">
        <f t="shared" si="119"/>
        <v>3.3333333333333333E-2</v>
      </c>
      <c r="J266" s="251">
        <f t="shared" si="119"/>
        <v>2.4775736864587783E-2</v>
      </c>
      <c r="K266" s="251">
        <f t="shared" si="119"/>
        <v>2.4022531477799869E-2</v>
      </c>
      <c r="L266" s="251">
        <f t="shared" si="119"/>
        <v>3.7493486334796614E-2</v>
      </c>
      <c r="M266" s="251">
        <f t="shared" si="119"/>
        <v>4.5683899244970502E-2</v>
      </c>
      <c r="N266" s="251">
        <f t="shared" si="119"/>
        <v>3.2186554584104389E-2</v>
      </c>
      <c r="O266" s="251">
        <f t="shared" si="119"/>
        <v>2.7007102879880056E-2</v>
      </c>
      <c r="P266" s="251">
        <f t="shared" si="119"/>
        <v>1.535317453741044E-2</v>
      </c>
      <c r="Q266" s="251">
        <f t="shared" si="119"/>
        <v>3.4787080969322239E-2</v>
      </c>
      <c r="R266" s="251">
        <f t="shared" si="119"/>
        <v>6.0444971949411667E-2</v>
      </c>
      <c r="S266" s="251">
        <f t="shared" si="119"/>
        <v>2.7464731653864986E-2</v>
      </c>
      <c r="T266" s="251">
        <f t="shared" si="119"/>
        <v>4.2862457208535598E-2</v>
      </c>
      <c r="U266" s="251">
        <f t="shared" si="119"/>
        <v>3.0462345683176781E-2</v>
      </c>
      <c r="V266" s="251">
        <f t="shared" si="119"/>
        <v>2.8679311481744994E-2</v>
      </c>
      <c r="W266" s="251">
        <f t="shared" si="119"/>
        <v>2.3759066751345388E-2</v>
      </c>
      <c r="X266" s="251">
        <f t="shared" si="119"/>
        <v>2.9299811683628944E-2</v>
      </c>
      <c r="Y266" s="251">
        <f t="shared" si="119"/>
        <v>2.9319780811304135E-2</v>
      </c>
      <c r="Z266" s="251">
        <f t="shared" si="119"/>
        <v>3.4048019461999868E-2</v>
      </c>
      <c r="AA266" s="251">
        <f t="shared" si="119"/>
        <v>2.5335247086723776E-2</v>
      </c>
      <c r="AB266" s="251">
        <f t="shared" si="119"/>
        <v>2.1743153399149225E-2</v>
      </c>
      <c r="AC266" s="251">
        <f t="shared" si="119"/>
        <v>1.9211566609910202E-2</v>
      </c>
      <c r="AD266" s="252">
        <f t="shared" si="119"/>
        <v>2.7424089942160321E-2</v>
      </c>
      <c r="AE266" s="162">
        <f t="shared" si="119"/>
        <v>1.5782954857299979E-2</v>
      </c>
      <c r="AF266" s="107">
        <f t="shared" si="119"/>
        <v>6.322732938165594E-3</v>
      </c>
      <c r="AG266" s="107">
        <f t="shared" si="119"/>
        <v>4.5767830765793775E-3</v>
      </c>
      <c r="AH266" s="163">
        <f t="shared" si="119"/>
        <v>3.7462257509272832E-3</v>
      </c>
      <c r="AI266" s="161">
        <f t="shared" si="119"/>
        <v>7.8366703725493911E-3</v>
      </c>
      <c r="AJ266" s="164"/>
    </row>
    <row r="267" spans="1:44" s="29" customFormat="1" ht="19.5" customHeight="1">
      <c r="A267" s="253"/>
      <c r="B267" s="245" t="s">
        <v>100</v>
      </c>
      <c r="C267" s="246"/>
      <c r="D267" s="155">
        <f>+D263-D265</f>
        <v>7469.1907421061487</v>
      </c>
      <c r="E267" s="247">
        <f t="shared" ref="E267:AD267" si="120">E263-E265</f>
        <v>-100.04999999999995</v>
      </c>
      <c r="F267" s="247">
        <f t="shared" si="120"/>
        <v>130.14999999999964</v>
      </c>
      <c r="G267" s="247">
        <f t="shared" si="120"/>
        <v>449.89999999999964</v>
      </c>
      <c r="H267" s="247">
        <f t="shared" si="120"/>
        <v>554.94999999999982</v>
      </c>
      <c r="I267" s="247">
        <f t="shared" si="120"/>
        <v>1003.5500000000002</v>
      </c>
      <c r="J267" s="247">
        <f t="shared" si="120"/>
        <v>1454.3500000000004</v>
      </c>
      <c r="K267" s="247">
        <f t="shared" si="120"/>
        <v>1510.6000000000004</v>
      </c>
      <c r="L267" s="247">
        <f t="shared" si="120"/>
        <v>836.81768292085872</v>
      </c>
      <c r="M267" s="247">
        <f t="shared" si="120"/>
        <v>618.84695208356607</v>
      </c>
      <c r="N267" s="247">
        <f t="shared" si="120"/>
        <v>996.64733801026159</v>
      </c>
      <c r="O267" s="247">
        <f t="shared" si="120"/>
        <v>1246.4415921224063</v>
      </c>
      <c r="P267" s="247">
        <f t="shared" si="120"/>
        <v>2449.0101786775049</v>
      </c>
      <c r="Q267" s="247">
        <f t="shared" si="120"/>
        <v>11151.213743814587</v>
      </c>
      <c r="R267" s="247">
        <f t="shared" si="120"/>
        <v>1010.8198607317362</v>
      </c>
      <c r="S267" s="247">
        <f t="shared" si="120"/>
        <v>1155.2599757030735</v>
      </c>
      <c r="T267" s="247">
        <f t="shared" si="120"/>
        <v>845.61739311992676</v>
      </c>
      <c r="U267" s="247">
        <f t="shared" si="120"/>
        <v>534.71025396822984</v>
      </c>
      <c r="V267" s="247">
        <f t="shared" si="120"/>
        <v>946.67931574548891</v>
      </c>
      <c r="W267" s="247">
        <f t="shared" si="120"/>
        <v>911.85999999999945</v>
      </c>
      <c r="X267" s="247">
        <f t="shared" si="120"/>
        <v>1207.7156374455935</v>
      </c>
      <c r="Y267" s="247">
        <f t="shared" si="120"/>
        <v>1223.4302756356592</v>
      </c>
      <c r="Z267" s="247">
        <f t="shared" si="120"/>
        <v>1016.5767404608632</v>
      </c>
      <c r="AA267" s="247">
        <f t="shared" si="120"/>
        <v>1430.8446502621609</v>
      </c>
      <c r="AB267" s="247">
        <f t="shared" si="120"/>
        <v>1702.1565051098369</v>
      </c>
      <c r="AC267" s="247">
        <f t="shared" si="120"/>
        <v>1939.2307642114447</v>
      </c>
      <c r="AD267" s="48">
        <f t="shared" si="120"/>
        <v>13924.901372394012</v>
      </c>
      <c r="AE267" s="167">
        <f>AE263-AE265</f>
        <v>20111.74448024435</v>
      </c>
      <c r="AF267" s="165">
        <f>AF263-AF265</f>
        <v>92635.8938192153</v>
      </c>
      <c r="AG267" s="165">
        <f>AG263-AG265</f>
        <v>155571.10960785503</v>
      </c>
      <c r="AH267" s="168">
        <f>AH263-AH265</f>
        <v>331051.38481675234</v>
      </c>
      <c r="AI267" s="166">
        <f>AI263-AI265</f>
        <v>158938.02286389991</v>
      </c>
      <c r="AR267" s="319">
        <f>AD267/Q267</f>
        <v>1.24873414610297</v>
      </c>
    </row>
    <row r="268" spans="1:44" s="71" customFormat="1" ht="19.5" customHeight="1">
      <c r="A268" s="254"/>
      <c r="B268" s="255" t="s">
        <v>101</v>
      </c>
      <c r="C268" s="256"/>
      <c r="D268" s="250">
        <f t="shared" ref="D268:AI268" si="121">D267/D6</f>
        <v>0.14177786331237785</v>
      </c>
      <c r="E268" s="257">
        <f t="shared" si="121"/>
        <v>-7.7139552814186552E-2</v>
      </c>
      <c r="F268" s="257">
        <f t="shared" si="121"/>
        <v>4.5380055788005455E-2</v>
      </c>
      <c r="G268" s="257">
        <f t="shared" si="121"/>
        <v>9.0577813569559018E-2</v>
      </c>
      <c r="H268" s="257">
        <f t="shared" si="121"/>
        <v>9.7206165703275504E-2</v>
      </c>
      <c r="I268" s="257">
        <f t="shared" si="121"/>
        <v>0.11535057471264371</v>
      </c>
      <c r="J268" s="257">
        <f t="shared" si="121"/>
        <v>0.12425032037590776</v>
      </c>
      <c r="K268" s="257">
        <f t="shared" si="121"/>
        <v>0.12513253810470512</v>
      </c>
      <c r="L268" s="257">
        <f t="shared" si="121"/>
        <v>0.1081903874458944</v>
      </c>
      <c r="M268" s="257">
        <f t="shared" si="121"/>
        <v>9.7487385541526625E-2</v>
      </c>
      <c r="N268" s="257">
        <f t="shared" si="121"/>
        <v>0.1106160136067918</v>
      </c>
      <c r="O268" s="257">
        <f t="shared" si="121"/>
        <v>0.11607853900762524</v>
      </c>
      <c r="P268" s="257">
        <f t="shared" si="121"/>
        <v>0.12965545074872573</v>
      </c>
      <c r="Q268" s="257">
        <f t="shared" si="121"/>
        <v>0.11147074006100489</v>
      </c>
      <c r="R268" s="257">
        <f t="shared" si="121"/>
        <v>0.42825385945074657</v>
      </c>
      <c r="S268" s="257">
        <f t="shared" si="121"/>
        <v>0.20561794584366208</v>
      </c>
      <c r="T268" s="257">
        <f t="shared" si="121"/>
        <v>0.24549742161606808</v>
      </c>
      <c r="U268" s="257">
        <f t="shared" si="121"/>
        <v>0.10212883940510041</v>
      </c>
      <c r="V268" s="257">
        <f t="shared" si="121"/>
        <v>0.11797215160159076</v>
      </c>
      <c r="W268" s="257">
        <f t="shared" si="121"/>
        <v>0.12191864157502416</v>
      </c>
      <c r="X268" s="257">
        <f t="shared" si="121"/>
        <v>0.12202014049837855</v>
      </c>
      <c r="Y268" s="257">
        <f t="shared" si="121"/>
        <v>0.12369209489500321</v>
      </c>
      <c r="Z268" s="257">
        <f t="shared" si="121"/>
        <v>0.11935318842699262</v>
      </c>
      <c r="AA268" s="257">
        <f t="shared" si="121"/>
        <v>0.12500276812796107</v>
      </c>
      <c r="AB268" s="257">
        <f t="shared" si="121"/>
        <v>0.12762155172401007</v>
      </c>
      <c r="AC268" s="257">
        <f t="shared" si="121"/>
        <v>0.12846779654701804</v>
      </c>
      <c r="AD268" s="258">
        <f t="shared" si="121"/>
        <v>0.13876623763958107</v>
      </c>
      <c r="AE268" s="171">
        <f t="shared" si="121"/>
        <v>0.11960164100725268</v>
      </c>
      <c r="AF268" s="169">
        <f t="shared" si="121"/>
        <v>0.21573186633781333</v>
      </c>
      <c r="AG268" s="169">
        <f t="shared" si="121"/>
        <v>0.25621274618852335</v>
      </c>
      <c r="AH268" s="172">
        <f t="shared" si="121"/>
        <v>0.43607356634340894</v>
      </c>
      <c r="AI268" s="170">
        <f t="shared" si="121"/>
        <v>0.43795530761220186</v>
      </c>
      <c r="AJ268" s="164"/>
    </row>
    <row r="269" spans="1:44" s="179" customFormat="1" ht="19.5" customHeight="1">
      <c r="A269" s="259"/>
      <c r="B269" s="260" t="s">
        <v>102</v>
      </c>
      <c r="C269" s="261"/>
      <c r="D269" s="174">
        <f t="shared" ref="D269:AD269" si="122">+SUM(D270:D282)</f>
        <v>0</v>
      </c>
      <c r="E269" s="174">
        <f t="shared" si="122"/>
        <v>0</v>
      </c>
      <c r="F269" s="174">
        <f t="shared" si="122"/>
        <v>0</v>
      </c>
      <c r="G269" s="174">
        <f t="shared" si="122"/>
        <v>0</v>
      </c>
      <c r="H269" s="174">
        <f t="shared" si="122"/>
        <v>0</v>
      </c>
      <c r="I269" s="174">
        <f t="shared" si="122"/>
        <v>0</v>
      </c>
      <c r="J269" s="174">
        <f t="shared" si="122"/>
        <v>0</v>
      </c>
      <c r="K269" s="174">
        <f t="shared" si="122"/>
        <v>0</v>
      </c>
      <c r="L269" s="174">
        <f t="shared" si="122"/>
        <v>0</v>
      </c>
      <c r="M269" s="174">
        <f t="shared" si="122"/>
        <v>0</v>
      </c>
      <c r="N269" s="174">
        <f t="shared" si="122"/>
        <v>0</v>
      </c>
      <c r="O269" s="174">
        <f t="shared" si="122"/>
        <v>0</v>
      </c>
      <c r="P269" s="174">
        <f t="shared" si="122"/>
        <v>0</v>
      </c>
      <c r="Q269" s="174">
        <f t="shared" si="122"/>
        <v>0</v>
      </c>
      <c r="R269" s="174">
        <f t="shared" si="122"/>
        <v>0</v>
      </c>
      <c r="S269" s="174">
        <f t="shared" si="122"/>
        <v>0.89053277117669605</v>
      </c>
      <c r="T269" s="174">
        <f t="shared" si="122"/>
        <v>0</v>
      </c>
      <c r="U269" s="174">
        <f t="shared" si="122"/>
        <v>0.42</v>
      </c>
      <c r="V269" s="174">
        <f t="shared" si="122"/>
        <v>0</v>
      </c>
      <c r="W269" s="174">
        <f t="shared" si="122"/>
        <v>0</v>
      </c>
      <c r="X269" s="174">
        <f t="shared" si="122"/>
        <v>0</v>
      </c>
      <c r="Y269" s="174">
        <f t="shared" si="122"/>
        <v>0</v>
      </c>
      <c r="Z269" s="174">
        <f t="shared" si="122"/>
        <v>0</v>
      </c>
      <c r="AA269" s="174">
        <f t="shared" si="122"/>
        <v>0</v>
      </c>
      <c r="AB269" s="174">
        <f t="shared" si="122"/>
        <v>0</v>
      </c>
      <c r="AC269" s="174">
        <f t="shared" si="122"/>
        <v>0</v>
      </c>
      <c r="AD269" s="175">
        <f t="shared" si="122"/>
        <v>1.3105327711766961</v>
      </c>
      <c r="AE269" s="176">
        <f>+SUM(AE270:AE282)</f>
        <v>0</v>
      </c>
      <c r="AF269" s="173">
        <f>+SUM(AF270:AF282)</f>
        <v>0</v>
      </c>
      <c r="AG269" s="173">
        <f>+SUM(AG270:AG282)</f>
        <v>0</v>
      </c>
      <c r="AH269" s="177">
        <f>+SUM(AH270:AH282)</f>
        <v>0</v>
      </c>
      <c r="AI269" s="178">
        <f>+SUM(AI270:AI282)</f>
        <v>0</v>
      </c>
    </row>
    <row r="270" spans="1:44" s="188" customFormat="1" ht="19.5" hidden="1" customHeight="1" outlineLevel="1">
      <c r="A270" s="180"/>
      <c r="B270" s="181" t="s">
        <v>103</v>
      </c>
      <c r="C270" s="182"/>
      <c r="D270" s="183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  <c r="AC270" s="184"/>
      <c r="AD270" s="185">
        <f>SUM(R270:AC270)</f>
        <v>0</v>
      </c>
      <c r="AE270" s="186"/>
      <c r="AF270" s="184"/>
      <c r="AG270" s="184"/>
      <c r="AH270" s="187"/>
      <c r="AI270" s="185"/>
    </row>
    <row r="271" spans="1:44" s="188" customFormat="1" ht="19.5" hidden="1" customHeight="1" outlineLevel="1">
      <c r="A271" s="180"/>
      <c r="B271" s="181" t="s">
        <v>104</v>
      </c>
      <c r="C271" s="182"/>
      <c r="D271" s="183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  <c r="AC271" s="184"/>
      <c r="AD271" s="185">
        <f t="shared" ref="AD271:AD282" si="123">SUM(R271:AC271)</f>
        <v>0</v>
      </c>
      <c r="AE271" s="186"/>
      <c r="AF271" s="184"/>
      <c r="AG271" s="184"/>
      <c r="AH271" s="187"/>
      <c r="AI271" s="185"/>
    </row>
    <row r="272" spans="1:44" s="188" customFormat="1" ht="19.5" hidden="1" customHeight="1" outlineLevel="1">
      <c r="A272" s="180"/>
      <c r="B272" s="181" t="s">
        <v>105</v>
      </c>
      <c r="C272" s="182"/>
      <c r="D272" s="183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  <c r="AC272" s="184"/>
      <c r="AD272" s="185">
        <f t="shared" si="123"/>
        <v>0</v>
      </c>
      <c r="AE272" s="186"/>
      <c r="AF272" s="184"/>
      <c r="AG272" s="184"/>
      <c r="AH272" s="187"/>
      <c r="AI272" s="185"/>
    </row>
    <row r="273" spans="1:35" s="188" customFormat="1" ht="19.5" hidden="1" customHeight="1" outlineLevel="1">
      <c r="A273" s="180"/>
      <c r="B273" s="181" t="s">
        <v>106</v>
      </c>
      <c r="C273" s="182"/>
      <c r="D273" s="183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  <c r="AC273" s="184"/>
      <c r="AD273" s="185">
        <f t="shared" si="123"/>
        <v>0</v>
      </c>
      <c r="AE273" s="186"/>
      <c r="AF273" s="184"/>
      <c r="AG273" s="184"/>
      <c r="AH273" s="187"/>
      <c r="AI273" s="185"/>
    </row>
    <row r="274" spans="1:35" s="188" customFormat="1" ht="19.5" hidden="1" customHeight="1" outlineLevel="1">
      <c r="A274" s="180"/>
      <c r="B274" s="181" t="s">
        <v>107</v>
      </c>
      <c r="C274" s="182"/>
      <c r="D274" s="183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  <c r="AC274" s="184"/>
      <c r="AD274" s="185">
        <f t="shared" si="123"/>
        <v>0</v>
      </c>
      <c r="AE274" s="186"/>
      <c r="AF274" s="184"/>
      <c r="AG274" s="184"/>
      <c r="AH274" s="187"/>
      <c r="AI274" s="185"/>
    </row>
    <row r="275" spans="1:35" s="188" customFormat="1" ht="19.5" hidden="1" customHeight="1" outlineLevel="1">
      <c r="A275" s="180"/>
      <c r="B275" s="181" t="s">
        <v>108</v>
      </c>
      <c r="C275" s="182"/>
      <c r="D275" s="183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  <c r="AC275" s="184"/>
      <c r="AD275" s="185">
        <f t="shared" si="123"/>
        <v>0</v>
      </c>
      <c r="AE275" s="186"/>
      <c r="AF275" s="184"/>
      <c r="AG275" s="184"/>
      <c r="AH275" s="187"/>
      <c r="AI275" s="185"/>
    </row>
    <row r="276" spans="1:35" s="188" customFormat="1" ht="19.5" hidden="1" customHeight="1" outlineLevel="1">
      <c r="A276" s="180"/>
      <c r="B276" s="181" t="s">
        <v>109</v>
      </c>
      <c r="C276" s="182"/>
      <c r="D276" s="183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  <c r="AC276" s="184"/>
      <c r="AD276" s="185">
        <f t="shared" si="123"/>
        <v>0</v>
      </c>
      <c r="AE276" s="186"/>
      <c r="AF276" s="184"/>
      <c r="AG276" s="184"/>
      <c r="AH276" s="187"/>
      <c r="AI276" s="185"/>
    </row>
    <row r="277" spans="1:35" s="188" customFormat="1" ht="19.5" hidden="1" customHeight="1" outlineLevel="1">
      <c r="A277" s="180"/>
      <c r="B277" s="181" t="s">
        <v>110</v>
      </c>
      <c r="C277" s="182"/>
      <c r="D277" s="183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  <c r="AC277" s="184"/>
      <c r="AD277" s="185">
        <f t="shared" si="123"/>
        <v>0</v>
      </c>
      <c r="AE277" s="186"/>
      <c r="AF277" s="184"/>
      <c r="AG277" s="184"/>
      <c r="AH277" s="187"/>
      <c r="AI277" s="185"/>
    </row>
    <row r="278" spans="1:35" s="188" customFormat="1" ht="19.5" hidden="1" customHeight="1" outlineLevel="1">
      <c r="A278" s="180"/>
      <c r="B278" s="181" t="s">
        <v>111</v>
      </c>
      <c r="C278" s="182"/>
      <c r="D278" s="183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  <c r="AC278" s="184"/>
      <c r="AD278" s="185">
        <f t="shared" si="123"/>
        <v>0</v>
      </c>
      <c r="AE278" s="186"/>
      <c r="AF278" s="184"/>
      <c r="AG278" s="184"/>
      <c r="AH278" s="187"/>
      <c r="AI278" s="185"/>
    </row>
    <row r="279" spans="1:35" s="188" customFormat="1" ht="19.5" hidden="1" customHeight="1" outlineLevel="1">
      <c r="A279" s="180"/>
      <c r="B279" s="181" t="s">
        <v>112</v>
      </c>
      <c r="C279" s="182"/>
      <c r="D279" s="183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  <c r="AC279" s="184"/>
      <c r="AD279" s="185">
        <f t="shared" si="123"/>
        <v>0</v>
      </c>
      <c r="AE279" s="186"/>
      <c r="AF279" s="184"/>
      <c r="AG279" s="184"/>
      <c r="AH279" s="187"/>
      <c r="AI279" s="185"/>
    </row>
    <row r="280" spans="1:35" s="188" customFormat="1" ht="19.149999999999999" hidden="1" customHeight="1" outlineLevel="1">
      <c r="A280" s="180"/>
      <c r="B280" s="181" t="s">
        <v>113</v>
      </c>
      <c r="C280" s="182"/>
      <c r="D280" s="183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>
        <v>0.89053277117669605</v>
      </c>
      <c r="T280" s="184"/>
      <c r="U280" s="184">
        <v>0.42</v>
      </c>
      <c r="V280" s="184"/>
      <c r="W280" s="184"/>
      <c r="X280" s="184"/>
      <c r="Y280" s="184"/>
      <c r="Z280" s="184"/>
      <c r="AA280" s="184"/>
      <c r="AB280" s="184"/>
      <c r="AC280" s="184"/>
      <c r="AD280" s="185">
        <f t="shared" si="123"/>
        <v>1.3105327711766961</v>
      </c>
      <c r="AE280" s="186"/>
      <c r="AF280" s="184"/>
      <c r="AG280" s="184"/>
      <c r="AH280" s="187"/>
      <c r="AI280" s="185"/>
    </row>
    <row r="281" spans="1:35" s="179" customFormat="1" ht="19.5" hidden="1" customHeight="1" outlineLevel="1">
      <c r="A281" s="180"/>
      <c r="B281" s="181" t="s">
        <v>114</v>
      </c>
      <c r="C281" s="182"/>
      <c r="D281" s="183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90">
        <f t="shared" si="123"/>
        <v>0</v>
      </c>
      <c r="AE281" s="191"/>
      <c r="AF281" s="189"/>
      <c r="AG281" s="189"/>
      <c r="AH281" s="192"/>
      <c r="AI281" s="190"/>
    </row>
    <row r="282" spans="1:35" s="179" customFormat="1" ht="19.5" hidden="1" customHeight="1" outlineLevel="1">
      <c r="A282" s="180"/>
      <c r="B282" s="181"/>
      <c r="C282" s="182"/>
      <c r="D282" s="183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  <c r="AD282" s="190">
        <f t="shared" si="123"/>
        <v>0</v>
      </c>
      <c r="AE282" s="191"/>
      <c r="AF282" s="189"/>
      <c r="AG282" s="189"/>
      <c r="AH282" s="192"/>
      <c r="AI282" s="190"/>
    </row>
    <row r="283" spans="1:35" s="179" customFormat="1" ht="19.5" customHeight="1" collapsed="1">
      <c r="A283" s="180"/>
      <c r="B283" s="262" t="s">
        <v>115</v>
      </c>
      <c r="C283" s="182"/>
      <c r="D283" s="183">
        <f>+SUM(D284:D300)</f>
        <v>0</v>
      </c>
      <c r="E283" s="184">
        <f t="shared" ref="E283:AD283" si="124">+SUM(E284:E302)</f>
        <v>0</v>
      </c>
      <c r="F283" s="184">
        <f t="shared" si="124"/>
        <v>0</v>
      </c>
      <c r="G283" s="184">
        <f t="shared" si="124"/>
        <v>0</v>
      </c>
      <c r="H283" s="184">
        <f t="shared" si="124"/>
        <v>0</v>
      </c>
      <c r="I283" s="184">
        <f t="shared" si="124"/>
        <v>0</v>
      </c>
      <c r="J283" s="184">
        <f t="shared" si="124"/>
        <v>0</v>
      </c>
      <c r="K283" s="184">
        <f t="shared" si="124"/>
        <v>0</v>
      </c>
      <c r="L283" s="184">
        <f t="shared" si="124"/>
        <v>0</v>
      </c>
      <c r="M283" s="184">
        <f t="shared" si="124"/>
        <v>0</v>
      </c>
      <c r="N283" s="184">
        <f t="shared" si="124"/>
        <v>0</v>
      </c>
      <c r="O283" s="184">
        <f t="shared" si="124"/>
        <v>0</v>
      </c>
      <c r="P283" s="184">
        <f t="shared" si="124"/>
        <v>0</v>
      </c>
      <c r="Q283" s="184">
        <f t="shared" si="124"/>
        <v>0</v>
      </c>
      <c r="R283" s="184">
        <f t="shared" si="124"/>
        <v>0</v>
      </c>
      <c r="S283" s="184">
        <f t="shared" si="124"/>
        <v>0</v>
      </c>
      <c r="T283" s="184">
        <f t="shared" si="124"/>
        <v>0</v>
      </c>
      <c r="U283" s="184">
        <f t="shared" si="124"/>
        <v>0</v>
      </c>
      <c r="V283" s="184">
        <f t="shared" si="124"/>
        <v>0</v>
      </c>
      <c r="W283" s="184">
        <f t="shared" si="124"/>
        <v>0</v>
      </c>
      <c r="X283" s="184">
        <f t="shared" si="124"/>
        <v>0</v>
      </c>
      <c r="Y283" s="184">
        <f t="shared" si="124"/>
        <v>0</v>
      </c>
      <c r="Z283" s="184">
        <f t="shared" si="124"/>
        <v>0</v>
      </c>
      <c r="AA283" s="184"/>
      <c r="AB283" s="184">
        <f t="shared" si="124"/>
        <v>0</v>
      </c>
      <c r="AC283" s="184">
        <f t="shared" si="124"/>
        <v>0</v>
      </c>
      <c r="AD283" s="185">
        <f t="shared" si="124"/>
        <v>0</v>
      </c>
      <c r="AE283" s="193">
        <f>+SUM(AE284:AE302)</f>
        <v>0</v>
      </c>
      <c r="AF283" s="194">
        <f>+SUM(AF284:AF302)</f>
        <v>0</v>
      </c>
      <c r="AG283" s="194">
        <f>+SUM(AG284:AG302)</f>
        <v>0</v>
      </c>
      <c r="AH283" s="195">
        <f>+SUM(AH284:AH302)</f>
        <v>0</v>
      </c>
      <c r="AI283" s="196">
        <f>+SUM(AI284:AI302)</f>
        <v>0</v>
      </c>
    </row>
    <row r="284" spans="1:35" s="71" customFormat="1" ht="19.5" hidden="1" customHeight="1" outlineLevel="1">
      <c r="A284" s="180"/>
      <c r="B284" s="181" t="s">
        <v>116</v>
      </c>
      <c r="C284" s="182"/>
      <c r="D284" s="183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  <c r="AC284" s="184"/>
      <c r="AD284" s="185">
        <f>SUM(R284:AC284)</f>
        <v>0</v>
      </c>
      <c r="AE284" s="186"/>
      <c r="AF284" s="184"/>
      <c r="AG284" s="184"/>
      <c r="AH284" s="187"/>
      <c r="AI284" s="185"/>
    </row>
    <row r="285" spans="1:35" s="71" customFormat="1" ht="19.5" hidden="1" customHeight="1" outlineLevel="1">
      <c r="A285" s="180"/>
      <c r="B285" s="181" t="s">
        <v>117</v>
      </c>
      <c r="C285" s="182"/>
      <c r="D285" s="183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  <c r="AC285" s="184"/>
      <c r="AD285" s="185">
        <f t="shared" ref="AD285:AD302" si="125">SUM(R285:AC285)</f>
        <v>0</v>
      </c>
      <c r="AE285" s="186"/>
      <c r="AF285" s="184"/>
      <c r="AG285" s="184"/>
      <c r="AH285" s="187"/>
      <c r="AI285" s="185"/>
    </row>
    <row r="286" spans="1:35" s="71" customFormat="1" ht="19.5" hidden="1" customHeight="1" outlineLevel="1">
      <c r="A286" s="180"/>
      <c r="B286" s="181" t="s">
        <v>118</v>
      </c>
      <c r="C286" s="182"/>
      <c r="D286" s="183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  <c r="AC286" s="184"/>
      <c r="AD286" s="185">
        <f t="shared" si="125"/>
        <v>0</v>
      </c>
      <c r="AE286" s="186"/>
      <c r="AF286" s="184"/>
      <c r="AG286" s="184"/>
      <c r="AH286" s="187"/>
      <c r="AI286" s="185"/>
    </row>
    <row r="287" spans="1:35" s="71" customFormat="1" ht="19.5" hidden="1" customHeight="1" outlineLevel="1">
      <c r="A287" s="180"/>
      <c r="B287" s="181" t="s">
        <v>119</v>
      </c>
      <c r="C287" s="182"/>
      <c r="D287" s="183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  <c r="AC287" s="184"/>
      <c r="AD287" s="185">
        <f t="shared" si="125"/>
        <v>0</v>
      </c>
      <c r="AE287" s="186"/>
      <c r="AF287" s="184"/>
      <c r="AG287" s="184"/>
      <c r="AH287" s="187"/>
      <c r="AI287" s="185"/>
    </row>
    <row r="288" spans="1:35" s="71" customFormat="1" ht="19.5" hidden="1" customHeight="1" outlineLevel="1">
      <c r="A288" s="180"/>
      <c r="B288" s="181" t="s">
        <v>120</v>
      </c>
      <c r="C288" s="182"/>
      <c r="D288" s="183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  <c r="AC288" s="184"/>
      <c r="AD288" s="185">
        <f t="shared" si="125"/>
        <v>0</v>
      </c>
      <c r="AE288" s="186"/>
      <c r="AF288" s="184"/>
      <c r="AG288" s="184"/>
      <c r="AH288" s="187"/>
      <c r="AI288" s="185"/>
    </row>
    <row r="289" spans="1:35" s="71" customFormat="1" ht="19.5" hidden="1" customHeight="1" outlineLevel="1">
      <c r="A289" s="180"/>
      <c r="B289" s="181" t="s">
        <v>121</v>
      </c>
      <c r="C289" s="182"/>
      <c r="D289" s="183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5">
        <f t="shared" si="125"/>
        <v>0</v>
      </c>
      <c r="AE289" s="186"/>
      <c r="AF289" s="184"/>
      <c r="AG289" s="184"/>
      <c r="AH289" s="187"/>
      <c r="AI289" s="185"/>
    </row>
    <row r="290" spans="1:35" s="71" customFormat="1" ht="19.5" hidden="1" customHeight="1" outlineLevel="1">
      <c r="A290" s="180"/>
      <c r="B290" s="181" t="s">
        <v>122</v>
      </c>
      <c r="C290" s="182"/>
      <c r="D290" s="183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  <c r="AC290" s="184"/>
      <c r="AD290" s="185">
        <f t="shared" si="125"/>
        <v>0</v>
      </c>
      <c r="AE290" s="186"/>
      <c r="AF290" s="184"/>
      <c r="AG290" s="184"/>
      <c r="AH290" s="187"/>
      <c r="AI290" s="185"/>
    </row>
    <row r="291" spans="1:35" s="71" customFormat="1" ht="19.5" hidden="1" customHeight="1" outlineLevel="1">
      <c r="A291" s="180"/>
      <c r="B291" s="181" t="s">
        <v>123</v>
      </c>
      <c r="C291" s="182"/>
      <c r="D291" s="183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5">
        <f t="shared" si="125"/>
        <v>0</v>
      </c>
      <c r="AE291" s="186"/>
      <c r="AF291" s="184"/>
      <c r="AG291" s="184"/>
      <c r="AH291" s="187"/>
      <c r="AI291" s="185"/>
    </row>
    <row r="292" spans="1:35" s="71" customFormat="1" ht="19.5" hidden="1" customHeight="1" outlineLevel="1">
      <c r="A292" s="180"/>
      <c r="B292" s="181" t="s">
        <v>124</v>
      </c>
      <c r="C292" s="182"/>
      <c r="D292" s="183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  <c r="AC292" s="184"/>
      <c r="AD292" s="185">
        <f t="shared" si="125"/>
        <v>0</v>
      </c>
      <c r="AE292" s="186"/>
      <c r="AF292" s="184"/>
      <c r="AG292" s="184"/>
      <c r="AH292" s="187"/>
      <c r="AI292" s="185"/>
    </row>
    <row r="293" spans="1:35" s="71" customFormat="1" ht="19.5" hidden="1" customHeight="1" outlineLevel="1">
      <c r="A293" s="180"/>
      <c r="B293" s="181" t="s">
        <v>125</v>
      </c>
      <c r="C293" s="182"/>
      <c r="D293" s="183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5">
        <f t="shared" si="125"/>
        <v>0</v>
      </c>
      <c r="AE293" s="186"/>
      <c r="AF293" s="184"/>
      <c r="AG293" s="184"/>
      <c r="AH293" s="187"/>
      <c r="AI293" s="185"/>
    </row>
    <row r="294" spans="1:35" s="71" customFormat="1" ht="19.5" hidden="1" customHeight="1" outlineLevel="1">
      <c r="A294" s="180"/>
      <c r="B294" s="181" t="s">
        <v>126</v>
      </c>
      <c r="C294" s="182"/>
      <c r="D294" s="183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  <c r="AC294" s="184"/>
      <c r="AD294" s="185">
        <f t="shared" si="125"/>
        <v>0</v>
      </c>
      <c r="AE294" s="186"/>
      <c r="AF294" s="184"/>
      <c r="AG294" s="184"/>
      <c r="AH294" s="187"/>
      <c r="AI294" s="185"/>
    </row>
    <row r="295" spans="1:35" s="71" customFormat="1" ht="19.5" hidden="1" customHeight="1" outlineLevel="1">
      <c r="A295" s="180"/>
      <c r="B295" s="181" t="s">
        <v>127</v>
      </c>
      <c r="C295" s="182"/>
      <c r="D295" s="183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90">
        <f t="shared" si="125"/>
        <v>0</v>
      </c>
      <c r="AE295" s="186"/>
      <c r="AF295" s="184"/>
      <c r="AG295" s="184"/>
      <c r="AH295" s="187"/>
      <c r="AI295" s="185"/>
    </row>
    <row r="296" spans="1:35" s="71" customFormat="1" ht="19.5" hidden="1" customHeight="1" outlineLevel="1">
      <c r="A296" s="180"/>
      <c r="B296" s="181" t="s">
        <v>128</v>
      </c>
      <c r="C296" s="182"/>
      <c r="D296" s="183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  <c r="AC296" s="184"/>
      <c r="AD296" s="190">
        <f t="shared" si="125"/>
        <v>0</v>
      </c>
      <c r="AE296" s="186"/>
      <c r="AF296" s="184"/>
      <c r="AG296" s="184"/>
      <c r="AH296" s="187"/>
      <c r="AI296" s="185"/>
    </row>
    <row r="297" spans="1:35" s="71" customFormat="1" ht="19.5" hidden="1" customHeight="1" outlineLevel="1">
      <c r="A297" s="180"/>
      <c r="B297" s="181" t="s">
        <v>129</v>
      </c>
      <c r="C297" s="182"/>
      <c r="D297" s="183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  <c r="AC297" s="184"/>
      <c r="AD297" s="185">
        <f t="shared" si="125"/>
        <v>0</v>
      </c>
      <c r="AE297" s="186"/>
      <c r="AF297" s="184"/>
      <c r="AG297" s="184"/>
      <c r="AH297" s="187"/>
      <c r="AI297" s="185"/>
    </row>
    <row r="298" spans="1:35" s="71" customFormat="1" ht="19.5" hidden="1" customHeight="1" outlineLevel="1">
      <c r="A298" s="180"/>
      <c r="B298" s="181" t="s">
        <v>130</v>
      </c>
      <c r="C298" s="182"/>
      <c r="D298" s="183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  <c r="AC298" s="184"/>
      <c r="AD298" s="185">
        <f t="shared" si="125"/>
        <v>0</v>
      </c>
      <c r="AE298" s="186"/>
      <c r="AF298" s="184"/>
      <c r="AG298" s="184"/>
      <c r="AH298" s="187"/>
      <c r="AI298" s="185"/>
    </row>
    <row r="299" spans="1:35" s="71" customFormat="1" ht="19.5" hidden="1" customHeight="1" outlineLevel="1">
      <c r="A299" s="180"/>
      <c r="B299" s="181" t="s">
        <v>131</v>
      </c>
      <c r="C299" s="182"/>
      <c r="D299" s="183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  <c r="AC299" s="184"/>
      <c r="AD299" s="185">
        <f t="shared" si="125"/>
        <v>0</v>
      </c>
      <c r="AE299" s="186"/>
      <c r="AF299" s="184"/>
      <c r="AG299" s="184"/>
      <c r="AH299" s="187"/>
      <c r="AI299" s="185"/>
    </row>
    <row r="300" spans="1:35" s="71" customFormat="1" ht="19.5" hidden="1" customHeight="1" outlineLevel="1">
      <c r="A300" s="180"/>
      <c r="B300" s="181" t="s">
        <v>132</v>
      </c>
      <c r="C300" s="182"/>
      <c r="D300" s="183"/>
      <c r="E300" s="184">
        <v>0</v>
      </c>
      <c r="F300" s="184">
        <v>0</v>
      </c>
      <c r="G300" s="184"/>
      <c r="H300" s="184"/>
      <c r="I300" s="184"/>
      <c r="J300" s="184"/>
      <c r="K300" s="184"/>
      <c r="L300" s="184"/>
      <c r="M300" s="184">
        <v>0</v>
      </c>
      <c r="N300" s="184">
        <v>0</v>
      </c>
      <c r="O300" s="184">
        <v>0</v>
      </c>
      <c r="P300" s="184">
        <v>0</v>
      </c>
      <c r="Q300" s="184">
        <f>SUM(E300:P300)</f>
        <v>0</v>
      </c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  <c r="AC300" s="184"/>
      <c r="AD300" s="185">
        <f t="shared" si="125"/>
        <v>0</v>
      </c>
      <c r="AE300" s="186"/>
      <c r="AF300" s="184"/>
      <c r="AG300" s="184"/>
      <c r="AH300" s="187"/>
      <c r="AI300" s="185"/>
    </row>
    <row r="301" spans="1:35" s="179" customFormat="1" ht="19.5" hidden="1" customHeight="1" outlineLevel="1">
      <c r="A301" s="180"/>
      <c r="B301" s="181" t="s">
        <v>133</v>
      </c>
      <c r="C301" s="182"/>
      <c r="D301" s="183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  <c r="AC301" s="184"/>
      <c r="AD301" s="185">
        <f t="shared" si="125"/>
        <v>0</v>
      </c>
      <c r="AE301" s="186"/>
      <c r="AF301" s="184"/>
      <c r="AG301" s="184"/>
      <c r="AH301" s="187"/>
      <c r="AI301" s="185"/>
    </row>
    <row r="302" spans="1:35" s="179" customFormat="1" ht="19.5" hidden="1" customHeight="1" outlineLevel="1">
      <c r="A302" s="180"/>
      <c r="B302" s="181"/>
      <c r="C302" s="182"/>
      <c r="D302" s="183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  <c r="AC302" s="184"/>
      <c r="AD302" s="185">
        <f t="shared" si="125"/>
        <v>0</v>
      </c>
      <c r="AE302" s="186"/>
      <c r="AF302" s="184"/>
      <c r="AG302" s="184"/>
      <c r="AH302" s="187"/>
      <c r="AI302" s="185"/>
    </row>
    <row r="303" spans="1:35" s="179" customFormat="1" ht="19.5" customHeight="1" collapsed="1">
      <c r="A303" s="253"/>
      <c r="B303" s="245" t="s">
        <v>134</v>
      </c>
      <c r="C303" s="246"/>
      <c r="D303" s="44">
        <f>+D267+D269-D283</f>
        <v>7469.1907421061487</v>
      </c>
      <c r="E303" s="247">
        <f t="shared" ref="E303:AD303" si="126">+E267+E269-E283</f>
        <v>-100.04999999999995</v>
      </c>
      <c r="F303" s="247">
        <f t="shared" si="126"/>
        <v>130.14999999999964</v>
      </c>
      <c r="G303" s="247">
        <f t="shared" si="126"/>
        <v>449.89999999999964</v>
      </c>
      <c r="H303" s="247">
        <f t="shared" si="126"/>
        <v>554.94999999999982</v>
      </c>
      <c r="I303" s="247">
        <f t="shared" si="126"/>
        <v>1003.5500000000002</v>
      </c>
      <c r="J303" s="247">
        <f t="shared" si="126"/>
        <v>1454.3500000000004</v>
      </c>
      <c r="K303" s="247">
        <f t="shared" si="126"/>
        <v>1510.6000000000004</v>
      </c>
      <c r="L303" s="247">
        <f t="shared" si="126"/>
        <v>836.81768292085872</v>
      </c>
      <c r="M303" s="247">
        <f t="shared" si="126"/>
        <v>618.84695208356607</v>
      </c>
      <c r="N303" s="247">
        <f t="shared" si="126"/>
        <v>996.64733801026159</v>
      </c>
      <c r="O303" s="247">
        <f t="shared" si="126"/>
        <v>1246.4415921224063</v>
      </c>
      <c r="P303" s="247">
        <f t="shared" si="126"/>
        <v>2449.0101786775049</v>
      </c>
      <c r="Q303" s="247">
        <f t="shared" si="126"/>
        <v>11151.213743814587</v>
      </c>
      <c r="R303" s="247">
        <f t="shared" si="126"/>
        <v>1010.8198607317362</v>
      </c>
      <c r="S303" s="247">
        <f t="shared" si="126"/>
        <v>1156.15050847425</v>
      </c>
      <c r="T303" s="247">
        <f t="shared" si="126"/>
        <v>845.61739311992676</v>
      </c>
      <c r="U303" s="247">
        <f t="shared" si="126"/>
        <v>535.13025396822979</v>
      </c>
      <c r="V303" s="247">
        <f t="shared" si="126"/>
        <v>946.67931574548891</v>
      </c>
      <c r="W303" s="247">
        <f t="shared" si="126"/>
        <v>911.85999999999945</v>
      </c>
      <c r="X303" s="247">
        <f t="shared" si="126"/>
        <v>1207.7156374455935</v>
      </c>
      <c r="Y303" s="247">
        <f t="shared" si="126"/>
        <v>1223.4302756356592</v>
      </c>
      <c r="Z303" s="247">
        <f t="shared" si="126"/>
        <v>1016.5767404608632</v>
      </c>
      <c r="AA303" s="247">
        <f t="shared" si="126"/>
        <v>1430.8446502621609</v>
      </c>
      <c r="AB303" s="247">
        <f t="shared" si="126"/>
        <v>1702.1565051098369</v>
      </c>
      <c r="AC303" s="247">
        <f t="shared" si="126"/>
        <v>1939.2307642114447</v>
      </c>
      <c r="AD303" s="48">
        <f t="shared" si="126"/>
        <v>13926.211905165188</v>
      </c>
      <c r="AE303" s="167">
        <f>+AE267+AE269-AE283</f>
        <v>20111.74448024435</v>
      </c>
      <c r="AF303" s="165">
        <f>+AF267+AF269-AF283</f>
        <v>92635.8938192153</v>
      </c>
      <c r="AG303" s="165">
        <f>+AG267+AG269-AG283</f>
        <v>155571.10960785503</v>
      </c>
      <c r="AH303" s="168">
        <f>+AH267+AH269-AH283</f>
        <v>331051.38481675234</v>
      </c>
      <c r="AI303" s="166">
        <f>+AI267+AI269-AI283</f>
        <v>158938.02286389991</v>
      </c>
    </row>
    <row r="304" spans="1:35" s="179" customFormat="1" ht="19.5" customHeight="1">
      <c r="A304" s="254"/>
      <c r="B304" s="263" t="s">
        <v>101</v>
      </c>
      <c r="C304" s="264"/>
      <c r="D304" s="265">
        <f>+D303/D258</f>
        <v>0.17429068706589423</v>
      </c>
      <c r="E304" s="257">
        <f t="shared" ref="E304:AI304" si="127">+E303/E6</f>
        <v>-7.7139552814186552E-2</v>
      </c>
      <c r="F304" s="257">
        <f t="shared" si="127"/>
        <v>4.5380055788005455E-2</v>
      </c>
      <c r="G304" s="257">
        <f t="shared" si="127"/>
        <v>9.0577813569559018E-2</v>
      </c>
      <c r="H304" s="257">
        <f t="shared" si="127"/>
        <v>9.7206165703275504E-2</v>
      </c>
      <c r="I304" s="257">
        <f t="shared" si="127"/>
        <v>0.11535057471264371</v>
      </c>
      <c r="J304" s="257">
        <f t="shared" si="127"/>
        <v>0.12425032037590776</v>
      </c>
      <c r="K304" s="257">
        <f t="shared" si="127"/>
        <v>0.12513253810470512</v>
      </c>
      <c r="L304" s="257">
        <f t="shared" si="127"/>
        <v>0.1081903874458944</v>
      </c>
      <c r="M304" s="257">
        <f t="shared" si="127"/>
        <v>9.7487385541526625E-2</v>
      </c>
      <c r="N304" s="257">
        <f t="shared" si="127"/>
        <v>0.1106160136067918</v>
      </c>
      <c r="O304" s="257">
        <f t="shared" si="127"/>
        <v>0.11607853900762524</v>
      </c>
      <c r="P304" s="257">
        <f t="shared" si="127"/>
        <v>0.12965545074872573</v>
      </c>
      <c r="Q304" s="257">
        <f t="shared" si="127"/>
        <v>0.11147074006100489</v>
      </c>
      <c r="R304" s="257">
        <f t="shared" si="127"/>
        <v>0.42825385945074657</v>
      </c>
      <c r="S304" s="257">
        <f t="shared" si="127"/>
        <v>0.20577644654737109</v>
      </c>
      <c r="T304" s="257">
        <f t="shared" si="127"/>
        <v>0.24549742161606808</v>
      </c>
      <c r="U304" s="257">
        <f t="shared" si="127"/>
        <v>0.10220905876171796</v>
      </c>
      <c r="V304" s="257">
        <f t="shared" si="127"/>
        <v>0.11797215160159076</v>
      </c>
      <c r="W304" s="257">
        <f t="shared" si="127"/>
        <v>0.12191864157502416</v>
      </c>
      <c r="X304" s="257">
        <f t="shared" si="127"/>
        <v>0.12202014049837855</v>
      </c>
      <c r="Y304" s="257">
        <f t="shared" si="127"/>
        <v>0.12369209489500321</v>
      </c>
      <c r="Z304" s="257">
        <f t="shared" si="127"/>
        <v>0.11935318842699262</v>
      </c>
      <c r="AA304" s="257">
        <f t="shared" si="127"/>
        <v>0.12500276812796107</v>
      </c>
      <c r="AB304" s="257">
        <f t="shared" si="127"/>
        <v>0.12762155172401007</v>
      </c>
      <c r="AC304" s="257">
        <f t="shared" si="127"/>
        <v>0.12846779654701804</v>
      </c>
      <c r="AD304" s="258">
        <f t="shared" si="127"/>
        <v>0.13877929753114482</v>
      </c>
      <c r="AE304" s="171">
        <f t="shared" si="127"/>
        <v>0.11960164100725268</v>
      </c>
      <c r="AF304" s="169">
        <f t="shared" si="127"/>
        <v>0.21573186633781333</v>
      </c>
      <c r="AG304" s="169">
        <f t="shared" si="127"/>
        <v>0.25621274618852335</v>
      </c>
      <c r="AH304" s="172">
        <f t="shared" si="127"/>
        <v>0.43607356634340894</v>
      </c>
      <c r="AI304" s="170">
        <f t="shared" si="127"/>
        <v>0.43795530761220186</v>
      </c>
    </row>
    <row r="305" spans="1:44" s="179" customFormat="1" ht="19.5" customHeight="1">
      <c r="A305" s="180"/>
      <c r="B305" s="262" t="s">
        <v>135</v>
      </c>
      <c r="C305" s="182"/>
      <c r="D305" s="183">
        <f>+D307-D306</f>
        <v>0</v>
      </c>
      <c r="E305" s="184">
        <f>+E307-E306</f>
        <v>-246.17923758583183</v>
      </c>
      <c r="F305" s="184">
        <f t="shared" ref="F305:AD305" si="128">+F307-F306</f>
        <v>-258.65648872739047</v>
      </c>
      <c r="G305" s="184">
        <f t="shared" si="128"/>
        <v>-177.30175744009122</v>
      </c>
      <c r="H305" s="184">
        <f t="shared" si="128"/>
        <v>-129.4045062107719</v>
      </c>
      <c r="I305" s="184">
        <f t="shared" si="128"/>
        <v>-123.51420418785672</v>
      </c>
      <c r="J305" s="184">
        <f t="shared" si="128"/>
        <v>-122.53920357651918</v>
      </c>
      <c r="K305" s="184">
        <f t="shared" si="128"/>
        <v>-62.475368447907975</v>
      </c>
      <c r="L305" s="184">
        <f t="shared" si="128"/>
        <v>-66.002110727998712</v>
      </c>
      <c r="M305" s="184">
        <f t="shared" si="128"/>
        <v>-106.67664414306579</v>
      </c>
      <c r="N305" s="184">
        <f t="shared" si="128"/>
        <v>-95.010815538681229</v>
      </c>
      <c r="O305" s="184">
        <f t="shared" si="128"/>
        <v>-87.794829264418979</v>
      </c>
      <c r="P305" s="184">
        <f t="shared" si="128"/>
        <v>-92.017741286338733</v>
      </c>
      <c r="Q305" s="184">
        <f t="shared" si="128"/>
        <v>-1567.5729071368728</v>
      </c>
      <c r="R305" s="184">
        <f t="shared" si="128"/>
        <v>-227.27</v>
      </c>
      <c r="S305" s="184">
        <f t="shared" si="128"/>
        <v>-315.39999999999998</v>
      </c>
      <c r="T305" s="184">
        <f t="shared" si="128"/>
        <v>-284.97000000000003</v>
      </c>
      <c r="U305" s="184">
        <f t="shared" si="128"/>
        <v>-318.02</v>
      </c>
      <c r="V305" s="184">
        <f t="shared" si="128"/>
        <v>-313.13</v>
      </c>
      <c r="W305" s="184">
        <f t="shared" si="128"/>
        <v>-277.07</v>
      </c>
      <c r="X305" s="184">
        <f t="shared" si="128"/>
        <v>-62.475368447907975</v>
      </c>
      <c r="Y305" s="184">
        <f t="shared" si="128"/>
        <v>-66.002110727998712</v>
      </c>
      <c r="Z305" s="184">
        <f t="shared" si="128"/>
        <v>-106.67664414306579</v>
      </c>
      <c r="AA305" s="184">
        <f t="shared" si="128"/>
        <v>-95.010815538681229</v>
      </c>
      <c r="AB305" s="184">
        <f>+AB307-AB306</f>
        <v>-87.794829264418979</v>
      </c>
      <c r="AC305" s="184">
        <f t="shared" si="128"/>
        <v>-92.017741286338733</v>
      </c>
      <c r="AD305" s="185">
        <f t="shared" si="128"/>
        <v>-2245.8375094084113</v>
      </c>
      <c r="AE305" s="193">
        <f>+AE307-AE306</f>
        <v>0</v>
      </c>
      <c r="AF305" s="194">
        <f>+AF307-AF306</f>
        <v>0</v>
      </c>
      <c r="AG305" s="194">
        <f>+AG307-AG306</f>
        <v>0</v>
      </c>
      <c r="AH305" s="195">
        <f>+AH307-AH306</f>
        <v>0</v>
      </c>
      <c r="AI305" s="196">
        <f>+AI307-AI306</f>
        <v>0</v>
      </c>
    </row>
    <row r="306" spans="1:44" s="179" customFormat="1" ht="19.5" customHeight="1" outlineLevel="1">
      <c r="A306" s="180"/>
      <c r="B306" s="181" t="s">
        <v>136</v>
      </c>
      <c r="C306" s="182"/>
      <c r="D306" s="183"/>
      <c r="E306" s="184">
        <v>246.17923758583183</v>
      </c>
      <c r="F306" s="184">
        <v>258.65648872739047</v>
      </c>
      <c r="G306" s="184">
        <v>177.30175744009122</v>
      </c>
      <c r="H306" s="184">
        <v>129.4045062107719</v>
      </c>
      <c r="I306" s="184">
        <v>123.51420418785672</v>
      </c>
      <c r="J306" s="184">
        <v>122.53920357651918</v>
      </c>
      <c r="K306" s="184">
        <v>62.475368447907975</v>
      </c>
      <c r="L306" s="184">
        <v>66.002110727998712</v>
      </c>
      <c r="M306" s="184">
        <v>106.67664414306579</v>
      </c>
      <c r="N306" s="184">
        <v>95.010815538681229</v>
      </c>
      <c r="O306" s="184">
        <v>87.794829264418979</v>
      </c>
      <c r="P306" s="184">
        <v>92.017741286338733</v>
      </c>
      <c r="Q306" s="184">
        <f>SUM(E306:P306)</f>
        <v>1567.5729071368728</v>
      </c>
      <c r="R306" s="184">
        <v>227.27</v>
      </c>
      <c r="S306" s="184">
        <v>315.39999999999998</v>
      </c>
      <c r="T306" s="184">
        <v>284.97000000000003</v>
      </c>
      <c r="U306" s="184">
        <v>318.02</v>
      </c>
      <c r="V306" s="184">
        <v>313.13</v>
      </c>
      <c r="W306" s="184">
        <v>277.07</v>
      </c>
      <c r="X306" s="184">
        <v>62.475368447907975</v>
      </c>
      <c r="Y306" s="184">
        <v>66.002110727998712</v>
      </c>
      <c r="Z306" s="184">
        <v>106.67664414306579</v>
      </c>
      <c r="AA306" s="184">
        <v>95.010815538681229</v>
      </c>
      <c r="AB306" s="184">
        <v>87.794829264418979</v>
      </c>
      <c r="AC306" s="184">
        <v>92.017741286338733</v>
      </c>
      <c r="AD306" s="185">
        <f>SUM(R306:AC306)</f>
        <v>2245.8375094084113</v>
      </c>
      <c r="AE306" s="186"/>
      <c r="AF306" s="184"/>
      <c r="AG306" s="184"/>
      <c r="AH306" s="187"/>
      <c r="AI306" s="185"/>
    </row>
    <row r="307" spans="1:44" s="179" customFormat="1" ht="19.5" customHeight="1" outlineLevel="1">
      <c r="A307" s="180"/>
      <c r="B307" s="181" t="s">
        <v>137</v>
      </c>
      <c r="C307" s="182"/>
      <c r="D307" s="183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  <c r="AC307" s="184"/>
      <c r="AD307" s="185">
        <f>SUM(R307:AC307)</f>
        <v>0</v>
      </c>
      <c r="AE307" s="186"/>
      <c r="AF307" s="184"/>
      <c r="AG307" s="184"/>
      <c r="AH307" s="187"/>
      <c r="AI307" s="185"/>
    </row>
    <row r="308" spans="1:44" s="179" customFormat="1" ht="19.5" customHeight="1">
      <c r="A308" s="180"/>
      <c r="B308" s="262" t="s">
        <v>138</v>
      </c>
      <c r="C308" s="182"/>
      <c r="D308" s="183"/>
      <c r="E308" s="184">
        <f t="shared" ref="E308:AD308" si="129">+SUM(E309:E313)</f>
        <v>0</v>
      </c>
      <c r="F308" s="184">
        <f t="shared" si="129"/>
        <v>0</v>
      </c>
      <c r="G308" s="184">
        <f t="shared" si="129"/>
        <v>0</v>
      </c>
      <c r="H308" s="184">
        <f t="shared" si="129"/>
        <v>0</v>
      </c>
      <c r="I308" s="184">
        <f t="shared" si="129"/>
        <v>0</v>
      </c>
      <c r="J308" s="184">
        <f t="shared" si="129"/>
        <v>0</v>
      </c>
      <c r="K308" s="184">
        <f t="shared" si="129"/>
        <v>0</v>
      </c>
      <c r="L308" s="184">
        <f t="shared" si="129"/>
        <v>0</v>
      </c>
      <c r="M308" s="184">
        <f t="shared" si="129"/>
        <v>0</v>
      </c>
      <c r="N308" s="184">
        <f t="shared" si="129"/>
        <v>0</v>
      </c>
      <c r="O308" s="184">
        <f t="shared" si="129"/>
        <v>0</v>
      </c>
      <c r="P308" s="184">
        <f t="shared" si="129"/>
        <v>0</v>
      </c>
      <c r="Q308" s="184">
        <f t="shared" si="129"/>
        <v>0</v>
      </c>
      <c r="R308" s="184">
        <f t="shared" si="129"/>
        <v>0</v>
      </c>
      <c r="S308" s="184">
        <f t="shared" si="129"/>
        <v>0</v>
      </c>
      <c r="T308" s="184">
        <f t="shared" si="129"/>
        <v>0</v>
      </c>
      <c r="U308" s="184">
        <f t="shared" si="129"/>
        <v>0</v>
      </c>
      <c r="V308" s="184">
        <f t="shared" si="129"/>
        <v>0.42</v>
      </c>
      <c r="W308" s="184">
        <f t="shared" si="129"/>
        <v>0</v>
      </c>
      <c r="X308" s="184">
        <f t="shared" si="129"/>
        <v>0</v>
      </c>
      <c r="Y308" s="184">
        <f t="shared" si="129"/>
        <v>0</v>
      </c>
      <c r="Z308" s="184">
        <f t="shared" si="129"/>
        <v>0</v>
      </c>
      <c r="AA308" s="184">
        <f t="shared" si="129"/>
        <v>0</v>
      </c>
      <c r="AB308" s="184">
        <f>+SUM(AB309:AB313)</f>
        <v>0</v>
      </c>
      <c r="AC308" s="184">
        <f t="shared" si="129"/>
        <v>0</v>
      </c>
      <c r="AD308" s="185">
        <f t="shared" si="129"/>
        <v>0.42</v>
      </c>
      <c r="AE308" s="193">
        <f>+SUM(AE309:AE313)</f>
        <v>0</v>
      </c>
      <c r="AF308" s="194">
        <f>+SUM(AF309:AF313)</f>
        <v>0</v>
      </c>
      <c r="AG308" s="194">
        <f>+SUM(AG309:AG313)</f>
        <v>0</v>
      </c>
      <c r="AH308" s="195">
        <f>+SUM(AH309:AH313)</f>
        <v>0</v>
      </c>
      <c r="AI308" s="196">
        <f>+SUM(AI309:AI313)</f>
        <v>0</v>
      </c>
    </row>
    <row r="309" spans="1:44" s="179" customFormat="1" ht="19.5" hidden="1" customHeight="1" outlineLevel="1">
      <c r="A309" s="180"/>
      <c r="B309" s="181" t="s">
        <v>139</v>
      </c>
      <c r="C309" s="182"/>
      <c r="D309" s="183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>
        <v>0.42</v>
      </c>
      <c r="W309" s="184"/>
      <c r="X309" s="184"/>
      <c r="Y309" s="184"/>
      <c r="Z309" s="184"/>
      <c r="AA309" s="184"/>
      <c r="AB309" s="184"/>
      <c r="AC309" s="184"/>
      <c r="AD309" s="185">
        <f>SUM(R309:AC309)</f>
        <v>0.42</v>
      </c>
      <c r="AE309" s="186"/>
      <c r="AF309" s="184"/>
      <c r="AG309" s="184"/>
      <c r="AH309" s="187"/>
      <c r="AI309" s="185"/>
    </row>
    <row r="310" spans="1:44" s="179" customFormat="1" ht="19.5" hidden="1" customHeight="1" outlineLevel="1">
      <c r="A310" s="180"/>
      <c r="B310" s="181" t="s">
        <v>140</v>
      </c>
      <c r="C310" s="182"/>
      <c r="D310" s="183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  <c r="AC310" s="184"/>
      <c r="AD310" s="185">
        <f>SUM(R310:AC310)</f>
        <v>0</v>
      </c>
      <c r="AE310" s="186"/>
      <c r="AF310" s="184"/>
      <c r="AG310" s="184"/>
      <c r="AH310" s="187"/>
      <c r="AI310" s="185"/>
    </row>
    <row r="311" spans="1:44" s="179" customFormat="1" ht="19.5" hidden="1" customHeight="1" outlineLevel="1">
      <c r="A311" s="180"/>
      <c r="B311" s="181" t="s">
        <v>141</v>
      </c>
      <c r="C311" s="182"/>
      <c r="D311" s="183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  <c r="AC311" s="184"/>
      <c r="AD311" s="185">
        <f>SUM(R311:AC311)</f>
        <v>0</v>
      </c>
      <c r="AE311" s="186"/>
      <c r="AF311" s="184"/>
      <c r="AG311" s="184"/>
      <c r="AH311" s="187"/>
      <c r="AI311" s="185"/>
    </row>
    <row r="312" spans="1:44" s="179" customFormat="1" ht="19.5" hidden="1" customHeight="1" outlineLevel="1">
      <c r="A312" s="180"/>
      <c r="B312" s="181" t="s">
        <v>142</v>
      </c>
      <c r="C312" s="182"/>
      <c r="D312" s="183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  <c r="AC312" s="184"/>
      <c r="AD312" s="185">
        <f>SUM(R312:AC312)</f>
        <v>0</v>
      </c>
      <c r="AE312" s="186"/>
      <c r="AF312" s="184"/>
      <c r="AG312" s="184"/>
      <c r="AH312" s="187"/>
      <c r="AI312" s="185"/>
    </row>
    <row r="313" spans="1:44" s="179" customFormat="1" ht="19.5" hidden="1" customHeight="1" outlineLevel="1">
      <c r="A313" s="180"/>
      <c r="B313" s="181"/>
      <c r="C313" s="182"/>
      <c r="D313" s="183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  <c r="AC313" s="184"/>
      <c r="AD313" s="185">
        <f>SUM(R313:AC313)</f>
        <v>0</v>
      </c>
      <c r="AE313" s="186"/>
      <c r="AF313" s="184"/>
      <c r="AG313" s="184"/>
      <c r="AH313" s="187"/>
      <c r="AI313" s="185"/>
    </row>
    <row r="314" spans="1:44" s="179" customFormat="1" ht="19.5" customHeight="1" collapsed="1">
      <c r="A314" s="180"/>
      <c r="B314" s="262" t="s">
        <v>143</v>
      </c>
      <c r="C314" s="182"/>
      <c r="D314" s="183">
        <f>+SUM(D315:D319)</f>
        <v>0</v>
      </c>
      <c r="E314" s="184">
        <f t="shared" ref="E314:AD314" si="130">+SUM(E315:E319)</f>
        <v>0</v>
      </c>
      <c r="F314" s="184">
        <f t="shared" si="130"/>
        <v>0</v>
      </c>
      <c r="G314" s="184">
        <f t="shared" si="130"/>
        <v>0</v>
      </c>
      <c r="H314" s="184">
        <f t="shared" si="130"/>
        <v>0</v>
      </c>
      <c r="I314" s="184">
        <f t="shared" si="130"/>
        <v>0</v>
      </c>
      <c r="J314" s="184">
        <f t="shared" si="130"/>
        <v>0</v>
      </c>
      <c r="K314" s="184">
        <f t="shared" si="130"/>
        <v>0</v>
      </c>
      <c r="L314" s="184">
        <f t="shared" si="130"/>
        <v>0</v>
      </c>
      <c r="M314" s="184">
        <f t="shared" si="130"/>
        <v>0</v>
      </c>
      <c r="N314" s="184">
        <f t="shared" si="130"/>
        <v>0</v>
      </c>
      <c r="O314" s="184">
        <f t="shared" si="130"/>
        <v>0</v>
      </c>
      <c r="P314" s="184">
        <f t="shared" si="130"/>
        <v>0</v>
      </c>
      <c r="Q314" s="184">
        <f t="shared" si="130"/>
        <v>0</v>
      </c>
      <c r="R314" s="184">
        <f t="shared" si="130"/>
        <v>0</v>
      </c>
      <c r="S314" s="184">
        <f t="shared" si="130"/>
        <v>0.53</v>
      </c>
      <c r="T314" s="184">
        <f t="shared" si="130"/>
        <v>0</v>
      </c>
      <c r="U314" s="184">
        <f t="shared" si="130"/>
        <v>0</v>
      </c>
      <c r="V314" s="184">
        <f t="shared" si="130"/>
        <v>0</v>
      </c>
      <c r="W314" s="184">
        <f t="shared" si="130"/>
        <v>0</v>
      </c>
      <c r="X314" s="184">
        <f t="shared" si="130"/>
        <v>0</v>
      </c>
      <c r="Y314" s="184">
        <f t="shared" si="130"/>
        <v>0</v>
      </c>
      <c r="Z314" s="184">
        <f t="shared" si="130"/>
        <v>0</v>
      </c>
      <c r="AA314" s="184">
        <f t="shared" si="130"/>
        <v>0</v>
      </c>
      <c r="AB314" s="184">
        <f t="shared" si="130"/>
        <v>0</v>
      </c>
      <c r="AC314" s="184">
        <f t="shared" si="130"/>
        <v>0</v>
      </c>
      <c r="AD314" s="185">
        <f t="shared" si="130"/>
        <v>0.53</v>
      </c>
      <c r="AE314" s="193">
        <f>+SUM(AE315:AE319)</f>
        <v>0</v>
      </c>
      <c r="AF314" s="194">
        <f>+SUM(AF315:AF319)</f>
        <v>0</v>
      </c>
      <c r="AG314" s="194">
        <f>+SUM(AG315:AG319)</f>
        <v>0</v>
      </c>
      <c r="AH314" s="195">
        <f>+SUM(AH315:AH319)</f>
        <v>0</v>
      </c>
      <c r="AI314" s="196">
        <f>+SUM(AI315:AI319)</f>
        <v>0</v>
      </c>
    </row>
    <row r="315" spans="1:44" s="179" customFormat="1" ht="19.5" hidden="1" customHeight="1" outlineLevel="1">
      <c r="A315" s="180"/>
      <c r="B315" s="181" t="s">
        <v>144</v>
      </c>
      <c r="C315" s="182"/>
      <c r="D315" s="183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>
        <v>0.53</v>
      </c>
      <c r="T315" s="184"/>
      <c r="U315" s="184"/>
      <c r="V315" s="184"/>
      <c r="W315" s="184"/>
      <c r="X315" s="184"/>
      <c r="Y315" s="184"/>
      <c r="Z315" s="184"/>
      <c r="AA315" s="184"/>
      <c r="AB315" s="184"/>
      <c r="AC315" s="184"/>
      <c r="AD315" s="185">
        <f>SUM(R315:AC315)</f>
        <v>0.53</v>
      </c>
      <c r="AE315" s="186"/>
      <c r="AF315" s="184"/>
      <c r="AG315" s="184"/>
      <c r="AH315" s="187"/>
      <c r="AI315" s="185"/>
    </row>
    <row r="316" spans="1:44" s="179" customFormat="1" ht="19.5" hidden="1" customHeight="1" outlineLevel="1">
      <c r="A316" s="180"/>
      <c r="B316" s="181" t="s">
        <v>145</v>
      </c>
      <c r="C316" s="182"/>
      <c r="D316" s="183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  <c r="AC316" s="184"/>
      <c r="AD316" s="185">
        <f>SUM(R316:AC316)</f>
        <v>0</v>
      </c>
      <c r="AE316" s="186"/>
      <c r="AF316" s="184"/>
      <c r="AG316" s="184"/>
      <c r="AH316" s="187"/>
      <c r="AI316" s="185"/>
    </row>
    <row r="317" spans="1:44" s="179" customFormat="1" ht="19.5" hidden="1" customHeight="1" outlineLevel="1">
      <c r="A317" s="180"/>
      <c r="B317" s="181" t="s">
        <v>146</v>
      </c>
      <c r="C317" s="182"/>
      <c r="D317" s="183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  <c r="AC317" s="184"/>
      <c r="AD317" s="185">
        <f>SUM(R317:AC317)</f>
        <v>0</v>
      </c>
      <c r="AE317" s="186"/>
      <c r="AF317" s="184"/>
      <c r="AG317" s="184"/>
      <c r="AH317" s="187"/>
      <c r="AI317" s="185"/>
    </row>
    <row r="318" spans="1:44" s="179" customFormat="1" ht="19.5" hidden="1" customHeight="1" outlineLevel="1">
      <c r="A318" s="180"/>
      <c r="B318" s="181" t="s">
        <v>147</v>
      </c>
      <c r="C318" s="182"/>
      <c r="D318" s="183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  <c r="AC318" s="184"/>
      <c r="AD318" s="185">
        <f>SUM(R318:AC318)</f>
        <v>0</v>
      </c>
      <c r="AE318" s="186"/>
      <c r="AF318" s="184"/>
      <c r="AG318" s="184"/>
      <c r="AH318" s="187"/>
      <c r="AI318" s="185"/>
    </row>
    <row r="319" spans="1:44" s="179" customFormat="1" ht="19.5" hidden="1" customHeight="1" outlineLevel="1">
      <c r="A319" s="180"/>
      <c r="B319" s="181"/>
      <c r="C319" s="182"/>
      <c r="D319" s="183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  <c r="AC319" s="184"/>
      <c r="AD319" s="185">
        <f>SUM(R319:AC319)</f>
        <v>0</v>
      </c>
      <c r="AE319" s="186"/>
      <c r="AF319" s="184"/>
      <c r="AG319" s="184"/>
      <c r="AH319" s="187"/>
      <c r="AI319" s="185"/>
    </row>
    <row r="320" spans="1:44" s="179" customFormat="1" ht="19.5" customHeight="1" collapsed="1">
      <c r="A320" s="253"/>
      <c r="B320" s="245" t="s">
        <v>148</v>
      </c>
      <c r="C320" s="246"/>
      <c r="D320" s="44">
        <f>+D303-D305+D308-D314</f>
        <v>7469.1907421061487</v>
      </c>
      <c r="E320" s="247">
        <f>+E303-E305+E308-E314</f>
        <v>146.12923758583187</v>
      </c>
      <c r="F320" s="247">
        <f t="shared" ref="F320:AD320" si="131">+F303-F305+F308-F314</f>
        <v>388.8064887273901</v>
      </c>
      <c r="G320" s="247">
        <f t="shared" si="131"/>
        <v>627.20175744009089</v>
      </c>
      <c r="H320" s="247">
        <f t="shared" si="131"/>
        <v>684.35450621077166</v>
      </c>
      <c r="I320" s="247">
        <f t="shared" si="131"/>
        <v>1127.0642041878568</v>
      </c>
      <c r="J320" s="247">
        <f t="shared" si="131"/>
        <v>1576.8892035765195</v>
      </c>
      <c r="K320" s="247">
        <f t="shared" si="131"/>
        <v>1573.0753684479084</v>
      </c>
      <c r="L320" s="247">
        <f t="shared" si="131"/>
        <v>902.8197936488574</v>
      </c>
      <c r="M320" s="247">
        <f t="shared" si="131"/>
        <v>725.52359622663187</v>
      </c>
      <c r="N320" s="247">
        <f t="shared" si="131"/>
        <v>1091.6581535489429</v>
      </c>
      <c r="O320" s="247">
        <f t="shared" si="131"/>
        <v>1334.2364213868252</v>
      </c>
      <c r="P320" s="247">
        <f t="shared" si="131"/>
        <v>2541.0279199638435</v>
      </c>
      <c r="Q320" s="247">
        <f t="shared" si="131"/>
        <v>12718.786650951461</v>
      </c>
      <c r="R320" s="247">
        <f t="shared" si="131"/>
        <v>1238.0898607317363</v>
      </c>
      <c r="S320" s="247">
        <f t="shared" si="131"/>
        <v>1471.0205084742499</v>
      </c>
      <c r="T320" s="247">
        <f t="shared" si="131"/>
        <v>1130.5873931199267</v>
      </c>
      <c r="U320" s="247">
        <f t="shared" si="131"/>
        <v>853.15025396822978</v>
      </c>
      <c r="V320" s="247">
        <f t="shared" si="131"/>
        <v>1260.229315745489</v>
      </c>
      <c r="W320" s="247">
        <f t="shared" si="131"/>
        <v>1188.9299999999994</v>
      </c>
      <c r="X320" s="247">
        <f t="shared" si="131"/>
        <v>1270.1910058935016</v>
      </c>
      <c r="Y320" s="247">
        <f t="shared" si="131"/>
        <v>1289.432386363658</v>
      </c>
      <c r="Z320" s="247">
        <f t="shared" si="131"/>
        <v>1123.2533846039289</v>
      </c>
      <c r="AA320" s="247">
        <f t="shared" si="131"/>
        <v>1525.8554658008422</v>
      </c>
      <c r="AB320" s="247">
        <f>+AB303-AB305+AB308-AB314</f>
        <v>1789.9513343742558</v>
      </c>
      <c r="AC320" s="247">
        <f t="shared" si="131"/>
        <v>2031.2485054977835</v>
      </c>
      <c r="AD320" s="48">
        <f t="shared" si="131"/>
        <v>16171.939414573599</v>
      </c>
      <c r="AE320" s="167">
        <f>+AE303-AE305+AE308-AE314</f>
        <v>20111.74448024435</v>
      </c>
      <c r="AF320" s="165">
        <f>+AF303-AF305+AF308-AF314</f>
        <v>92635.8938192153</v>
      </c>
      <c r="AG320" s="165">
        <f>+AG303-AG305+AG308-AG314</f>
        <v>155571.10960785503</v>
      </c>
      <c r="AH320" s="168">
        <f>+AH303-AH305+AH308-AH314</f>
        <v>331051.38481675234</v>
      </c>
      <c r="AI320" s="166">
        <f>+AI303-AI305+AI308-AI314</f>
        <v>158938.02286389991</v>
      </c>
      <c r="AR320" s="319">
        <f>AD320/Q320</f>
        <v>1.2715001720202466</v>
      </c>
    </row>
    <row r="321" spans="1:35" s="179" customFormat="1" ht="19.5" customHeight="1" thickBot="1">
      <c r="A321" s="266"/>
      <c r="B321" s="267" t="s">
        <v>149</v>
      </c>
      <c r="C321" s="268"/>
      <c r="D321" s="64">
        <f t="shared" ref="D321:AI321" si="132">+D320/D6</f>
        <v>0.14177786331237785</v>
      </c>
      <c r="E321" s="269">
        <f t="shared" si="132"/>
        <v>0.11266710685106544</v>
      </c>
      <c r="F321" s="269">
        <f t="shared" si="132"/>
        <v>0.13556711601373433</v>
      </c>
      <c r="G321" s="269">
        <f t="shared" si="132"/>
        <v>0.12627375829275034</v>
      </c>
      <c r="H321" s="269">
        <f t="shared" si="132"/>
        <v>0.11987292103884598</v>
      </c>
      <c r="I321" s="269">
        <f t="shared" si="132"/>
        <v>0.12954760967676515</v>
      </c>
      <c r="J321" s="269">
        <f t="shared" si="132"/>
        <v>0.13471928266352154</v>
      </c>
      <c r="K321" s="269">
        <f t="shared" si="132"/>
        <v>0.13030776743272932</v>
      </c>
      <c r="L321" s="269">
        <f t="shared" si="132"/>
        <v>0.11672366067571494</v>
      </c>
      <c r="M321" s="269">
        <f t="shared" si="132"/>
        <v>0.11429223058574521</v>
      </c>
      <c r="N321" s="269">
        <f t="shared" si="132"/>
        <v>0.12116108533236435</v>
      </c>
      <c r="O321" s="269">
        <f t="shared" si="132"/>
        <v>0.12425469068440341</v>
      </c>
      <c r="P321" s="269">
        <f t="shared" si="132"/>
        <v>0.13452705227461342</v>
      </c>
      <c r="Q321" s="269">
        <f t="shared" si="132"/>
        <v>0.12714064972936301</v>
      </c>
      <c r="R321" s="269">
        <f t="shared" si="132"/>
        <v>0.52454129741908462</v>
      </c>
      <c r="S321" s="269">
        <f t="shared" si="132"/>
        <v>0.26181831069002204</v>
      </c>
      <c r="T321" s="269">
        <f t="shared" si="132"/>
        <v>0.32822916389943563</v>
      </c>
      <c r="U321" s="269">
        <f t="shared" si="132"/>
        <v>0.16295039159865995</v>
      </c>
      <c r="V321" s="269">
        <f t="shared" si="132"/>
        <v>0.157045750780791</v>
      </c>
      <c r="W321" s="269">
        <f t="shared" si="132"/>
        <v>0.15896379984624118</v>
      </c>
      <c r="X321" s="269">
        <f t="shared" si="132"/>
        <v>0.12833226646523732</v>
      </c>
      <c r="Y321" s="269">
        <f t="shared" si="132"/>
        <v>0.13036508599716992</v>
      </c>
      <c r="Z321" s="269">
        <f t="shared" si="132"/>
        <v>0.13187776930948894</v>
      </c>
      <c r="AA321" s="269">
        <f t="shared" si="132"/>
        <v>0.1333031904989391</v>
      </c>
      <c r="AB321" s="269">
        <f t="shared" si="132"/>
        <v>0.13420409117348722</v>
      </c>
      <c r="AC321" s="269">
        <f t="shared" si="132"/>
        <v>0.13456367574017661</v>
      </c>
      <c r="AD321" s="67">
        <f t="shared" si="132"/>
        <v>0.16115871329218698</v>
      </c>
      <c r="AE321" s="199">
        <f t="shared" si="132"/>
        <v>0.11960164100725268</v>
      </c>
      <c r="AF321" s="197">
        <f t="shared" si="132"/>
        <v>0.21573186633781333</v>
      </c>
      <c r="AG321" s="197">
        <f t="shared" si="132"/>
        <v>0.25621274618852335</v>
      </c>
      <c r="AH321" s="200">
        <f t="shared" si="132"/>
        <v>0.43607356634340894</v>
      </c>
      <c r="AI321" s="198">
        <f t="shared" si="132"/>
        <v>0.43795530761220186</v>
      </c>
    </row>
    <row r="322" spans="1:35" s="9" customFormat="1" ht="18.75">
      <c r="A322" s="201"/>
      <c r="B322" s="201"/>
      <c r="C322" s="201"/>
      <c r="AE322" s="202"/>
      <c r="AF322" s="202"/>
      <c r="AG322" s="202"/>
      <c r="AH322" s="202"/>
      <c r="AI322" s="202"/>
    </row>
    <row r="323" spans="1:35" s="9" customFormat="1" ht="18.75">
      <c r="A323" s="201"/>
      <c r="B323" s="201"/>
      <c r="C323" s="201"/>
      <c r="AE323" s="202"/>
      <c r="AF323" s="202"/>
      <c r="AG323" s="202"/>
      <c r="AH323" s="202"/>
      <c r="AI323" s="202"/>
    </row>
    <row r="324" spans="1:35" s="9" customFormat="1" ht="18.75">
      <c r="A324" s="201"/>
      <c r="B324" s="201"/>
      <c r="C324" s="201"/>
      <c r="Q324" s="10"/>
      <c r="AE324" s="202"/>
      <c r="AF324" s="202"/>
      <c r="AG324" s="202"/>
      <c r="AH324" s="202"/>
      <c r="AI324" s="202"/>
    </row>
    <row r="325" spans="1:35" s="9" customFormat="1" ht="19.5">
      <c r="A325" s="201"/>
      <c r="B325" s="201"/>
      <c r="C325" s="201"/>
      <c r="D325" s="203" t="s">
        <v>150</v>
      </c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202"/>
      <c r="AF325" s="202"/>
      <c r="AG325" s="202"/>
      <c r="AH325" s="202"/>
      <c r="AI325" s="202"/>
    </row>
    <row r="326" spans="1:35" s="9" customFormat="1" ht="19.5">
      <c r="A326" s="201"/>
      <c r="B326" s="201"/>
      <c r="C326" s="201"/>
      <c r="D326" s="204" t="s">
        <v>151</v>
      </c>
      <c r="E326" s="204">
        <f>E256*E325/1000</f>
        <v>0</v>
      </c>
      <c r="F326" s="204">
        <f t="shared" ref="F326:P326" si="133">F256*F325/1000</f>
        <v>0</v>
      </c>
      <c r="G326" s="204">
        <f t="shared" si="133"/>
        <v>0</v>
      </c>
      <c r="H326" s="204">
        <f t="shared" si="133"/>
        <v>0</v>
      </c>
      <c r="I326" s="204">
        <f t="shared" si="133"/>
        <v>0</v>
      </c>
      <c r="J326" s="204">
        <f t="shared" si="133"/>
        <v>0</v>
      </c>
      <c r="K326" s="204">
        <f t="shared" si="133"/>
        <v>0</v>
      </c>
      <c r="L326" s="204">
        <f t="shared" si="133"/>
        <v>0</v>
      </c>
      <c r="M326" s="204">
        <f t="shared" si="133"/>
        <v>0</v>
      </c>
      <c r="N326" s="204">
        <f t="shared" si="133"/>
        <v>0</v>
      </c>
      <c r="O326" s="204">
        <f t="shared" si="133"/>
        <v>0</v>
      </c>
      <c r="P326" s="204">
        <f t="shared" si="133"/>
        <v>0</v>
      </c>
      <c r="Q326" s="205">
        <f>SUM(E326:P326)</f>
        <v>0</v>
      </c>
      <c r="R326" s="204">
        <f t="shared" ref="R326:AC326" si="134">R256*R325/1000</f>
        <v>0</v>
      </c>
      <c r="S326" s="204">
        <f t="shared" si="134"/>
        <v>0</v>
      </c>
      <c r="T326" s="204">
        <f t="shared" si="134"/>
        <v>0</v>
      </c>
      <c r="U326" s="204">
        <f t="shared" si="134"/>
        <v>0</v>
      </c>
      <c r="V326" s="204">
        <f t="shared" si="134"/>
        <v>0</v>
      </c>
      <c r="W326" s="204">
        <f t="shared" si="134"/>
        <v>0</v>
      </c>
      <c r="X326" s="204">
        <f t="shared" si="134"/>
        <v>0</v>
      </c>
      <c r="Y326" s="204">
        <f t="shared" si="134"/>
        <v>0</v>
      </c>
      <c r="Z326" s="204">
        <f t="shared" si="134"/>
        <v>0</v>
      </c>
      <c r="AA326" s="204">
        <f t="shared" si="134"/>
        <v>0</v>
      </c>
      <c r="AB326" s="204">
        <f t="shared" si="134"/>
        <v>0</v>
      </c>
      <c r="AC326" s="204">
        <f t="shared" si="134"/>
        <v>0</v>
      </c>
      <c r="AD326" s="205">
        <f>SUM(R326:AC326)</f>
        <v>0</v>
      </c>
      <c r="AE326" s="202"/>
      <c r="AF326" s="202"/>
      <c r="AG326" s="202"/>
      <c r="AH326" s="202"/>
      <c r="AI326" s="202"/>
    </row>
    <row r="327" spans="1:35" s="9" customFormat="1" ht="18.75">
      <c r="A327" s="201"/>
      <c r="B327" s="201"/>
      <c r="C327" s="201"/>
      <c r="AD327" s="206" t="e">
        <f>AD326/Q326</f>
        <v>#DIV/0!</v>
      </c>
      <c r="AE327" s="202"/>
      <c r="AF327" s="202"/>
      <c r="AG327" s="202"/>
      <c r="AH327" s="202"/>
      <c r="AI327" s="202"/>
    </row>
    <row r="328" spans="1:35" s="9" customFormat="1" ht="18.75">
      <c r="A328" s="201"/>
      <c r="B328" s="201"/>
      <c r="C328" s="201"/>
      <c r="T328" s="207"/>
      <c r="U328" s="207"/>
      <c r="AA328" s="208"/>
      <c r="AB328" s="208"/>
      <c r="AC328" s="208"/>
      <c r="AD328" s="208"/>
      <c r="AE328" s="208"/>
      <c r="AF328" s="208"/>
      <c r="AG328" s="202"/>
      <c r="AH328" s="202"/>
      <c r="AI328" s="202"/>
    </row>
    <row r="329" spans="1:35" s="9" customFormat="1" ht="18.75">
      <c r="A329" s="201"/>
      <c r="B329" s="201"/>
      <c r="C329" s="201"/>
      <c r="T329" s="207"/>
      <c r="U329" s="207"/>
      <c r="W329" s="207"/>
      <c r="X329" s="207"/>
      <c r="AE329" s="202"/>
      <c r="AF329" s="202"/>
      <c r="AG329" s="202"/>
      <c r="AH329" s="202"/>
      <c r="AI329" s="202"/>
    </row>
    <row r="330" spans="1:35" s="9" customFormat="1" ht="18.75">
      <c r="A330" s="201"/>
      <c r="B330" s="201"/>
      <c r="C330" s="201"/>
      <c r="D330" s="11" t="s">
        <v>152</v>
      </c>
      <c r="E330" s="9">
        <f>E16+E21+E31+E36+E46+E51+E56+E61+E71+E176+E251</f>
        <v>587</v>
      </c>
      <c r="F330" s="9">
        <f t="shared" ref="F330:P330" si="135">F16+F21+F31+F36+F46+F51+F56+F61+F71+F176+F251</f>
        <v>2714</v>
      </c>
      <c r="G330" s="9">
        <f t="shared" si="135"/>
        <v>3879</v>
      </c>
      <c r="H330" s="9">
        <f t="shared" si="135"/>
        <v>5253</v>
      </c>
      <c r="I330" s="9">
        <f t="shared" si="135"/>
        <v>7464</v>
      </c>
      <c r="J330" s="9">
        <f t="shared" si="135"/>
        <v>10469</v>
      </c>
      <c r="K330" s="9">
        <f t="shared" si="135"/>
        <v>10836</v>
      </c>
      <c r="L330" s="9">
        <f t="shared" si="135"/>
        <v>6498.6768292085835</v>
      </c>
      <c r="M330" s="9">
        <f t="shared" si="135"/>
        <v>5668.9695208356607</v>
      </c>
      <c r="N330" s="9">
        <f t="shared" si="135"/>
        <v>6458.9733801026041</v>
      </c>
      <c r="O330" s="9">
        <f t="shared" si="135"/>
        <v>9119.915921224052</v>
      </c>
      <c r="P330" s="9">
        <f t="shared" si="135"/>
        <v>17270.601786775049</v>
      </c>
      <c r="Q330" s="9">
        <f>SUM(E330:P330)</f>
        <v>86219.137438145946</v>
      </c>
      <c r="R330" s="9">
        <f t="shared" ref="R330:Z330" si="136">R16+R21+R31+R36+R46+R51+R56+R61+R71+R176+R251</f>
        <v>300.43302581464241</v>
      </c>
      <c r="S330" s="9">
        <f t="shared" si="136"/>
        <v>4681.7343395937141</v>
      </c>
      <c r="T330" s="9">
        <f t="shared" si="136"/>
        <v>2500.0984221345675</v>
      </c>
      <c r="U330" s="9">
        <f t="shared" si="136"/>
        <v>5174.6209432831292</v>
      </c>
      <c r="V330" s="9">
        <f t="shared" si="136"/>
        <v>7872.1657495156705</v>
      </c>
      <c r="W330" s="9">
        <f t="shared" si="136"/>
        <v>7412.18</v>
      </c>
      <c r="X330" s="9">
        <f t="shared" si="136"/>
        <v>9311.6745356365336</v>
      </c>
      <c r="Y330" s="9">
        <f t="shared" si="136"/>
        <v>9424.9334236288541</v>
      </c>
      <c r="Z330" s="9">
        <f t="shared" si="136"/>
        <v>7671.3823494685685</v>
      </c>
      <c r="AA330" s="9">
        <f>AA16+AA21+AA31+AA36+AA46+AA51+AA56+AA61+AA71+AA176+AA251</f>
        <v>8550.503719001279</v>
      </c>
      <c r="AB330" s="9">
        <f>AB16+AB21+AB31+AB36+AB46+AB51+AB56+AB61+AB71+AB176+AB251</f>
        <v>10441.531804901271</v>
      </c>
      <c r="AC330" s="9">
        <f>AC16+AC21+AC31+AC36+AC46+AC51+AC56+AC61+AC71+AC176+AC251</f>
        <v>11797.072978088356</v>
      </c>
      <c r="AD330" s="9">
        <f>SUM(R330:AC330)</f>
        <v>85138.331291066585</v>
      </c>
      <c r="AE330" s="202"/>
      <c r="AF330" s="202"/>
      <c r="AG330" s="202"/>
      <c r="AH330" s="202"/>
      <c r="AI330" s="202"/>
    </row>
    <row r="331" spans="1:35" s="9" customFormat="1" ht="18.75">
      <c r="A331" s="201"/>
      <c r="B331" s="201"/>
      <c r="C331" s="201"/>
      <c r="D331" s="207" t="s">
        <v>153</v>
      </c>
      <c r="E331" s="9">
        <f>E101+E116+E121+E126+E131+E136+E141+E146+E151+E181+E186+E191+E196</f>
        <v>710</v>
      </c>
      <c r="F331" s="9">
        <f t="shared" ref="F331:P331" si="137">F101+F116+F121+F126+F131+F136+F141+F146+F151+F181+F186+F191+F196</f>
        <v>154</v>
      </c>
      <c r="G331" s="9">
        <f t="shared" si="137"/>
        <v>1088</v>
      </c>
      <c r="H331" s="9">
        <f t="shared" si="137"/>
        <v>456</v>
      </c>
      <c r="I331" s="9">
        <f t="shared" si="137"/>
        <v>1236</v>
      </c>
      <c r="J331" s="9">
        <f t="shared" si="137"/>
        <v>1236</v>
      </c>
      <c r="K331" s="9">
        <f t="shared" si="137"/>
        <v>1236</v>
      </c>
      <c r="L331" s="9">
        <f t="shared" si="137"/>
        <v>1236</v>
      </c>
      <c r="M331" s="9">
        <f t="shared" si="137"/>
        <v>679</v>
      </c>
      <c r="N331" s="9">
        <f t="shared" si="137"/>
        <v>2551</v>
      </c>
      <c r="O331" s="9">
        <f t="shared" si="137"/>
        <v>1618</v>
      </c>
      <c r="P331" s="9">
        <f t="shared" si="137"/>
        <v>1618</v>
      </c>
      <c r="Q331" s="9">
        <f>SUM(E331:P331)</f>
        <v>13818</v>
      </c>
      <c r="R331" s="9">
        <f t="shared" ref="R331:U331" si="138">R101+R116+R121+R126+R131+R136+R141+R146+R151+R181+R186+R191+R196+R26</f>
        <v>2059.8956400569386</v>
      </c>
      <c r="S331" s="9">
        <f t="shared" si="138"/>
        <v>936.74400364124187</v>
      </c>
      <c r="T331" s="9">
        <f t="shared" si="138"/>
        <v>944.40778715011766</v>
      </c>
      <c r="U331" s="9">
        <f t="shared" si="138"/>
        <v>61.023142000834632</v>
      </c>
      <c r="V331" s="9">
        <f>V101+V116+V121+V126+V131+V136+V141+V146+V151+V181+V186+V191+V196+V26</f>
        <v>152.43414879392213</v>
      </c>
      <c r="W331" s="9">
        <f t="shared" ref="W331:AC331" si="139">W101+W116+W121+W126+W131+W136+W141+W146+W151+W181+W186+W191+W196+W26</f>
        <v>67.069999999999993</v>
      </c>
      <c r="X331" s="9">
        <f t="shared" si="139"/>
        <v>586</v>
      </c>
      <c r="Y331" s="9">
        <f t="shared" si="139"/>
        <v>466</v>
      </c>
      <c r="Z331" s="9">
        <f t="shared" si="139"/>
        <v>846</v>
      </c>
      <c r="AA331" s="9">
        <f t="shared" si="139"/>
        <v>2896</v>
      </c>
      <c r="AB331" s="9">
        <f t="shared" si="139"/>
        <v>2896</v>
      </c>
      <c r="AC331" s="9">
        <f t="shared" si="139"/>
        <v>3298</v>
      </c>
      <c r="AD331" s="9">
        <f>SUM(R331:AC331)</f>
        <v>15209.574721643054</v>
      </c>
      <c r="AE331" s="202"/>
      <c r="AF331" s="202"/>
      <c r="AG331" s="202"/>
      <c r="AH331" s="202"/>
      <c r="AI331" s="202"/>
    </row>
    <row r="332" spans="1:35" s="9" customFormat="1" ht="18.75">
      <c r="A332" s="201"/>
      <c r="B332" s="201"/>
      <c r="C332" s="201"/>
      <c r="D332" s="311" t="s">
        <v>155</v>
      </c>
      <c r="E332" s="312">
        <f>SUM(E330:E331)</f>
        <v>1297</v>
      </c>
      <c r="F332" s="312">
        <f t="shared" ref="F332:Q332" si="140">SUM(F330:F331)</f>
        <v>2868</v>
      </c>
      <c r="G332" s="312">
        <f t="shared" si="140"/>
        <v>4967</v>
      </c>
      <c r="H332" s="312">
        <f t="shared" si="140"/>
        <v>5709</v>
      </c>
      <c r="I332" s="312">
        <f t="shared" si="140"/>
        <v>8700</v>
      </c>
      <c r="J332" s="312">
        <f t="shared" si="140"/>
        <v>11705</v>
      </c>
      <c r="K332" s="312">
        <f t="shared" si="140"/>
        <v>12072</v>
      </c>
      <c r="L332" s="312">
        <f t="shared" si="140"/>
        <v>7734.6768292085835</v>
      </c>
      <c r="M332" s="312">
        <f t="shared" si="140"/>
        <v>6347.9695208356607</v>
      </c>
      <c r="N332" s="312">
        <f t="shared" si="140"/>
        <v>9009.973380102605</v>
      </c>
      <c r="O332" s="312">
        <f t="shared" si="140"/>
        <v>10737.915921224052</v>
      </c>
      <c r="P332" s="312">
        <f t="shared" si="140"/>
        <v>18888.601786775049</v>
      </c>
      <c r="Q332" s="312">
        <f t="shared" si="140"/>
        <v>100037.13743814595</v>
      </c>
      <c r="R332" s="312">
        <f>SUM(R330:R331)</f>
        <v>2360.3286658715811</v>
      </c>
      <c r="S332" s="312">
        <f t="shared" ref="S332:AC332" si="141">SUM(S330:S331)</f>
        <v>5618.4783432349559</v>
      </c>
      <c r="T332" s="312">
        <f t="shared" si="141"/>
        <v>3444.5062092846852</v>
      </c>
      <c r="U332" s="312">
        <f t="shared" si="141"/>
        <v>5235.6440852839642</v>
      </c>
      <c r="V332" s="312">
        <f t="shared" si="141"/>
        <v>8024.5998983095924</v>
      </c>
      <c r="W332" s="312">
        <f t="shared" si="141"/>
        <v>7479.25</v>
      </c>
      <c r="X332" s="312">
        <f t="shared" si="141"/>
        <v>9897.6745356365336</v>
      </c>
      <c r="Y332" s="312">
        <f t="shared" si="141"/>
        <v>9890.9334236288541</v>
      </c>
      <c r="Z332" s="312">
        <f t="shared" si="141"/>
        <v>8517.3823494685676</v>
      </c>
      <c r="AA332" s="312">
        <f t="shared" si="141"/>
        <v>11446.503719001279</v>
      </c>
      <c r="AB332" s="312">
        <f t="shared" si="141"/>
        <v>13337.531804901271</v>
      </c>
      <c r="AC332" s="312">
        <f t="shared" si="141"/>
        <v>15095.072978088356</v>
      </c>
      <c r="AD332" s="312">
        <f>SUM(R332:AC332)</f>
        <v>100347.90601270965</v>
      </c>
      <c r="AE332" s="202"/>
      <c r="AF332" s="202"/>
      <c r="AG332" s="202"/>
      <c r="AH332" s="202"/>
      <c r="AI332" s="202"/>
    </row>
    <row r="333" spans="1:35" s="9" customFormat="1" ht="18.75">
      <c r="A333" s="201"/>
      <c r="B333" s="201"/>
      <c r="C333" s="201"/>
      <c r="D333" s="207" t="s">
        <v>154</v>
      </c>
      <c r="E333" s="313">
        <f>E6-E332</f>
        <v>0</v>
      </c>
      <c r="F333" s="313">
        <f t="shared" ref="F333:AD333" si="142">F6-F332</f>
        <v>0</v>
      </c>
      <c r="G333" s="313">
        <f t="shared" si="142"/>
        <v>0</v>
      </c>
      <c r="H333" s="313">
        <f t="shared" si="142"/>
        <v>0</v>
      </c>
      <c r="I333" s="313">
        <f t="shared" si="142"/>
        <v>0</v>
      </c>
      <c r="J333" s="313">
        <f t="shared" si="142"/>
        <v>0</v>
      </c>
      <c r="K333" s="313">
        <f t="shared" si="142"/>
        <v>0</v>
      </c>
      <c r="L333" s="313">
        <f t="shared" si="142"/>
        <v>0</v>
      </c>
      <c r="M333" s="313">
        <f t="shared" si="142"/>
        <v>0</v>
      </c>
      <c r="N333" s="313">
        <f t="shared" si="142"/>
        <v>0</v>
      </c>
      <c r="O333" s="313">
        <f t="shared" si="142"/>
        <v>0</v>
      </c>
      <c r="P333" s="313">
        <f t="shared" si="142"/>
        <v>0</v>
      </c>
      <c r="Q333" s="313">
        <f t="shared" si="142"/>
        <v>0</v>
      </c>
      <c r="R333" s="313">
        <f t="shared" si="142"/>
        <v>0</v>
      </c>
      <c r="S333" s="313">
        <f t="shared" si="142"/>
        <v>0</v>
      </c>
      <c r="T333" s="313">
        <f t="shared" si="142"/>
        <v>0</v>
      </c>
      <c r="U333" s="313">
        <f t="shared" si="142"/>
        <v>0</v>
      </c>
      <c r="V333" s="313">
        <f t="shared" si="142"/>
        <v>0</v>
      </c>
      <c r="W333" s="313">
        <f t="shared" si="142"/>
        <v>0</v>
      </c>
      <c r="X333" s="313">
        <f t="shared" si="142"/>
        <v>0</v>
      </c>
      <c r="Y333" s="313">
        <f t="shared" si="142"/>
        <v>0</v>
      </c>
      <c r="Z333" s="313">
        <f t="shared" si="142"/>
        <v>0</v>
      </c>
      <c r="AA333" s="313">
        <f t="shared" si="142"/>
        <v>0</v>
      </c>
      <c r="AB333" s="313">
        <f t="shared" si="142"/>
        <v>0</v>
      </c>
      <c r="AC333" s="313">
        <f t="shared" si="142"/>
        <v>0</v>
      </c>
      <c r="AD333" s="313">
        <f t="shared" si="142"/>
        <v>0</v>
      </c>
      <c r="AE333" s="202"/>
      <c r="AF333" s="202"/>
      <c r="AG333" s="202"/>
      <c r="AH333" s="202"/>
      <c r="AI333" s="202"/>
    </row>
    <row r="334" spans="1:35" s="9" customFormat="1" ht="18.75">
      <c r="A334" s="201"/>
      <c r="B334" s="201"/>
      <c r="C334" s="201"/>
      <c r="P334" s="11"/>
      <c r="AE334" s="202"/>
      <c r="AF334" s="202"/>
      <c r="AG334" s="202"/>
      <c r="AH334" s="202"/>
      <c r="AI334" s="202"/>
    </row>
    <row r="335" spans="1:35" s="9" customFormat="1" ht="18.75">
      <c r="A335" s="201"/>
      <c r="B335" s="201"/>
      <c r="C335" s="201"/>
      <c r="N335" s="209"/>
      <c r="P335" s="11"/>
      <c r="AA335" s="209"/>
      <c r="AC335" s="11"/>
      <c r="AE335" s="202"/>
      <c r="AF335" s="202"/>
      <c r="AG335" s="202"/>
      <c r="AH335" s="202"/>
      <c r="AI335" s="202"/>
    </row>
    <row r="336" spans="1:35" s="9" customFormat="1" ht="18.75">
      <c r="A336" s="201"/>
      <c r="B336" s="201"/>
      <c r="C336" s="201"/>
      <c r="H336" s="9">
        <f>SUM(E330:H330)</f>
        <v>12433</v>
      </c>
      <c r="I336" s="9">
        <f>SUM(E330:I330)</f>
        <v>19897</v>
      </c>
      <c r="J336" s="9">
        <f>SUM(E330:J330)</f>
        <v>30366</v>
      </c>
      <c r="N336" s="209"/>
      <c r="P336" s="11"/>
      <c r="U336" s="9">
        <f>SUM(R330:U330)</f>
        <v>12656.886730826054</v>
      </c>
      <c r="V336" s="9">
        <f>SUM(R330:V330)</f>
        <v>20529.052480341725</v>
      </c>
      <c r="W336" s="9">
        <f>SUM(R330:W330)</f>
        <v>27941.232480341725</v>
      </c>
      <c r="AA336" s="209"/>
      <c r="AC336" s="11"/>
      <c r="AE336" s="202"/>
      <c r="AF336" s="202"/>
      <c r="AG336" s="202"/>
      <c r="AH336" s="202"/>
      <c r="AI336" s="202"/>
    </row>
    <row r="337" spans="1:35" s="9" customFormat="1" ht="18.75">
      <c r="A337" s="201"/>
      <c r="B337" s="201"/>
      <c r="C337" s="201"/>
      <c r="H337" s="9">
        <f>SUM(E331:H331)</f>
        <v>2408</v>
      </c>
      <c r="I337" s="9">
        <f>SUM(E331:I331)</f>
        <v>3644</v>
      </c>
      <c r="J337" s="9">
        <f>SUM(E331:J331)</f>
        <v>4880</v>
      </c>
      <c r="U337" s="9">
        <f>SUM(R331:U331)</f>
        <v>4002.0705728491325</v>
      </c>
      <c r="V337" s="9">
        <f>SUM(R331:V331)</f>
        <v>4154.5047216430548</v>
      </c>
      <c r="W337" s="9">
        <f>SUM(R331:W331)</f>
        <v>4221.5747216430545</v>
      </c>
      <c r="AE337" s="202"/>
      <c r="AF337" s="202"/>
      <c r="AG337" s="202"/>
      <c r="AH337" s="202"/>
      <c r="AI337" s="202"/>
    </row>
    <row r="338" spans="1:35" s="9" customFormat="1" ht="18.75">
      <c r="A338" s="201"/>
      <c r="B338" s="201"/>
      <c r="C338" s="201"/>
      <c r="H338" s="9">
        <f>SUM(E332:H332)</f>
        <v>14841</v>
      </c>
      <c r="I338" s="9">
        <f>SUM(E332:I332)</f>
        <v>23541</v>
      </c>
      <c r="J338" s="9">
        <f>SUM(F332:J332)</f>
        <v>33949</v>
      </c>
      <c r="U338" s="9">
        <f>SUM(R332:U332)</f>
        <v>16658.957303675186</v>
      </c>
      <c r="V338" s="9">
        <f>SUM(R332:V332)</f>
        <v>24683.557201984779</v>
      </c>
      <c r="W338" s="9">
        <f>SUM(R332:W332)</f>
        <v>32162.807201984779</v>
      </c>
      <c r="AE338" s="202"/>
      <c r="AF338" s="202"/>
      <c r="AG338" s="202"/>
      <c r="AH338" s="202"/>
      <c r="AI338" s="202"/>
    </row>
    <row r="339" spans="1:35" s="9" customFormat="1" ht="18.75">
      <c r="A339" s="201"/>
      <c r="B339" s="201"/>
      <c r="C339" s="201"/>
      <c r="AE339" s="202"/>
      <c r="AF339" s="202"/>
      <c r="AG339" s="202"/>
      <c r="AH339" s="202"/>
      <c r="AI339" s="202"/>
    </row>
    <row r="340" spans="1:35" s="9" customFormat="1" ht="18.75">
      <c r="A340" s="201"/>
      <c r="B340" s="201"/>
      <c r="C340" s="201"/>
      <c r="AE340" s="202"/>
      <c r="AF340" s="202"/>
      <c r="AG340" s="202"/>
      <c r="AH340" s="202"/>
      <c r="AI340" s="202"/>
    </row>
    <row r="341" spans="1:35" s="9" customFormat="1" ht="18.75">
      <c r="A341" s="201"/>
      <c r="B341" s="201"/>
      <c r="C341" s="201"/>
      <c r="AE341" s="202"/>
      <c r="AF341" s="202"/>
      <c r="AG341" s="202"/>
      <c r="AH341" s="202"/>
      <c r="AI341" s="202"/>
    </row>
  </sheetData>
  <mergeCells count="62">
    <mergeCell ref="A256:A260"/>
    <mergeCell ref="A226:A230"/>
    <mergeCell ref="A231:A235"/>
    <mergeCell ref="A236:A240"/>
    <mergeCell ref="A241:A245"/>
    <mergeCell ref="A246:A250"/>
    <mergeCell ref="A251:A255"/>
    <mergeCell ref="A221:A22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161:A165"/>
    <mergeCell ref="A106:A110"/>
    <mergeCell ref="A111:A115"/>
    <mergeCell ref="A116:A120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01:A105"/>
    <mergeCell ref="A46:A50"/>
    <mergeCell ref="A51:A55"/>
    <mergeCell ref="A56:A60"/>
    <mergeCell ref="A61:A65"/>
    <mergeCell ref="A66:A70"/>
    <mergeCell ref="A71:A75"/>
    <mergeCell ref="A76:A80"/>
    <mergeCell ref="A81:A85"/>
    <mergeCell ref="A86:A90"/>
    <mergeCell ref="A91:A95"/>
    <mergeCell ref="A96:A100"/>
    <mergeCell ref="A41:A45"/>
    <mergeCell ref="AE2:AE3"/>
    <mergeCell ref="AF2:AF3"/>
    <mergeCell ref="AG2:AG3"/>
    <mergeCell ref="AH2:AH3"/>
    <mergeCell ref="A11:A15"/>
    <mergeCell ref="A16:A20"/>
    <mergeCell ref="A21:A25"/>
    <mergeCell ref="A31:A35"/>
    <mergeCell ref="A36:A40"/>
    <mergeCell ref="A26:A30"/>
    <mergeCell ref="AI2:AI3"/>
    <mergeCell ref="A6:A10"/>
    <mergeCell ref="A2:C3"/>
    <mergeCell ref="D2:D3"/>
    <mergeCell ref="E2:P2"/>
    <mergeCell ref="Q2:Q3"/>
    <mergeCell ref="R2:AC2"/>
    <mergeCell ref="AD2:AD3"/>
  </mergeCells>
  <phoneticPr fontId="4" type="noConversion"/>
  <pageMargins left="0.25" right="0.25" top="0.75" bottom="0.75" header="0.3" footer="0.3"/>
  <pageSetup paperSize="8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박경범 책임(Kyung-Buom Park)</dc:creator>
  <cp:lastModifiedBy>박경범 책임(Kyung-Buom Park)</cp:lastModifiedBy>
  <cp:lastPrinted>2026-06-12T10:26:58Z</cp:lastPrinted>
  <dcterms:created xsi:type="dcterms:W3CDTF">2026-02-03T01:38:18Z</dcterms:created>
  <dcterms:modified xsi:type="dcterms:W3CDTF">2026-07-13T02:58:17Z</dcterms:modified>
</cp:coreProperties>
</file>