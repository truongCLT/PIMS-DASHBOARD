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ewoo\Desktop\경영현황판\"/>
    </mc:Choice>
  </mc:AlternateContent>
  <xr:revisionPtr revIDLastSave="0" documentId="8_{1B3EAEEF-1A3F-4217-9FF7-5889590BFDDD}" xr6:coauthVersionLast="47" xr6:coauthVersionMax="47" xr10:uidLastSave="{00000000-0000-0000-0000-000000000000}"/>
  <bookViews>
    <workbookView xWindow="-110" yWindow="-110" windowWidth="38620" windowHeight="21100" xr2:uid="{639CD32F-FE2C-4E24-8B3D-DCCA62816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B6" i="1"/>
  <c r="B15" i="1" s="1"/>
</calcChain>
</file>

<file path=xl/sharedStrings.xml><?xml version="1.0" encoding="utf-8"?>
<sst xmlns="http://schemas.openxmlformats.org/spreadsheetml/2006/main" count="19" uniqueCount="17">
  <si>
    <t>■ 수주계획</t>
    <phoneticPr fontId="2" type="noConversion"/>
  </si>
  <si>
    <t>PJ명</t>
    <phoneticPr fontId="2" type="noConversion"/>
  </si>
  <si>
    <t>계획</t>
    <phoneticPr fontId="2" type="noConversion"/>
  </si>
  <si>
    <t>금액</t>
    <phoneticPr fontId="2" type="noConversion"/>
  </si>
  <si>
    <t>시기</t>
    <phoneticPr fontId="2" type="noConversion"/>
  </si>
  <si>
    <t>실적 및 전망</t>
    <phoneticPr fontId="2" type="noConversion"/>
  </si>
  <si>
    <t>기준월</t>
    <phoneticPr fontId="2" type="noConversion"/>
  </si>
  <si>
    <t>(단위 : K USD)</t>
    <phoneticPr fontId="2" type="noConversion"/>
  </si>
  <si>
    <t>구분</t>
    <phoneticPr fontId="2" type="noConversion"/>
  </si>
  <si>
    <t>합계</t>
    <phoneticPr fontId="2" type="noConversion"/>
  </si>
  <si>
    <t>K8CT1 모델하우스</t>
    <phoneticPr fontId="2" type="noConversion"/>
  </si>
  <si>
    <t>K8CT1 분양대행</t>
    <phoneticPr fontId="2" type="noConversion"/>
  </si>
  <si>
    <t>흥옌 신도시 인프라공사</t>
    <phoneticPr fontId="2" type="noConversion"/>
  </si>
  <si>
    <t>B1CC4 공사</t>
    <phoneticPr fontId="2" type="noConversion"/>
  </si>
  <si>
    <t>K8HH1 공사 (변경)</t>
    <phoneticPr fontId="2" type="noConversion"/>
  </si>
  <si>
    <t>년짝 1단계 빌라공사</t>
    <phoneticPr fontId="2" type="noConversion"/>
  </si>
  <si>
    <t>K2CT1 공사 (변경)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</si>
</sst>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General&quot;월말&quot;"/>
    <numFmt numFmtId="179" formatCode="[$-409]mmmmm;@"/>
    <numFmt numFmtId="180" formatCode="[$-409]mmm&quot;-&quot;yy;@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7" xfId="1" applyFont="1" applyBorder="1">
      <alignment vertical="center"/>
    </xf>
    <xf numFmtId="180" fontId="0" fillId="0" borderId="8" xfId="0" applyNumberFormat="1" applyBorder="1">
      <alignment vertical="center"/>
    </xf>
    <xf numFmtId="41" fontId="0" fillId="0" borderId="9" xfId="1" applyFont="1" applyBorder="1">
      <alignment vertical="center"/>
    </xf>
    <xf numFmtId="180" fontId="0" fillId="0" borderId="10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180" fontId="0" fillId="0" borderId="12" xfId="0" applyNumberFormat="1" applyBorder="1">
      <alignment vertical="center"/>
    </xf>
    <xf numFmtId="0" fontId="0" fillId="0" borderId="15" xfId="0" applyBorder="1">
      <alignment vertical="center"/>
    </xf>
    <xf numFmtId="180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180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179" fontId="0" fillId="0" borderId="20" xfId="0" applyNumberFormat="1" applyBorder="1">
      <alignment vertical="center"/>
    </xf>
    <xf numFmtId="0" fontId="0" fillId="2" borderId="13" xfId="0" applyFill="1" applyBorder="1">
      <alignment vertical="center"/>
    </xf>
    <xf numFmtId="41" fontId="0" fillId="2" borderId="5" xfId="0" applyNumberFormat="1" applyFill="1" applyBorder="1">
      <alignment vertical="center"/>
    </xf>
    <xf numFmtId="179" fontId="0" fillId="2" borderId="6" xfId="0" applyNumberFormat="1" applyFill="1" applyBorder="1">
      <alignment vertical="center"/>
    </xf>
    <xf numFmtId="179" fontId="0" fillId="2" borderId="14" xfId="0" applyNumberFormat="1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2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D591-C655-4392-B96D-5ED6FB5AB8FF}">
  <dimension ref="A2:H16"/>
  <sheetViews>
    <sheetView tabSelected="1" workbookViewId="0">
      <selection activeCell="D8" sqref="D8"/>
    </sheetView>
  </sheetViews>
  <sheetFormatPr defaultRowHeight="17" x14ac:dyDescent="0.45"/>
  <cols>
    <col min="1" max="1" width="26.33203125" bestFit="1" customWidth="1"/>
    <col min="2" max="2" width="9.08203125" bestFit="1" customWidth="1"/>
    <col min="4" max="4" width="9.08203125" bestFit="1" customWidth="1"/>
  </cols>
  <sheetData>
    <row r="2" spans="1:8" x14ac:dyDescent="0.45">
      <c r="A2" s="1" t="s">
        <v>0</v>
      </c>
    </row>
    <row r="3" spans="1:8" x14ac:dyDescent="0.45">
      <c r="D3" s="4" t="s">
        <v>7</v>
      </c>
      <c r="E3" s="4"/>
      <c r="G3" t="s">
        <v>6</v>
      </c>
      <c r="H3" s="2">
        <v>8</v>
      </c>
    </row>
    <row r="4" spans="1:8" x14ac:dyDescent="0.45">
      <c r="A4" s="24" t="s">
        <v>8</v>
      </c>
      <c r="B4" s="25" t="s">
        <v>2</v>
      </c>
      <c r="C4" s="25"/>
      <c r="D4" s="25" t="s">
        <v>5</v>
      </c>
      <c r="E4" s="26"/>
    </row>
    <row r="5" spans="1:8" x14ac:dyDescent="0.45">
      <c r="A5" s="24" t="s">
        <v>1</v>
      </c>
      <c r="B5" s="27" t="s">
        <v>3</v>
      </c>
      <c r="C5" s="28" t="s">
        <v>4</v>
      </c>
      <c r="D5" s="29" t="s">
        <v>3</v>
      </c>
      <c r="E5" s="30" t="s">
        <v>4</v>
      </c>
    </row>
    <row r="6" spans="1:8" x14ac:dyDescent="0.45">
      <c r="A6" s="14" t="s">
        <v>13</v>
      </c>
      <c r="B6" s="7">
        <f>122422*50%</f>
        <v>61211</v>
      </c>
      <c r="C6" s="8">
        <v>46203</v>
      </c>
      <c r="D6" s="5"/>
      <c r="E6" s="15"/>
    </row>
    <row r="7" spans="1:8" x14ac:dyDescent="0.45">
      <c r="A7" s="16" t="s">
        <v>12</v>
      </c>
      <c r="B7" s="9">
        <v>53315</v>
      </c>
      <c r="C7" s="10">
        <v>46203</v>
      </c>
      <c r="D7" s="6">
        <v>37526</v>
      </c>
      <c r="E7" s="17">
        <v>46356</v>
      </c>
    </row>
    <row r="8" spans="1:8" x14ac:dyDescent="0.45">
      <c r="A8" s="16" t="s">
        <v>11</v>
      </c>
      <c r="B8" s="9">
        <v>25431</v>
      </c>
      <c r="C8" s="10">
        <v>46234</v>
      </c>
      <c r="D8" s="6">
        <v>31617.527999999998</v>
      </c>
      <c r="E8" s="17">
        <v>46295</v>
      </c>
    </row>
    <row r="9" spans="1:8" x14ac:dyDescent="0.45">
      <c r="A9" s="16" t="s">
        <v>10</v>
      </c>
      <c r="B9" s="9"/>
      <c r="C9" s="10"/>
      <c r="D9" s="6">
        <v>1193.8</v>
      </c>
      <c r="E9" s="17">
        <v>46142</v>
      </c>
    </row>
    <row r="10" spans="1:8" x14ac:dyDescent="0.45">
      <c r="A10" s="16" t="s">
        <v>14</v>
      </c>
      <c r="B10" s="9"/>
      <c r="C10" s="10"/>
      <c r="D10" s="6">
        <v>1000</v>
      </c>
      <c r="E10" s="17">
        <v>46326</v>
      </c>
    </row>
    <row r="11" spans="1:8" x14ac:dyDescent="0.45">
      <c r="A11" s="16" t="s">
        <v>16</v>
      </c>
      <c r="B11" s="9"/>
      <c r="C11" s="10"/>
      <c r="D11" s="6">
        <v>65000</v>
      </c>
      <c r="E11" s="17">
        <v>46295</v>
      </c>
    </row>
    <row r="12" spans="1:8" x14ac:dyDescent="0.45">
      <c r="A12" s="16" t="s">
        <v>15</v>
      </c>
      <c r="B12" s="11"/>
      <c r="C12" s="10"/>
      <c r="D12" s="6">
        <v>74289</v>
      </c>
      <c r="E12" s="17">
        <v>46326</v>
      </c>
    </row>
    <row r="13" spans="1:8" x14ac:dyDescent="0.45">
      <c r="A13" s="16"/>
      <c r="B13" s="11"/>
      <c r="C13" s="10"/>
      <c r="D13" s="6"/>
      <c r="E13" s="17"/>
    </row>
    <row r="14" spans="1:8" x14ac:dyDescent="0.45">
      <c r="A14" s="18"/>
      <c r="B14" s="12"/>
      <c r="C14" s="13"/>
      <c r="D14" s="31"/>
      <c r="E14" s="19"/>
    </row>
    <row r="15" spans="1:8" x14ac:dyDescent="0.45">
      <c r="A15" s="20" t="s">
        <v>9</v>
      </c>
      <c r="B15" s="21">
        <f>SUM(B6:B14)</f>
        <v>139957</v>
      </c>
      <c r="C15" s="22"/>
      <c r="D15" s="32">
        <f>SUM(D6:D14)</f>
        <v>210626.32799999998</v>
      </c>
      <c r="E15" s="23"/>
    </row>
    <row r="16" spans="1:8" x14ac:dyDescent="0.45">
      <c r="C16" s="3"/>
    </row>
  </sheetData>
  <mergeCells count="3">
    <mergeCell ref="B4:C4"/>
    <mergeCell ref="D4:E4"/>
    <mergeCell ref="D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오일훈 책임(Il-Hoon Oh)</dc:creator>
  <cp:lastModifiedBy>오일훈 책임(Il-Hoon Oh)</cp:lastModifiedBy>
  <dcterms:created xsi:type="dcterms:W3CDTF">2026-09-09T02:10:03Z</dcterms:created>
  <dcterms:modified xsi:type="dcterms:W3CDTF">2026-09-09T02:29:17Z</dcterms:modified>
</cp:coreProperties>
</file>